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4b895476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_Summary" sheetId="1" r:id="Re75b88501ecf45a4"/>
    <x:sheet xmlns:r="http://schemas.openxmlformats.org/officeDocument/2006/relationships" name="README" sheetId="2" r:id="R8fb5588c4e474a00"/>
    <x:sheet xmlns:r="http://schemas.openxmlformats.org/officeDocument/2006/relationships" name="Config" sheetId="3" r:id="R39d4a674d80a4cb2"/>
    <x:sheet xmlns:r="http://schemas.openxmlformats.org/officeDocument/2006/relationships" name="Python_Metrics" sheetId="4" r:id="R761eee0739be4236"/>
    <x:sheet xmlns:r="http://schemas.openxmlformats.org/officeDocument/2006/relationships" name="Raw_Data" sheetId="5" r:id="R30ac124e7ed0400d"/>
    <x:sheet xmlns:r="http://schemas.openxmlformats.org/officeDocument/2006/relationships" name="SS_HP" sheetId="6" r:id="R4c891a45213944cd"/>
    <x:sheet xmlns:r="http://schemas.openxmlformats.org/officeDocument/2006/relationships" name="SS_LP" sheetId="7" r:id="R722255db62ce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00000"/>
    <x:numFmt numFmtId="202" formatCode="0.0"/>
    <x:numFmt numFmtId="203" formatCode="0.000000E+00"/>
    <x:numFmt numFmtId="204" formatCode="0.000000000000"/>
    <x:numFmt numFmtId="205" formatCode="0.000 V"/>
    <x:numFmt numFmtId="206" formatCode="0.000E+00"/>
    <x:numFmt numFmtId="207" formatCode="0.00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i/>
      <x:sz val="11"/>
      <x:color rgb="FF92400E"/>
      <x:name val="Carlito"/>
    </x:font>
    <x:font>
      <x:sz val="9"/>
      <x:name val="DejaVu Sans Mono"/>
    </x:font>
    <x:font>
      <x:i/>
      <x:sz val="11"/>
      <x:color rgb="FF5B6573"/>
      <x:name val="Carlito"/>
    </x:font>
    <x:font>
      <x:b/>
      <x:sz val="10"/>
      <x:color rgb="FFFFFFFF"/>
      <x:name val="Aptos"/>
    </x:font>
    <x:font>
      <x:i/>
      <x:sz val="10"/>
      <x:color rgb="FF5B6573"/>
      <x:name val="Aptos"/>
    </x:font>
    <x:font>
      <x:sz val="10"/>
      <x:name val="Aptos"/>
    </x:font>
    <x:font>
      <x:b/>
      <x:sz val="10"/>
      <x:color rgb="FF17365D"/>
      <x:name val="Aptos"/>
    </x:font>
    <x:font>
      <x:i/>
      <x:sz val="10"/>
      <x:color rgb="FF92400E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3"/>
      <x:color rgb="FF166534"/>
      <x:name val="Carlito"/>
    </x:font>
    <x:font>
      <x:b/>
      <x:sz val="13"/>
      <x:color rgb="FF17365D"/>
      <x:name val="Carlito"/>
    </x:font>
    <x:font>
      <x:b/>
      <x:sz val="11"/>
      <x:color rgb="FF166534"/>
      <x:name val="Carlito"/>
    </x:font>
    <x:font>
      <x:sz val="10"/>
      <x:color rgb="FF111827"/>
      <x:name val="Carlito"/>
    </x:font>
    <x:font>
      <x:b/>
      <x:sz val="10"/>
      <x:color rgb="FF166534"/>
      <x:name val="Aptos"/>
    </x:font>
    <x:font>
      <x:sz val="10"/>
      <x:color rgb="FF111827"/>
      <x:name val="Aptos"/>
    </x:font>
    <x:font>
      <x:sz val="11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DEBF7"/>
      </x:patternFill>
    </x:fill>
    <x:fill>
      <x:patternFill patternType="solid">
        <x:fgColor rgb="FFDCFCE7"/>
      </x:patternFill>
    </x:fill>
    <x:fill>
      <x:patternFill patternType="solid">
        <x:fgColor rgb="FF1F4E78"/>
      </x:patternFill>
    </x:fill>
  </x:fills>
  <x:borders count="14">
    <x:border/>
    <x:border>
      <x:left style="thin">
        <x:color rgb="FFA8B7C7"/>
      </x:left>
      <x:right style="thin">
        <x:color rgb="FFA8B7C7"/>
      </x:right>
      <x:top style="thin">
        <x:color rgb="FFA8B7C7"/>
      </x:top>
      <x:bottom style="thin">
        <x:color rgb="FFA8B7C7"/>
      </x:bottom>
    </x:border>
    <x:border>
      <x:left style="thin">
        <x:color rgb="FFCBD5E1"/>
      </x:left>
      <x:top style="thin">
        <x:color rgb="FFCBD5E1"/>
      </x:top>
      <x:bottom style="thin">
        <x:color rgb="FFE2E8F0"/>
      </x:bottom>
    </x:border>
    <x:border>
      <x:top style="thin">
        <x:color rgb="FFCBD5E1"/>
      </x:top>
      <x:bottom style="thin">
        <x:color rgb="FFE2E8F0"/>
      </x:bottom>
    </x:border>
    <x:border>
      <x:right style="thin">
        <x:color rgb="FFCBD5E1"/>
      </x:right>
      <x:top style="thin">
        <x:color rgb="FFCBD5E1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2" fontId="0" fillId="0" borderId="6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3" fontId="0" fillId="0" borderId="6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200" fontId="0" fillId="4" borderId="3" xfId="0" applyNumberFormat="1" applyFont="1" applyFill="1" applyBorder="1" applyAlignment="1">
      <x:alignment horizontal="right"/>
    </x:xf>
    <x:xf numFmtId="0" fontId="0" fillId="4" borderId="6" xfId="0" applyNumberFormat="1" applyFont="1" applyFill="1" applyBorder="1" applyAlignment="1">
      <x:alignment horizontal="right"/>
    </x:xf>
    <x:xf numFmtId="201" fontId="0" fillId="4" borderId="6" xfId="0" applyNumberFormat="1" applyFont="1" applyFill="1" applyBorder="1" applyAlignment="1">
      <x:alignment horizontal="right"/>
    </x:xf>
    <x:xf numFmtId="202" fontId="0" fillId="4" borderId="6" xfId="0" applyNumberFormat="1" applyFont="1" applyFill="1" applyBorder="1" applyAlignment="1">
      <x:alignment horizontal="right"/>
    </x:xf>
    <x:xf numFmtId="200" fontId="0" fillId="4" borderId="6" xfId="0" applyNumberFormat="1" applyFont="1" applyFill="1" applyBorder="1" applyAlignment="1">
      <x:alignment horizontal="right"/>
    </x:xf>
    <x:xf numFmtId="203" fontId="0" fillId="5" borderId="6" xfId="0" applyNumberFormat="1" applyFont="1" applyFill="1" applyBorder="1" applyAlignment="1">
      <x:alignment horizontal="right"/>
    </x:xf>
    <x:xf numFmtId="200" fontId="0" fillId="6" borderId="6" xfId="0" applyNumberFormat="1" applyFont="1" applyFill="1" applyBorder="1" applyAlignment="1">
      <x:alignment horizontal="right"/>
    </x:xf>
    <x:xf numFmtId="200" fontId="0" fillId="6" borderId="9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4" fillId="7" borderId="11" xfId="0" applyNumberFormat="1" applyFont="1" applyFill="1" applyBorder="1" applyAlignment="1">
      <x:alignment vertical="center"/>
    </x:xf>
    <x:xf numFmtId="0" fontId="4" fillId="7" borderId="12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/>
    <x:xf numFmtId="200" fontId="10" fillId="4" borderId="3" xfId="0" applyNumberFormat="1" applyFont="1" applyFill="1" applyBorder="1" applyAlignment="1">
      <x:alignment horizontal="right"/>
    </x:xf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4" borderId="6" xfId="0" applyNumberFormat="1" applyFont="1" applyFill="1" applyBorder="1" applyAlignment="1">
      <x:alignment horizontal="right"/>
    </x:xf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201" fontId="10" fillId="4" borderId="6" xfId="0" applyNumberFormat="1" applyFont="1" applyFill="1" applyBorder="1" applyAlignment="1">
      <x:alignment horizontal="right"/>
    </x:xf>
    <x:xf numFmtId="202" fontId="10" fillId="4" borderId="6" xfId="0" applyNumberFormat="1" applyFont="1" applyFill="1" applyBorder="1" applyAlignment="1">
      <x:alignment horizontal="right"/>
    </x:xf>
    <x:xf numFmtId="200" fontId="10" fillId="4" borderId="6" xfId="0" applyNumberFormat="1" applyFont="1" applyFill="1" applyBorder="1" applyAlignment="1">
      <x:alignment horizontal="right"/>
    </x:xf>
    <x:xf numFmtId="203" fontId="10" fillId="5" borderId="6" xfId="0" applyNumberFormat="1" applyFont="1" applyFill="1" applyBorder="1" applyAlignment="1">
      <x:alignment horizontal="right"/>
    </x:xf>
    <x:xf numFmtId="200" fontId="10" fillId="6" borderId="6" xfId="0" applyNumberFormat="1" applyFont="1" applyFill="1" applyBorder="1" applyAlignment="1">
      <x:alignment horizontal="right"/>
    </x:xf>
    <x:xf numFmtId="0" fontId="10" fillId="0" borderId="8" xfId="0" applyNumberFormat="1" applyFont="1" applyFill="1" applyBorder="1"/>
    <x:xf numFmtId="200" fontId="10" fillId="6" borderId="9" xfId="0" applyNumberFormat="1" applyFont="1" applyFill="1" applyBorder="1" applyAlignment="1">
      <x:alignment horizontal="right"/>
    </x:xf>
    <x:xf numFmtId="0" fontId="10" fillId="0" borderId="9" xfId="0" applyNumberFormat="1" applyFont="1" applyFill="1" applyBorder="1"/>
    <x:xf numFmtId="0" fontId="10" fillId="0" borderId="10" xfId="0" applyNumberFormat="1" applyFont="1" applyFill="1" applyBorder="1"/>
    <x:xf numFmtId="0" fontId="11" fillId="7" borderId="11" xfId="0" applyNumberFormat="1" applyFont="1" applyFill="1" applyBorder="1" applyAlignment="1">
      <x:alignment vertical="center"/>
    </x:xf>
    <x:xf numFmtId="0" fontId="11" fillId="7" borderId="12" xfId="0" applyNumberFormat="1" applyFont="1" applyFill="1" applyBorder="1" applyAlignment="1">
      <x:alignment vertical="center"/>
    </x:xf>
    <x:xf numFmtId="0" fontId="11" fillId="7" borderId="13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horizontal="right"/>
    </x:xf>
    <x:xf numFmtId="203" fontId="0" fillId="8" borderId="0" xfId="0" applyNumberFormat="1" applyFont="1" applyFill="1" applyBorder="1" applyAlignment="1">
      <x:alignment horizontal="right"/>
    </x:xf>
    <x:xf numFmtId="201" fontId="0" fillId="8" borderId="0" xfId="0" applyNumberFormat="1" applyFont="1" applyFill="1" applyBorder="1" applyAlignment="1">
      <x:alignment horizontal="right"/>
    </x:xf>
    <x:xf numFmtId="204" fontId="0" fillId="8" borderId="0" xfId="0" applyNumberFormat="1" applyFont="1" applyFill="1" applyBorder="1" applyAlignment="1">
      <x:alignment horizontal="right"/>
    </x:xf>
    <x:xf numFmtId="203" fontId="0" fillId="8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3" fontId="0" fillId="0" borderId="12" xfId="0" applyNumberFormat="1" applyFont="1" applyFill="1" applyBorder="1"/>
    <x:xf numFmtId="201" fontId="0" fillId="0" borderId="12" xfId="0" applyNumberFormat="1" applyFont="1" applyFill="1" applyBorder="1"/>
    <x:xf numFmtId="204" fontId="0" fillId="0" borderId="12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3" fontId="0" fillId="0" borderId="3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4" fontId="0" fillId="0" borderId="3" xfId="0" applyNumberFormat="1" applyFont="1" applyFill="1" applyBorder="1"/>
    <x:xf numFmtId="204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/>
    </x:xf>
    <x:xf numFmtId="205" fontId="16" fillId="4" borderId="0" xfId="0" applyNumberFormat="1" applyFont="1" applyFill="1" applyBorder="1"/>
    <x:xf numFmtId="205" fontId="16" fillId="4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4" fillId="3" borderId="11" xfId="0" applyNumberFormat="1" applyFont="1" applyFill="1" applyBorder="1"/>
    <x:xf numFmtId="0" fontId="15" fillId="8" borderId="12" xfId="0" applyNumberFormat="1" applyFont="1" applyFill="1" applyBorder="1" applyAlignment="1">
      <x:alignment horizontal="center"/>
    </x:xf>
    <x:xf numFmtId="0" fontId="14" fillId="3" borderId="12" xfId="0" applyNumberFormat="1" applyFont="1" applyFill="1" applyBorder="1"/>
    <x:xf numFmtId="0" fontId="16" fillId="4" borderId="12" xfId="0" applyNumberFormat="1" applyFont="1" applyFill="1" applyBorder="1" applyAlignment="1">
      <x:alignment horizontal="center"/>
    </x:xf>
    <x:xf numFmtId="205" fontId="16" fillId="4" borderId="12" xfId="0" applyNumberFormat="1" applyFont="1" applyFill="1" applyBorder="1" applyAlignment="1">
      <x:alignment horizontal="center"/>
    </x:xf>
    <x:xf numFmtId="0" fontId="17" fillId="8" borderId="13" xfId="0" applyNumberFormat="1" applyFont="1" applyFill="1" applyBorder="1" applyAlignment="1">
      <x:alignment horizontal="center"/>
    </x:xf>
    <x:xf numFmtId="206" fontId="0" fillId="0" borderId="3" xfId="0" applyNumberFormat="1" applyFont="1" applyFill="1" applyBorder="1"/>
    <x:xf numFmtId="206" fontId="0" fillId="0" borderId="6" xfId="0" applyNumberFormat="1" applyFont="1" applyFill="1" applyBorder="1"/>
    <x:xf numFmtId="200" fontId="0" fillId="0" borderId="9" xfId="0" applyNumberFormat="1" applyFont="1" applyFill="1" applyBorder="1"/>
    <x:xf numFmtId="207" fontId="0" fillId="0" borderId="0" xfId="0" applyNumberFormat="1" applyFont="1" applyFill="1" applyBorder="1"/>
    <x:xf numFmtId="207" fontId="0" fillId="0" borderId="3" xfId="0" applyNumberFormat="1" applyFont="1" applyFill="1" applyBorder="1"/>
    <x:xf numFmtId="207" fontId="0" fillId="0" borderId="6" xfId="0" applyNumberFormat="1" applyFont="1" applyFill="1" applyBorder="1"/>
    <x:xf numFmtId="207" fontId="0" fillId="0" borderId="9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3" borderId="11" xfId="0" applyNumberFormat="1" applyFont="1" applyFill="1" applyBorder="1"/>
    <x:xf numFmtId="0" fontId="19" fillId="8" borderId="12" xfId="0" applyNumberFormat="1" applyFont="1" applyFill="1" applyBorder="1" applyAlignment="1">
      <x:alignment horizontal="center"/>
    </x:xf>
    <x:xf numFmtId="0" fontId="8" fillId="3" borderId="12" xfId="0" applyNumberFormat="1" applyFont="1" applyFill="1" applyBorder="1"/>
    <x:xf numFmtId="0" fontId="11" fillId="4" borderId="12" xfId="0" applyNumberFormat="1" applyFont="1" applyFill="1" applyBorder="1" applyAlignment="1">
      <x:alignment horizontal="center"/>
    </x:xf>
    <x:xf numFmtId="205" fontId="11" fillId="4" borderId="12" xfId="0" applyNumberFormat="1" applyFont="1" applyFill="1" applyBorder="1" applyAlignment="1">
      <x:alignment horizontal="center"/>
    </x:xf>
    <x:xf numFmtId="0" fontId="19" fillId="8" borderId="13" xfId="0" applyNumberFormat="1" applyFont="1" applyFill="1" applyBorder="1" applyAlignment="1">
      <x:alignment horizontal="center"/>
    </x:xf>
    <x:xf numFmtId="206" fontId="10" fillId="0" borderId="3" xfId="0" applyNumberFormat="1" applyFont="1" applyFill="1" applyBorder="1"/>
    <x:xf numFmtId="203" fontId="10" fillId="0" borderId="3" xfId="0" applyNumberFormat="1" applyFont="1" applyFill="1" applyBorder="1"/>
    <x:xf numFmtId="206" fontId="10" fillId="0" borderId="6" xfId="0" applyNumberFormat="1" applyFont="1" applyFill="1" applyBorder="1"/>
    <x:xf numFmtId="203" fontId="10" fillId="0" borderId="6" xfId="0" applyNumberFormat="1" applyFont="1" applyFill="1" applyBorder="1"/>
    <x:xf numFmtId="201" fontId="10" fillId="0" borderId="6" xfId="0" applyNumberFormat="1" applyFont="1" applyFill="1" applyBorder="1"/>
    <x:xf numFmtId="204" fontId="10" fillId="0" borderId="6" xfId="0" applyNumberFormat="1" applyFont="1" applyFill="1" applyBorder="1"/>
    <x:xf numFmtId="200" fontId="10" fillId="0" borderId="9" xfId="0" applyNumberFormat="1" applyFont="1" applyFill="1" applyBorder="1"/>
    <x:xf numFmtId="207" fontId="10" fillId="0" borderId="3" xfId="0" applyNumberFormat="1" applyFont="1" applyFill="1" applyBorder="1"/>
    <x:xf numFmtId="207" fontId="10" fillId="0" borderId="6" xfId="0" applyNumberFormat="1" applyFont="1" applyFill="1" applyBorder="1"/>
    <x:xf numFmtId="207" fontId="10" fillId="0" borderId="9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 wrapText="1"/>
    </x:xf>
    <x:xf numFmtId="0" fontId="14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fa2cc69ec400f" /><Relationship Type="http://schemas.openxmlformats.org/officeDocument/2006/relationships/theme" Target="/xl/theme/theme1.xml" Id="R3c3b6b6832e9482d" /><Relationship Type="http://schemas.openxmlformats.org/officeDocument/2006/relationships/sharedStrings" Target="/xl/sharedStrings.xml" Id="Rfef81d47ce2944a2" /><Relationship Type="http://schemas.openxmlformats.org/officeDocument/2006/relationships/worksheet" Target="/xl/worksheets/sheet1.xml" Id="Re75b88501ecf45a4" /><Relationship Type="http://schemas.openxmlformats.org/officeDocument/2006/relationships/worksheet" Target="/xl/worksheets/sheet2.xml" Id="R8fb5588c4e474a00" /><Relationship Type="http://schemas.openxmlformats.org/officeDocument/2006/relationships/worksheet" Target="/xl/worksheets/sheet3.xml" Id="R39d4a674d80a4cb2" /><Relationship Type="http://schemas.openxmlformats.org/officeDocument/2006/relationships/worksheet" Target="/xl/worksheets/sheet4.xml" Id="R761eee0739be4236" /><Relationship Type="http://schemas.openxmlformats.org/officeDocument/2006/relationships/worksheet" Target="/xl/worksheets/sheet5.xml" Id="R30ac124e7ed0400d" /><Relationship Type="http://schemas.openxmlformats.org/officeDocument/2006/relationships/worksheet" Target="/xl/worksheets/sheet6.xml" Id="R4c891a45213944cd" /><Relationship Type="http://schemas.openxmlformats.org/officeDocument/2006/relationships/worksheet" Target="/xl/worksheets/sheet7.xml" Id="R722255db62ce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3" hidden="0" customWidth="1"/>
    <x:col min="8" max="8" width="18" hidden="0" customWidth="1"/>
    <x:col min="9" max="9" width="18" hidden="0" customWidth="1"/>
    <x:col min="10" max="10" width="14" hidden="0" customWidth="1"/>
    <x:col min="11" max="11" width="13" hidden="0" customWidth="1"/>
  </x:cols>
  <x:sheetData>
    <x:row r="1" ht="30" customHeight="1">
      <x:c r="A1" s="94" t="str">
        <x:v>PTM 45 nm HP-LP — Excel Cross-Implementation Check</x:v>
      </x:c>
      <x:c r="B1" s="94" t="str">
        <x:v>PTM 45 nm HP-LP — Excel Cross-Implementation Check</x:v>
      </x:c>
      <x:c r="C1" s="94" t="str">
        <x:v>PTM 45 nm HP-LP — Excel Cross-Implementation Check</x:v>
      </x:c>
      <x:c r="D1" s="94" t="str">
        <x:v>PTM 45 nm HP-LP — Excel Cross-Implementation Check</x:v>
      </x:c>
      <x:c r="E1" s="94" t="str">
        <x:v>PTM 45 nm HP-LP — Excel Cross-Implementation Check</x:v>
      </x:c>
      <x:c r="F1" s="94" t="str">
        <x:v>PTM 45 nm HP-LP — Excel Cross-Implementation Check</x:v>
      </x:c>
      <x:c r="G1" s="94" t="str">
        <x:v>PTM 45 nm HP-LP — Excel Cross-Implementation Check</x:v>
      </x:c>
      <x:c r="H1" s="94" t="str">
        <x:v>PTM 45 nm HP-LP — Excel Cross-Implementation Check</x:v>
      </x:c>
      <x:c r="I1" s="94" t="str">
        <x:v>PTM 45 nm HP-LP — Excel Cross-Implementation Check</x:v>
      </x:c>
      <x:c r="J1" s="94" t="str">
        <x:v>PTM 45 nm HP-LP — Excel Cross-Implementation Check</x:v>
      </x:c>
      <x:c r="K1" s="94" t="str">
        <x:v>PTM 45 nm HP-LP — Excel Cross-Implementation Check</x:v>
      </x:c>
    </x:row>
    <x:row r="2">
      <x:c r="A2" s="149" t="str">
        <x:v>Python outputs are compared with Excel recalculations from the same processed simulation CSV at common VGS = VDS = 1.0 V after extending the sweep to −0.2 V.</x:v>
      </x:c>
      <x:c r="B2" s="149"/>
      <x:c r="C2" s="149"/>
      <x:c r="D2" s="149"/>
      <x:c r="E2" s="149"/>
      <x:c r="F2" s="149"/>
      <x:c r="G2" s="149"/>
      <x:c r="H2" s="149"/>
      <x:c r="I2" s="149"/>
      <x:c r="J2" s="149"/>
      <x:c r="K2" s="149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0" customHeight="1">
      <x:c r="A4" s="150" t="str">
        <x:v>Overall status</x:v>
      </x:c>
      <x:c r="B4" s="151" t="str">
        <x:f>IF(AND(COUNTIF($G$10:$G$17,"PASS")=8,COUNTIF($K$10:$K$17,"PASS")=8),"PASS","CHECK")</x:f>
        <x:v>PASS</x:v>
      </x:c>
      <x:c r="C4" s="151"/>
      <x:c r="D4" s="152" t="str">
        <x:v>Checks passed</x:v>
      </x:c>
      <x:c r="E4" s="153" t="n">
        <x:f>COUNTIF($G$10:$G$17,"PASS")+COUNTIF($K$10:$K$17,"PASS")</x:f>
        <x:v>16</x:v>
      </x:c>
      <x:c r="F4" s="153"/>
      <x:c r="G4" s="152" t="str">
        <x:v>Common VDD</x:v>
      </x:c>
      <x:c r="H4" s="154" t="n">
        <x:f>'Config'!$B$12</x:f>
        <x:v>1</x:v>
      </x:c>
      <x:c r="I4" s="154"/>
      <x:c r="J4" s="152" t="str">
        <x:v>Scope</x:v>
      </x:c>
      <x:c r="K4" s="155" t="str">
        <x:v>Cross-check</x:v>
      </x:c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</x:row>
    <x:row r="6">
      <x:c r="A6" s="66"/>
      <x:c r="B6" s="66"/>
      <x:c r="C6" s="66"/>
      <x:c r="D6" s="66"/>
      <x:c r="E6" s="66"/>
      <x:c r="F6" s="66"/>
      <x:c r="G6" s="66"/>
      <x:c r="H6" s="66"/>
      <x:c r="I6" s="66"/>
      <x:c r="J6" s="66"/>
      <x:c r="K6" s="66"/>
    </x:row>
    <x:row r="7">
      <x:c r="A7" s="66"/>
      <x:c r="B7" s="66"/>
      <x:c r="C7" s="66"/>
      <x:c r="D7" s="66"/>
      <x:c r="E7" s="66"/>
      <x:c r="F7" s="66"/>
      <x:c r="G7" s="66"/>
      <x:c r="H7" s="66"/>
      <x:c r="I7" s="66"/>
      <x:c r="J7" s="66"/>
      <x:c r="K7" s="66"/>
    </x:row>
    <x:row r="8" ht="22" customHeight="1">
      <x:c r="A8" s="85" t="str">
        <x:v>Python Output vs Excel Cross-Implementation Recalculation</x:v>
      </x:c>
      <x:c r="B8" s="86" t="str">
        <x:v>Python Output vs Excel Cross-Implementation Recalculation</x:v>
      </x:c>
      <x:c r="C8" s="86" t="str">
        <x:v>Python Output vs Excel Cross-Implementation Recalculation</x:v>
      </x:c>
      <x:c r="D8" s="86" t="str">
        <x:v>Python Output vs Excel Cross-Implementation Recalculation</x:v>
      </x:c>
      <x:c r="E8" s="86" t="str">
        <x:v>Python Output vs Excel Cross-Implementation Recalculation</x:v>
      </x:c>
      <x:c r="F8" s="86" t="str">
        <x:v>Python Output vs Excel Cross-Implementation Recalculation</x:v>
      </x:c>
      <x:c r="G8" s="86" t="str">
        <x:v>Python Output vs Excel Cross-Implementation Recalculation</x:v>
      </x:c>
      <x:c r="H8" s="86" t="str">
        <x:v>Python Output vs Excel Cross-Implementation Recalculation</x:v>
      </x:c>
      <x:c r="I8" s="86" t="str">
        <x:v>Python Output vs Excel Cross-Implementation Recalculation</x:v>
      </x:c>
      <x:c r="J8" s="86" t="str">
        <x:v>Python Output vs Excel Cross-Implementation Recalculation</x:v>
      </x:c>
      <x:c r="K8" s="87" t="str">
        <x:v>Python Output vs Excel Cross-Implementation Recalculation</x:v>
      </x:c>
    </x:row>
    <x:row r="9" ht="30" customHeight="1">
      <x:c r="A9" s="67" t="str">
        <x:v>Metric</x:v>
      </x:c>
      <x:c r="B9" s="67" t="str">
        <x:v>Unit / error</x:v>
      </x:c>
      <x:c r="C9" s="67" t="str">
        <x:v>Tolerance</x:v>
      </x:c>
      <x:c r="D9" s="67" t="str">
        <x:v>Python HP</x:v>
      </x:c>
      <x:c r="E9" s="67" t="str">
        <x:v>Excel HP</x:v>
      </x:c>
      <x:c r="F9" s="67" t="str">
        <x:v>Error HP</x:v>
      </x:c>
      <x:c r="G9" s="67" t="str">
        <x:v>Status HP</x:v>
      </x:c>
      <x:c r="H9" s="67" t="str">
        <x:v>Python LP</x:v>
      </x:c>
      <x:c r="I9" s="67" t="str">
        <x:v>Excel LP</x:v>
      </x:c>
      <x:c r="J9" s="67" t="str">
        <x:v>Error LP</x:v>
      </x:c>
      <x:c r="K9" s="67" t="str">
        <x:v>Status LP</x:v>
      </x:c>
    </x:row>
    <x:row r="10">
      <x:c r="A10" s="68" t="str">
        <x:v>Ion_A</x:v>
      </x:c>
      <x:c r="B10" s="70" t="str">
        <x:v>A / relative</x:v>
      </x:c>
      <x:c r="C10" s="156" t="n">
        <x:f>'Config'!$B$18</x:f>
        <x:v>1e-9</x:v>
      </x:c>
      <x:c r="D10" s="157" t="n">
        <x:f>'Python_Metrics'!H4</x:f>
        <x:v>0.00133920624116</x:v>
      </x:c>
      <x:c r="E10" s="157" t="n">
        <x:f>'SS_HP'!$C$4</x:f>
        <x:v>0.001339206241155616</x:v>
      </x:c>
      <x:c r="F10" s="156" t="n">
        <x:f>ABS(E10-D10)/ABS(D10)</x:f>
        <x:v>3.273640586430483e-12</x:v>
      </x:c>
      <x:c r="G10" s="70" t="str">
        <x:f>IF(F10&lt;=C10,"PASS","FAIL")</x:f>
        <x:v>PASS</x:v>
      </x:c>
      <x:c r="H10" s="157" t="n">
        <x:f>'Python_Metrics'!H5</x:f>
        <x:v>0.000401984568095</x:v>
      </x:c>
      <x:c r="I10" s="157" t="n">
        <x:f>'SS_LP'!$C$4</x:f>
        <x:v>0.0004019845680949588</x:v>
      </x:c>
      <x:c r="J10" s="156" t="n">
        <x:f>ABS(I10-H10)/ABS(H10)</x:f>
        <x:v>1.02490706918661e-13</x:v>
      </x:c>
      <x:c r="K10" s="71" t="str">
        <x:f>IF(J10&lt;=C10,"PASS","FAIL")</x:f>
        <x:v>PASS</x:v>
      </x:c>
    </x:row>
    <x:row r="11">
      <x:c r="A11" s="72" t="str">
        <x:v>Ioff_A</x:v>
      </x:c>
      <x:c r="B11" s="74" t="str">
        <x:v>A / relative</x:v>
      </x:c>
      <x:c r="C11" s="158" t="n">
        <x:f>'Config'!$B$18</x:f>
        <x:v>1e-9</x:v>
      </x:c>
      <x:c r="D11" s="159" t="n">
        <x:f>'Python_Metrics'!I4</x:f>
        <x:v>2.00449965392e-8</x:v>
      </x:c>
      <x:c r="E11" s="159" t="n">
        <x:f>'SS_HP'!$D$4</x:f>
        <x:v>2.004499653917184e-8</x:v>
      </x:c>
      <x:c r="F11" s="158" t="n">
        <x:f>ABS(E11-D11)/ABS(D11)</x:f>
        <x:v>1.4048661329865797e-12</x:v>
      </x:c>
      <x:c r="G11" s="74" t="str">
        <x:f>IF(F11&lt;=C11,"PASS","FAIL")</x:f>
        <x:v>PASS</x:v>
      </x:c>
      <x:c r="H11" s="159" t="n">
        <x:f>'Python_Metrics'!I5</x:f>
        <x:v>2.11503667322e-11</x:v>
      </x:c>
      <x:c r="I11" s="159" t="n">
        <x:f>'SS_LP'!$D$4</x:f>
        <x:v>2.115036673217059e-11</x:v>
      </x:c>
      <x:c r="J11" s="158" t="n">
        <x:f>ABS(I11-H11)/ABS(H11)</x:f>
        <x:v>1.3905266304723937e-12</x:v>
      </x:c>
      <x:c r="K11" s="75" t="str">
        <x:f>IF(J11&lt;=C11,"PASS","FAIL")</x:f>
        <x:v>PASS</x:v>
      </x:c>
    </x:row>
    <x:row r="12">
      <x:c r="A12" s="72" t="str">
        <x:v>Ion_Ioff_ratio</x:v>
      </x:c>
      <x:c r="B12" s="74" t="str">
        <x:v>- / relative</x:v>
      </x:c>
      <x:c r="C12" s="158" t="n">
        <x:f>'Config'!$B$18</x:f>
        <x:v>1e-9</x:v>
      </x:c>
      <x:c r="D12" s="159" t="n">
        <x:f>'Python_Metrics'!J4</x:f>
        <x:v>66810.0011162</x:v>
      </x:c>
      <x:c r="E12" s="159" t="n">
        <x:f>'SS_HP'!$C$4/'SS_HP'!$D$4</x:f>
        <x:v>66810.0011161661</x:v>
      </x:c>
      <x:c r="F12" s="158" t="n">
        <x:f>ABS(E12-D12)/ABS(D12)</x:f>
        <x:v>5.074983073735243e-13</x:v>
      </x:c>
      <x:c r="G12" s="74" t="str">
        <x:f>IF(F12&lt;=C12,"PASS","FAIL")</x:f>
        <x:v>PASS</x:v>
      </x:c>
      <x:c r="H12" s="159" t="n">
        <x:f>'Python_Metrics'!J5</x:f>
        <x:v>19006033.001</x:v>
      </x:c>
      <x:c r="I12" s="159" t="n">
        <x:f>'SS_LP'!$C$4/'SS_LP'!$D$4</x:f>
        <x:v>19006033.001003407</x:v>
      </x:c>
      <x:c r="J12" s="158" t="n">
        <x:f>ABS(I12-H12)/ABS(H12)</x:f>
        <x:v>1.7934519123024285e-13</x:v>
      </x:c>
      <x:c r="K12" s="75" t="str">
        <x:f>IF(J12&lt;=C12,"PASS","FAIL")</x:f>
        <x:v>PASS</x:v>
      </x:c>
    </x:row>
    <x:row r="13">
      <x:c r="A13" s="72" t="str">
        <x:v>SS_mV_dec</x:v>
      </x:c>
      <x:c r="B13" s="74" t="str">
        <x:v>mV/dec / absolute</x:v>
      </x:c>
      <x:c r="C13" s="158" t="n">
        <x:f>'Config'!$B$19</x:f>
        <x:v>0.000001</x:v>
      </x:c>
      <x:c r="D13" s="160" t="n">
        <x:f>'Python_Metrics'!L4</x:f>
        <x:v>87.5059306448</x:v>
      </x:c>
      <x:c r="E13" s="160" t="n">
        <x:f>'SS_HP'!$G$4</x:f>
        <x:v>87.50593064481744</x:v>
      </x:c>
      <x:c r="F13" s="158" t="n">
        <x:f>ABS(E13-D13)</x:f>
        <x:v>1.743671873555286e-11</x:v>
      </x:c>
      <x:c r="G13" s="74" t="str">
        <x:f>IF(F13&lt;=C13,"PASS","FAIL")</x:f>
        <x:v>PASS</x:v>
      </x:c>
      <x:c r="H13" s="160" t="n">
        <x:f>'Python_Metrics'!L5</x:f>
        <x:v>86.6480245274</x:v>
      </x:c>
      <x:c r="I13" s="160" t="n">
        <x:f>'SS_LP'!$G$4</x:f>
        <x:v>86.64802452741195</x:v>
      </x:c>
      <x:c r="J13" s="158" t="n">
        <x:f>ABS(I13-H13)</x:f>
        <x:v>1.1951328815484885e-11</x:v>
      </x:c>
      <x:c r="K13" s="75" t="str">
        <x:f>IF(J13&lt;=C13,"PASS","FAIL")</x:f>
        <x:v>PASS</x:v>
      </x:c>
    </x:row>
    <x:row r="14">
      <x:c r="A14" s="72" t="str">
        <x:v>SS_fit_VGS_min_V</x:v>
      </x:c>
      <x:c r="B14" s="74" t="str">
        <x:v>V / absolute</x:v>
      </x:c>
      <x:c r="C14" s="158" t="n">
        <x:f>'Config'!$B$20</x:f>
        <x:v>1e-12</x:v>
      </x:c>
      <x:c r="D14" s="160" t="n">
        <x:f>'Python_Metrics'!M4</x:f>
        <x:v>-0.035</x:v>
      </x:c>
      <x:c r="E14" s="160" t="n">
        <x:f>'SS_HP'!$H$4</x:f>
        <x:v>-0.03499999999999991</x:v>
      </x:c>
      <x:c r="F14" s="158" t="n">
        <x:f>ABS(E14-D14)</x:f>
        <x:v>9.020562075079397e-17</x:v>
      </x:c>
      <x:c r="G14" s="74" t="str">
        <x:f>IF(F14&lt;=C14,"PASS","FAIL")</x:f>
        <x:v>PASS</x:v>
      </x:c>
      <x:c r="H14" s="160" t="n">
        <x:f>'Python_Metrics'!M5</x:f>
        <x:v>0.045</x:v>
      </x:c>
      <x:c r="I14" s="160" t="n">
        <x:f>'SS_LP'!$H$4</x:f>
        <x:v>0.0450000000000001</x:v>
      </x:c>
      <x:c r="J14" s="158" t="n">
        <x:f>ABS(I14-H14)</x:f>
        <x:v>1.0408340855860843e-16</x:v>
      </x:c>
      <x:c r="K14" s="75" t="str">
        <x:f>IF(J14&lt;=C14,"PASS","FAIL")</x:f>
        <x:v>PASS</x:v>
      </x:c>
    </x:row>
    <x:row r="15">
      <x:c r="A15" s="72" t="str">
        <x:v>SS_fit_VGS_max_V</x:v>
      </x:c>
      <x:c r="B15" s="74" t="str">
        <x:v>V / absolute</x:v>
      </x:c>
      <x:c r="C15" s="158" t="n">
        <x:f>'Config'!$B$20</x:f>
        <x:v>1e-12</x:v>
      </x:c>
      <x:c r="D15" s="160" t="n">
        <x:f>'Python_Metrics'!N4</x:f>
        <x:v>0.065</x:v>
      </x:c>
      <x:c r="E15" s="160" t="n">
        <x:f>'SS_HP'!$I$4</x:f>
        <x:v>0.06500000000000009</x:v>
      </x:c>
      <x:c r="F15" s="158" t="n">
        <x:f>ABS(E15-D15)</x:f>
        <x:v>8.326672684688674e-17</x:v>
      </x:c>
      <x:c r="G15" s="74" t="str">
        <x:f>IF(F15&lt;=C15,"PASS","FAIL")</x:f>
        <x:v>PASS</x:v>
      </x:c>
      <x:c r="H15" s="160" t="n">
        <x:f>'Python_Metrics'!N5</x:f>
        <x:v>0.145</x:v>
      </x:c>
      <x:c r="I15" s="160" t="n">
        <x:f>'SS_LP'!$I$4</x:f>
        <x:v>0.1450000000000002</x:v>
      </x:c>
      <x:c r="J15" s="158" t="n">
        <x:f>ABS(I15-H15)</x:f>
        <x:v>2.220446049250313e-16</x:v>
      </x:c>
      <x:c r="K15" s="75" t="str">
        <x:f>IF(J15&lt;=C15,"PASS","FAIL")</x:f>
        <x:v>PASS</x:v>
      </x:c>
    </x:row>
    <x:row r="16">
      <x:c r="A16" s="72" t="str">
        <x:v>SS_fit_R_squared</x:v>
      </x:c>
      <x:c r="B16" s="74" t="str">
        <x:v>- / absolute</x:v>
      </x:c>
      <x:c r="C16" s="158" t="n">
        <x:f>'Config'!$B$21</x:f>
        <x:v>1e-10</x:v>
      </x:c>
      <x:c r="D16" s="161" t="n">
        <x:f>'Python_Metrics'!Q4</x:f>
        <x:v>0.99999860939</x:v>
      </x:c>
      <x:c r="E16" s="161" t="n">
        <x:f>'SS_HP'!$J$4</x:f>
        <x:v>0.9999986093900107</x:v>
      </x:c>
      <x:c r="F16" s="158" t="n">
        <x:f>ABS(E16-D16)</x:f>
        <x:v>1.0769163338864018e-14</x:v>
      </x:c>
      <x:c r="G16" s="74" t="str">
        <x:f>IF(F16&lt;=C16,"PASS","FAIL")</x:f>
        <x:v>PASS</x:v>
      </x:c>
      <x:c r="H16" s="161" t="n">
        <x:f>'Python_Metrics'!Q5</x:f>
        <x:v>0.999994289569</x:v>
      </x:c>
      <x:c r="I16" s="161" t="n">
        <x:f>'SS_LP'!$J$4</x:f>
        <x:v>0.9999942895690924</x:v>
      </x:c>
      <x:c r="J16" s="158" t="n">
        <x:f>ABS(I16-H16)</x:f>
        <x:v>9.237055564881302e-14</x:v>
      </x:c>
      <x:c r="K16" s="75" t="str">
        <x:f>IF(J16&lt;=C16,"PASS","FAIL")</x:f>
        <x:v>PASS</x:v>
      </x:c>
    </x:row>
    <x:row r="17">
      <x:c r="A17" s="81" t="str">
        <x:v>SS_fit_points</x:v>
      </x:c>
      <x:c r="B17" s="83" t="str">
        <x:v>points / absolute</x:v>
      </x:c>
      <x:c r="C17" s="83" t="n">
        <x:f>0</x:f>
        <x:v>0</x:v>
      </x:c>
      <x:c r="D17" s="162" t="n">
        <x:f>'Python_Metrics'!R4</x:f>
        <x:v>21</x:v>
      </x:c>
      <x:c r="E17" s="162" t="n">
        <x:f>'Config'!$B$13</x:f>
        <x:v>21</x:v>
      </x:c>
      <x:c r="F17" s="83" t="n">
        <x:f>ABS(E17-D17)</x:f>
        <x:v>0</x:v>
      </x:c>
      <x:c r="G17" s="83" t="str">
        <x:f>IF(F17&lt;=C17,"PASS","FAIL")</x:f>
        <x:v>PASS</x:v>
      </x:c>
      <x:c r="H17" s="162" t="n">
        <x:f>'Python_Metrics'!R5</x:f>
        <x:v>21</x:v>
      </x:c>
      <x:c r="I17" s="162" t="n">
        <x:f>'Config'!$B$13</x:f>
        <x:v>21</x:v>
      </x:c>
      <x:c r="J17" s="83" t="n">
        <x:f>ABS(I17-H17)</x:f>
        <x:v>0</x:v>
      </x:c>
      <x:c r="K17" s="84" t="str">
        <x:f>IF(J17&lt;=C17,"PASS","FAIL")</x:f>
        <x:v>PASS</x:v>
      </x:c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22" customHeight="1">
      <x:c r="A19" s="85" t="str">
        <x:v>DC Metric Interpretation at Common 1.0 V</x:v>
      </x:c>
      <x:c r="B19" s="86" t="str">
        <x:v>DC Metric Interpretation at Common 1.0 V</x:v>
      </x:c>
      <x:c r="C19" s="86" t="str">
        <x:v>DC Metric Interpretation at Common 1.0 V</x:v>
      </x:c>
      <x:c r="D19" s="86" t="str">
        <x:v>DC Metric Interpretation at Common 1.0 V</x:v>
      </x:c>
      <x:c r="E19" s="86" t="str">
        <x:v>DC Metric Interpretation at Common 1.0 V</x:v>
      </x:c>
      <x:c r="F19" s="86" t="str">
        <x:v>DC Metric Interpretation at Common 1.0 V</x:v>
      </x:c>
      <x:c r="G19" s="86" t="str">
        <x:v>DC Metric Interpretation at Common 1.0 V</x:v>
      </x:c>
      <x:c r="H19" s="86" t="str">
        <x:v>DC Metric Interpretation at Common 1.0 V</x:v>
      </x:c>
      <x:c r="I19" s="86" t="str">
        <x:v>DC Metric Interpretation at Common 1.0 V</x:v>
      </x:c>
      <x:c r="J19" s="86" t="str">
        <x:v>DC Metric Interpretation at Common 1.0 V</x:v>
      </x:c>
      <x:c r="K19" s="87" t="str">
        <x:v>DC Metric Interpretation at Common 1.0 V</x:v>
      </x:c>
    </x:row>
    <x:row r="20" ht="30" customHeight="1">
      <x:c r="A20" s="67" t="str">
        <x:v>Comparison</x:v>
      </x:c>
      <x:c r="B20" s="67" t="str">
        <x:v>Excel value</x:v>
      </x:c>
      <x:c r="C20" s="67" t="str">
        <x:v>Unit</x:v>
      </x:c>
      <x:c r="D20" s="67" t="str">
        <x:v>Interpretation</x:v>
      </x:c>
      <x:c r="E20" s="66"/>
      <x:c r="F20" s="66"/>
      <x:c r="G20" s="66"/>
      <x:c r="H20" s="66"/>
      <x:c r="I20" s="66"/>
      <x:c r="J20" s="66"/>
      <x:c r="K20" s="66"/>
    </x:row>
    <x:row r="21">
      <x:c r="A21" s="68" t="str">
        <x:v>HP Ion / LP Ion</x:v>
      </x:c>
      <x:c r="B21" s="163" t="n">
        <x:f>E10/I10</x:f>
        <x:v>3.3314866973680988</x:v>
      </x:c>
      <x:c r="C21" s="70" t="str">
        <x:v>×</x:v>
      </x:c>
      <x:c r="D21" s="71" t="str">
        <x:v>HP has 3.33× higher DC drive current at the tested bias; circuit delay was not evaluated.</x:v>
      </x:c>
      <x:c r="E21" s="66"/>
      <x:c r="F21" s="66"/>
      <x:c r="G21" s="66"/>
      <x:c r="H21" s="66"/>
      <x:c r="I21" s="66"/>
      <x:c r="J21" s="66"/>
      <x:c r="K21" s="66"/>
    </x:row>
    <x:row r="22">
      <x:c r="A22" s="72" t="str">
        <x:v>HP Ioff / LP Ioff</x:v>
      </x:c>
      <x:c r="B22" s="164" t="n">
        <x:f>E11/I11</x:f>
        <x:v>947.7375401100049</x:v>
      </x:c>
      <x:c r="C22" s="74" t="str">
        <x:v>×</x:v>
      </x:c>
      <x:c r="D22" s="75" t="str">
        <x:v>HP exhibits substantially higher static leakage under the tested bias.</x:v>
      </x:c>
      <x:c r="E22" s="66"/>
      <x:c r="F22" s="66"/>
      <x:c r="G22" s="66"/>
      <x:c r="H22" s="66"/>
      <x:c r="I22" s="66"/>
      <x:c r="J22" s="66"/>
      <x:c r="K22" s="66"/>
    </x:row>
    <x:row r="23">
      <x:c r="A23" s="81" t="str">
        <x:v>LP ratio / HP ratio</x:v>
      </x:c>
      <x:c r="B23" s="165" t="n">
        <x:f>I12/E12</x:f>
        <x:v>284.47886070165765</x:v>
      </x:c>
      <x:c r="C23" s="83" t="str">
        <x:v>×</x:v>
      </x:c>
      <x:c r="D23" s="84" t="str">
        <x:v>LP has a 284.48× higher Ion/Ioff ratio; total power was not evaluated.</x:v>
      </x:c>
      <x:c r="E23" s="66"/>
      <x:c r="F23" s="66"/>
      <x:c r="G23" s="66"/>
      <x:c r="H23" s="66"/>
      <x:c r="I23" s="66"/>
      <x:c r="J23" s="66"/>
      <x:c r="K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22" customHeight="1">
      <x:c r="A25" s="85" t="str">
        <x:v>Cross-Implementation Scope and Limitations</x:v>
      </x:c>
      <x:c r="B25" s="86" t="str">
        <x:v>Cross-Implementation Scope and Limitations</x:v>
      </x:c>
      <x:c r="C25" s="86" t="str">
        <x:v>Cross-Implementation Scope and Limitations</x:v>
      </x:c>
      <x:c r="D25" s="86" t="str">
        <x:v>Cross-Implementation Scope and Limitations</x:v>
      </x:c>
      <x:c r="E25" s="86" t="str">
        <x:v>Cross-Implementation Scope and Limitations</x:v>
      </x:c>
      <x:c r="F25" s="86" t="str">
        <x:v>Cross-Implementation Scope and Limitations</x:v>
      </x:c>
      <x:c r="G25" s="86" t="str">
        <x:v>Cross-Implementation Scope and Limitations</x:v>
      </x:c>
      <x:c r="H25" s="86" t="str">
        <x:v>Cross-Implementation Scope and Limitations</x:v>
      </x:c>
      <x:c r="I25" s="86" t="str">
        <x:v>Cross-Implementation Scope and Limitations</x:v>
      </x:c>
      <x:c r="J25" s="86" t="str">
        <x:v>Cross-Implementation Scope and Limitations</x:v>
      </x:c>
      <x:c r="K25" s="87" t="str">
        <x:v>Cross-Implementation Scope and Limitations</x:v>
      </x:c>
    </x:row>
    <x:row r="26" ht="24" customHeight="1">
      <x:c r="A26" s="166" t="str">
        <x:v>• PASS means Python output and Excel recalculation from the same processed simulation CSV agree within the stated tolerance.</x:v>
      </x:c>
      <x:c r="B26" s="166"/>
      <x:c r="C26" s="166"/>
      <x:c r="D26" s="166"/>
      <x:c r="E26" s="166"/>
      <x:c r="F26" s="166"/>
      <x:c r="G26" s="166"/>
      <x:c r="H26" s="166"/>
      <x:c r="I26" s="166"/>
      <x:c r="J26" s="166"/>
      <x:c r="K26" s="166"/>
    </x:row>
    <x:row r="27" ht="24" customHeight="1">
      <x:c r="A27" s="166" t="str">
        <x:v>• SS is the minimum local value among 21-point windows satisfying span ≥ 0.75 decade, R² ≥ 0.995, and max(ID) ≤ 1% of Ion.</x:v>
      </x:c>
      <x:c r="B27" s="166"/>
      <x:c r="C27" s="166"/>
      <x:c r="D27" s="166"/>
      <x:c r="E27" s="166"/>
      <x:c r="F27" s="166"/>
      <x:c r="G27" s="166"/>
      <x:c r="H27" s="166"/>
      <x:c r="I27" s="166"/>
      <x:c r="J27" s="166"/>
      <x:c r="K27" s="166"/>
    </x:row>
    <x:row r="28" ht="24" customHeight="1">
      <x:c r="A28" s="166" t="str">
        <x:v>• In the evaluated sensitivity grid, no selected SS interval touches the expanded −0.2 V lower edge; Ion and Ioff definitions are unchanged.</x:v>
      </x:c>
      <x:c r="B28" s="166"/>
      <x:c r="C28" s="166"/>
      <x:c r="D28" s="166"/>
      <x:c r="E28" s="166"/>
      <x:c r="F28" s="166"/>
      <x:c r="G28" s="166"/>
      <x:c r="H28" s="166"/>
      <x:c r="I28" s="166"/>
      <x:c r="J28" s="166"/>
      <x:c r="K28" s="166"/>
    </x:row>
    <x:row r="29" ht="24" customHeight="1">
      <x:c r="A29" s="166" t="str">
        <x:v>• The bias-aligned descriptive HP-LP comparison uses VGS = VDS = 1.0 V with W = 1 µm, L = 45 nm, and T = 25 °C.</x:v>
      </x:c>
      <x:c r="B29" s="166"/>
      <x:c r="C29" s="166"/>
      <x:c r="D29" s="166"/>
      <x:c r="E29" s="166"/>
      <x:c r="F29" s="166"/>
      <x:c r="G29" s="166"/>
      <x:c r="H29" s="166"/>
      <x:c r="I29" s="166"/>
      <x:c r="J29" s="166"/>
      <x:c r="K29" s="166"/>
    </x:row>
  </x:sheetData>
  <x:mergeCells>
    <x:mergeCell ref="A1:K1"/>
    <x:mergeCell ref="A2:K2"/>
    <x:mergeCell ref="B4:C4"/>
    <x:mergeCell ref="E4:F4"/>
    <x:mergeCell ref="H4:I4"/>
    <x:mergeCell ref="A8:K8"/>
    <x:mergeCell ref="A19:K19"/>
    <x:mergeCell ref="A25:K25"/>
    <x:mergeCell ref="A26:K26"/>
    <x:mergeCell ref="A27:K27"/>
    <x:mergeCell ref="A28:K28"/>
    <x:mergeCell ref="A29:K29"/>
  </x:mergeCells>
  <x:conditionalFormatting sqref="B4:C4">
    <x:cfRule type="containsText" dxfId="4" priority="1" operator="containsText" text="PASS"/>
    <x:cfRule type="containsText" dxfId="5" priority="2" operator="containsText" text="CHECK"/>
  </x:conditionalFormatting>
  <x:conditionalFormatting sqref="G10:G17">
    <x:cfRule type="containsText" dxfId="6" priority="3" operator="containsText" text="PASS"/>
    <x:cfRule type="containsText" dxfId="7" priority="4" operator="containsText" text="FAIL"/>
  </x:conditionalFormatting>
  <x:conditionalFormatting sqref="K10:K17">
    <x:cfRule type="containsText" dxfId="8" priority="5" operator="containsText" text="PASS"/>
    <x:cfRule type="containsText" dxfId="9" priority="6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9" hidden="0" customWidth="1"/>
    <x:col min="4" max="4" width="8" hidden="0" customWidth="1"/>
    <x:col min="5" max="5" width="23" hidden="0" customWidth="1"/>
    <x:col min="6" max="6" width="38" hidden="0" customWidth="1"/>
  </x:cols>
  <x:sheetData>
    <x:row r="1" ht="30" customHeight="1">
      <x:c r="A1" s="94" t="str">
        <x:v>Excel Cross-Implementation Check — Workbook Guide</x:v>
      </x:c>
      <x:c r="B1" s="94" t="str">
        <x:v>Excel Cross-Implementation Check — Workbook Guide</x:v>
      </x:c>
      <x:c r="C1" s="94" t="str">
        <x:v>Excel Cross-Implementation Check — Workbook Guide</x:v>
      </x:c>
      <x:c r="D1" s="94" t="str">
        <x:v>Excel Cross-Implementation Check — Workbook Guide</x:v>
      </x:c>
      <x:c r="E1" s="94" t="str">
        <x:v>Excel Cross-Implementation Check — Workbook Guide</x:v>
      </x:c>
      <x:c r="F1" s="94" t="str">
        <x:v>Excel Cross-Implementation Check — Workbook Guide</x:v>
      </x:c>
    </x:row>
    <x:row r="2">
      <x:c r="A2" s="66"/>
      <x:c r="B2" s="66"/>
      <x:c r="C2" s="66"/>
      <x:c r="D2" s="66"/>
      <x:c r="E2" s="66"/>
      <x:c r="F2" s="66"/>
    </x:row>
    <x:row r="3">
      <x:c r="A3" s="171" t="str">
        <x:v>Purpose: recalculate the Python pipeline metrics from the same processed simulation CSV using visible Excel formulas.</x:v>
      </x:c>
      <x:c r="B3" s="171"/>
      <x:c r="C3" s="171"/>
      <x:c r="D3" s="171"/>
      <x:c r="E3" s="171"/>
      <x:c r="F3" s="171"/>
    </x:row>
    <x:row r="4">
      <x:c r="A4" s="66"/>
      <x:c r="B4" s="66"/>
      <x:c r="C4" s="66"/>
      <x:c r="D4" s="66"/>
      <x:c r="E4" s="66"/>
      <x:c r="F4" s="66"/>
    </x:row>
    <x:row r="5" ht="22" customHeight="1">
      <x:c r="A5" s="85" t="str">
        <x:v>Worksheet Structure</x:v>
      </x:c>
      <x:c r="B5" s="86" t="str">
        <x:v>Worksheet Structure</x:v>
      </x:c>
      <x:c r="C5" s="86" t="str">
        <x:v>Worksheet Structure</x:v>
      </x:c>
      <x:c r="D5" s="86" t="str">
        <x:v>Worksheet Structure</x:v>
      </x:c>
      <x:c r="E5" s="86" t="str">
        <x:v>Worksheet Structure</x:v>
      </x:c>
      <x:c r="F5" s="87" t="str">
        <x:v>Worksheet Structure</x:v>
      </x:c>
    </x:row>
    <x:row r="6" ht="30" customHeight="1">
      <x:c r="A6" s="67" t="str">
        <x:v>Sheet</x:v>
      </x:c>
      <x:c r="B6" s="67" t="str">
        <x:v>Role</x:v>
      </x:c>
      <x:c r="C6" s="67" t="str">
        <x:v>What to inspect</x:v>
      </x:c>
      <x:c r="D6" s="66"/>
      <x:c r="E6" s="66"/>
      <x:c r="F6" s="66"/>
    </x:row>
    <x:row r="7">
      <x:c r="A7" s="68" t="str">
        <x:v>Validation_Summary</x:v>
      </x:c>
      <x:c r="B7" s="70" t="str">
        <x:v>Cross-implementation comparison</x:v>
      </x:c>
      <x:c r="C7" s="71" t="str">
        <x:v>16 PASS checks and HP-LP interpretation</x:v>
      </x:c>
      <x:c r="D7" s="66"/>
      <x:c r="E7" s="66"/>
      <x:c r="F7" s="66"/>
    </x:row>
    <x:row r="8">
      <x:c r="A8" s="72" t="str">
        <x:v>Config</x:v>
      </x:c>
      <x:c r="B8" s="74" t="str">
        <x:v>Settings and tolerances</x:v>
      </x:c>
      <x:c r="C8" s="75" t="str">
        <x:v>Project conditions, SS rules, and model hashes</x:v>
      </x:c>
      <x:c r="D8" s="66"/>
      <x:c r="E8" s="66"/>
      <x:c r="F8" s="66"/>
    </x:row>
    <x:row r="9">
      <x:c r="A9" s="72" t="str">
        <x:v>Python_Metrics</x:v>
      </x:c>
      <x:c r="B9" s="74" t="str">
        <x:v>Python reference</x:v>
      </x:c>
      <x:c r="C9" s="75" t="str">
        <x:v>Four unmodified output rows from metrics.csv</x:v>
      </x:c>
      <x:c r="D9" s="66"/>
      <x:c r="E9" s="66"/>
      <x:c r="F9" s="66"/>
    </x:row>
    <x:row r="10">
      <x:c r="A10" s="72" t="str">
        <x:v>Raw_Data (processed)</x:v>
      </x:c>
      <x:c r="B10" s="74" t="str">
        <x:v>Processed simulation data</x:v>
      </x:c>
      <x:c r="C10" s="75" t="str">
        <x:v>1,245 rows from ptm45_combined.csv; unchanged</x:v>
      </x:c>
      <x:c r="D10" s="66"/>
      <x:c r="E10" s="66"/>
      <x:c r="F10" s="66"/>
    </x:row>
    <x:row r="11">
      <x:c r="A11" s="72" t="str">
        <x:v>SS_HP</x:v>
      </x:c>
      <x:c r="B11" s="74" t="str">
        <x:v>HP Excel calculation</x:v>
      </x:c>
      <x:c r="C11" s="75" t="str">
        <x:v>241 points, 221 windows, and selected fit</x:v>
      </x:c>
      <x:c r="D11" s="66"/>
      <x:c r="E11" s="66"/>
      <x:c r="F11" s="66"/>
    </x:row>
    <x:row r="12">
      <x:c r="A12" s="81" t="str">
        <x:v>SS_LP</x:v>
      </x:c>
      <x:c r="B12" s="83" t="str">
        <x:v>LP Excel calculation</x:v>
      </x:c>
      <x:c r="C12" s="84" t="str">
        <x:v>241 points, 221 windows, and selected fit</x:v>
      </x:c>
      <x:c r="D12" s="66"/>
      <x:c r="E12" s="66"/>
      <x:c r="F12" s="66"/>
    </x:row>
    <x:row r="13">
      <x:c r="A13" s="66"/>
      <x:c r="B13" s="66"/>
      <x:c r="C13" s="66"/>
      <x:c r="D13" s="66"/>
      <x:c r="E13" s="66"/>
      <x:c r="F13" s="66"/>
    </x:row>
    <x:row r="14" ht="22" customHeight="1">
      <x:c r="A14" s="85" t="str">
        <x:v>Validation Flow</x:v>
      </x:c>
      <x:c r="B14" s="86" t="str">
        <x:v>Validation Flow</x:v>
      </x:c>
      <x:c r="C14" s="86" t="str">
        <x:v>Validation Flow</x:v>
      </x:c>
      <x:c r="D14" s="86" t="str">
        <x:v>Validation Flow</x:v>
      </x:c>
      <x:c r="E14" s="86" t="str">
        <x:v>Validation Flow</x:v>
      </x:c>
      <x:c r="F14" s="87" t="str">
        <x:v>Validation Flow</x:v>
      </x:c>
    </x:row>
    <x:row r="15">
      <x:c r="A15" s="68" t="str">
        <x:v>1</x:v>
      </x:c>
      <x:c r="B15" s="70" t="str">
        <x:v>Raw_Data (processed)</x:v>
      </x:c>
      <x:c r="C15" s="70" t="str">
        <x:v>Common 1.0 V processed simulation curves</x:v>
      </x:c>
      <x:c r="D15" s="70" t="str">
        <x:v>→</x:v>
      </x:c>
      <x:c r="E15" s="70" t="str">
        <x:v>SS_HP / SS_LP</x:v>
      </x:c>
      <x:c r="F15" s="71" t="str">
        <x:v>LOG10, SLOPE, RSQ, minimum SS</x:v>
      </x:c>
    </x:row>
    <x:row r="16">
      <x:c r="A16" s="72" t="str">
        <x:v>2</x:v>
      </x:c>
      <x:c r="B16" s="74" t="str">
        <x:v>Python_Metrics</x:v>
      </x:c>
      <x:c r="C16" s="74" t="str">
        <x:v>Reference Python outputs</x:v>
      </x:c>
      <x:c r="D16" s="74" t="str">
        <x:v>→</x:v>
      </x:c>
      <x:c r="E16" s="74" t="str">
        <x:v>Validation_Summary</x:v>
      </x:c>
      <x:c r="F16" s="75" t="str">
        <x:v>Calculate Python-Excel error</x:v>
      </x:c>
    </x:row>
    <x:row r="17">
      <x:c r="A17" s="72" t="str">
        <x:v>3</x:v>
      </x:c>
      <x:c r="B17" s="74" t="str">
        <x:v>Config</x:v>
      </x:c>
      <x:c r="C17" s="74" t="str">
        <x:v>Reference tolerances and selection rules</x:v>
      </x:c>
      <x:c r="D17" s="74" t="str">
        <x:v>→</x:v>
      </x:c>
      <x:c r="E17" s="74" t="str">
        <x:v>Validation_Summary</x:v>
      </x:c>
      <x:c r="F17" s="75" t="str">
        <x:v>Automatic PASS / FAIL</x:v>
      </x:c>
    </x:row>
    <x:row r="18">
      <x:c r="A18" s="81" t="str">
        <x:v>4</x:v>
      </x:c>
      <x:c r="B18" s="83" t="str">
        <x:v>Validation_Summary</x:v>
      </x:c>
      <x:c r="C18" s="83" t="str">
        <x:v>Evaluate all 16 checks</x:v>
      </x:c>
      <x:c r="D18" s="83" t="str">
        <x:v>→</x:v>
      </x:c>
      <x:c r="E18" s="83" t="str">
        <x:v>Overall</x:v>
      </x:c>
      <x:c r="F18" s="84" t="str">
        <x:v>PASS when 16/16</x:v>
      </x:c>
    </x:row>
    <x:row r="19">
      <x:c r="A19" s="66"/>
      <x:c r="B19" s="66"/>
      <x:c r="C19" s="66"/>
      <x:c r="D19" s="66"/>
      <x:c r="E19" s="66"/>
      <x:c r="F19" s="66"/>
    </x:row>
    <x:row r="20" ht="22" customHeight="1">
      <x:c r="A20" s="85" t="str">
        <x:v>Interview-Ready Explanation</x:v>
      </x:c>
      <x:c r="B20" s="86" t="str">
        <x:v>Interview-Ready Explanation</x:v>
      </x:c>
      <x:c r="C20" s="86" t="str">
        <x:v>Interview-Ready Explanation</x:v>
      </x:c>
      <x:c r="D20" s="86" t="str">
        <x:v>Interview-Ready Explanation</x:v>
      </x:c>
      <x:c r="E20" s="86" t="str">
        <x:v>Interview-Ready Explanation</x:v>
      </x:c>
      <x:c r="F20" s="87" t="str">
        <x:v>Interview-Ready Explanation</x:v>
      </x:c>
    </x:row>
    <x:row r="21" ht="28" customHeight="1">
      <x:c r="A21" s="172" t="str">
        <x:v>I cross-checked the Python calculation by recalculating Ion, Ioff, Ion/Ioff, and every SS regression window from the same 1,245-row processed simulation dataset in Excel.</x:v>
      </x:c>
      <x:c r="B21" s="172"/>
      <x:c r="C21" s="172"/>
      <x:c r="D21" s="172"/>
      <x:c r="E21" s="172"/>
      <x:c r="F21" s="172"/>
    </x:row>
    <x:row r="22" ht="28" customHeight="1">
      <x:c r="A22" s="172" t="str">
        <x:v>For both HP and LP, the Python-Excel differences were within predefined tolerances, including the selected SS interval and R².</x:v>
      </x:c>
      <x:c r="B22" s="172"/>
      <x:c r="C22" s="172"/>
      <x:c r="D22" s="172"/>
      <x:c r="E22" s="172"/>
      <x:c r="F22" s="172"/>
    </x:row>
    <x:row r="23" ht="28" customHeight="1">
      <x:c r="A23" s="172" t="str">
        <x:v>This checks cross-implementation reproducibility without presenting PTM predictions as measured wafer results.</x:v>
      </x:c>
      <x:c r="B23" s="172"/>
      <x:c r="C23" s="172"/>
      <x:c r="D23" s="172"/>
      <x:c r="E23" s="172"/>
      <x:c r="F23" s="172"/>
    </x:row>
    <x:row r="24">
      <x:c r="A24" s="66"/>
      <x:c r="B24" s="66"/>
      <x:c r="C24" s="66"/>
      <x:c r="D24" s="66"/>
      <x:c r="E24" s="66"/>
      <x:c r="F24" s="66"/>
    </x:row>
    <x:row r="25" ht="22" customHeight="1">
      <x:c r="A25" s="85" t="str">
        <x:v>Source Files</x:v>
      </x:c>
      <x:c r="B25" s="86" t="str">
        <x:v>Source Files</x:v>
      </x:c>
      <x:c r="C25" s="86" t="str">
        <x:v>Source Files</x:v>
      </x:c>
      <x:c r="D25" s="86" t="str">
        <x:v>Source Files</x:v>
      </x:c>
      <x:c r="E25" s="86" t="str">
        <x:v>Source Files</x:v>
      </x:c>
      <x:c r="F25" s="87" t="str">
        <x:v>Source Files</x:v>
      </x:c>
    </x:row>
    <x:row r="26">
      <x:c r="A26" s="68" t="str">
        <x:v>data_manifest.csv</x:v>
      </x:c>
      <x:c r="B26" s="71" t="str">
        <x:v>Curve mapping, model hashes, and sweep limits</x:v>
      </x:c>
      <x:c r="C26" s="66"/>
      <x:c r="D26" s="66"/>
      <x:c r="E26" s="66"/>
      <x:c r="F26" s="66"/>
    </x:row>
    <x:row r="27">
      <x:c r="A27" s="72" t="str">
        <x:v>metrics.csv</x:v>
      </x:c>
      <x:c r="B27" s="75" t="str">
        <x:v>Python extraction output</x:v>
      </x:c>
      <x:c r="C27" s="66"/>
      <x:c r="D27" s="66"/>
      <x:c r="E27" s="66"/>
      <x:c r="F27" s="66"/>
    </x:row>
    <x:row r="28">
      <x:c r="A28" s="81" t="str">
        <x:v>ptm45_combined.csv</x:v>
      </x:c>
      <x:c r="B28" s="84" t="str">
        <x:v>Five curves and 1,245 combined data rows</x:v>
      </x:c>
      <x:c r="C28" s="66"/>
      <x:c r="D28" s="66"/>
      <x:c r="E28" s="66"/>
      <x:c r="F28" s="66"/>
    </x:row>
  </x:sheetData>
  <x:mergeCells>
    <x:mergeCell ref="A1:F1"/>
    <x:mergeCell ref="A3:F3"/>
    <x:mergeCell ref="A5:F5"/>
    <x:mergeCell ref="A14:F14"/>
    <x:mergeCell ref="A20:F20"/>
    <x:mergeCell ref="A21:F21"/>
    <x:mergeCell ref="A22:F22"/>
    <x:mergeCell ref="A23:F23"/>
    <x:mergeCell ref="A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38" hidden="0" customWidth="1"/>
    <x:col min="4" max="4" width="62" hidden="0" customWidth="1"/>
  </x:cols>
  <x:sheetData>
    <x:row r="1" ht="30" customHeight="1">
      <x:c r="A1" s="94" t="str">
        <x:v>PTM 45 nm Validation Settings and Sources</x:v>
      </x:c>
      <x:c r="B1" s="94" t="str">
        <x:v>PTM 45 nm Validation Settings and Sources</x:v>
      </x:c>
      <x:c r="C1" s="94" t="str">
        <x:v>PTM 45 nm Validation Settings and Sources</x:v>
      </x:c>
      <x:c r="D1" s="94" t="str">
        <x:v>PTM 45 nm Validation Settings and Sources</x:v>
      </x:c>
    </x:row>
    <x:row r="2">
      <x:c r="A2" s="65" t="str">
        <x:v>Original project settings and Excel comparison tolerances are recorded separately.</x:v>
      </x:c>
      <x:c r="B2" s="65"/>
      <x:c r="C2" s="65"/>
      <x:c r="D2" s="65"/>
    </x:row>
    <x:row r="3">
      <x:c r="A3" s="66"/>
      <x:c r="B3" s="66"/>
      <x:c r="C3" s="66"/>
      <x:c r="D3" s="66"/>
    </x:row>
    <x:row r="4" ht="30" customHeight="1">
      <x:c r="A4" s="67" t="str">
        <x:v>Parameter</x:v>
      </x:c>
      <x:c r="B4" s="67" t="str">
        <x:v>Value</x:v>
      </x:c>
      <x:c r="C4" s="67" t="str">
        <x:v>Unit</x:v>
      </x:c>
      <x:c r="D4" s="67" t="str">
        <x:v>Source / purpose</x:v>
      </x:c>
    </x:row>
    <x:row r="5">
      <x:c r="A5" s="68" t="str">
        <x:v>technology_nm</x:v>
      </x:c>
      <x:c r="B5" s="69" t="n">
        <x:v>45</x:v>
      </x:c>
      <x:c r="C5" s="70" t="str">
        <x:v>nm</x:v>
      </x:c>
      <x:c r="D5" s="71" t="str">
        <x:v>project_config.json</x:v>
      </x:c>
    </x:row>
    <x:row r="6">
      <x:c r="A6" s="72" t="str">
        <x:v>device_type</x:v>
      </x:c>
      <x:c r="B6" s="73" t="str">
        <x:v>NMOS</x:v>
      </x:c>
      <x:c r="C6" s="74" t="str">
        <x:v>-</x:v>
      </x:c>
      <x:c r="D6" s="75" t="str">
        <x:v>project_config.json</x:v>
      </x:c>
    </x:row>
    <x:row r="7">
      <x:c r="A7" s="72" t="str">
        <x:v>width_um</x:v>
      </x:c>
      <x:c r="B7" s="76" t="n">
        <x:v>1</x:v>
      </x:c>
      <x:c r="C7" s="74" t="str">
        <x:v>µm</x:v>
      </x:c>
      <x:c r="D7" s="75" t="str">
        <x:v>project_config.json</x:v>
      </x:c>
    </x:row>
    <x:row r="8">
      <x:c r="A8" s="72" t="str">
        <x:v>length_um</x:v>
      </x:c>
      <x:c r="B8" s="76" t="n">
        <x:v>0.045</x:v>
      </x:c>
      <x:c r="C8" s="74" t="str">
        <x:v>µm</x:v>
      </x:c>
      <x:c r="D8" s="75" t="str">
        <x:v>project_config.json</x:v>
      </x:c>
    </x:row>
    <x:row r="9">
      <x:c r="A9" s="72" t="str">
        <x:v>temperature_C</x:v>
      </x:c>
      <x:c r="B9" s="77" t="n">
        <x:v>25</x:v>
      </x:c>
      <x:c r="C9" s="74" t="str">
        <x:v>°C</x:v>
      </x:c>
      <x:c r="D9" s="75" t="str">
        <x:v>project_config.json</x:v>
      </x:c>
    </x:row>
    <x:row r="10">
      <x:c r="A10" s="72" t="str">
        <x:v>vgs_step_v</x:v>
      </x:c>
      <x:c r="B10" s="76" t="n">
        <x:v>0.005</x:v>
      </x:c>
      <x:c r="C10" s="74" t="str">
        <x:v>V</x:v>
      </x:c>
      <x:c r="D10" s="75" t="str">
        <x:v>project_config.json</x:v>
      </x:c>
    </x:row>
    <x:row r="11">
      <x:c r="A11" s="72" t="str">
        <x:v>low_vds_v</x:v>
      </x:c>
      <x:c r="B11" s="76" t="n">
        <x:v>0.05</x:v>
      </x:c>
      <x:c r="C11" s="74" t="str">
        <x:v>V</x:v>
      </x:c>
      <x:c r="D11" s="75" t="str">
        <x:v>project_config.json</x:v>
      </x:c>
    </x:row>
    <x:row r="12">
      <x:c r="A12" s="72" t="str">
        <x:v>common_vdd_v</x:v>
      </x:c>
      <x:c r="B12" s="76" t="n">
        <x:v>1</x:v>
      </x:c>
      <x:c r="C12" s="74" t="str">
        <x:v>V</x:v>
      </x:c>
      <x:c r="D12" s="75" t="str">
        <x:v>project_config.json</x:v>
      </x:c>
    </x:row>
    <x:row r="13">
      <x:c r="A13" s="72" t="str">
        <x:v>window_points</x:v>
      </x:c>
      <x:c r="B13" s="78" t="n">
        <x:v>21</x:v>
      </x:c>
      <x:c r="C13" s="74" t="str">
        <x:v>points</x:v>
      </x:c>
      <x:c r="D13" s="75" t="str">
        <x:v>project_config.json</x:v>
      </x:c>
    </x:row>
    <x:row r="14">
      <x:c r="A14" s="72" t="str">
        <x:v>min_current_span_decades</x:v>
      </x:c>
      <x:c r="B14" s="76" t="n">
        <x:v>0.75</x:v>
      </x:c>
      <x:c r="C14" s="74" t="str">
        <x:v>dec</x:v>
      </x:c>
      <x:c r="D14" s="75" t="str">
        <x:v>project_config.json</x:v>
      </x:c>
    </x:row>
    <x:row r="15">
      <x:c r="A15" s="72" t="str">
        <x:v>min_r_squared</x:v>
      </x:c>
      <x:c r="B15" s="76" t="n">
        <x:v>0.995</x:v>
      </x:c>
      <x:c r="C15" s="74" t="str">
        <x:v>-</x:v>
      </x:c>
      <x:c r="D15" s="75" t="str">
        <x:v>project_config.json</x:v>
      </x:c>
    </x:row>
    <x:row r="16">
      <x:c r="A16" s="72" t="str">
        <x:v>max_ion_fraction</x:v>
      </x:c>
      <x:c r="B16" s="76" t="n">
        <x:v>0.01</x:v>
      </x:c>
      <x:c r="C16" s="74" t="str">
        <x:v>fraction</x:v>
      </x:c>
      <x:c r="D16" s="75" t="str">
        <x:v>project_config.json</x:v>
      </x:c>
    </x:row>
    <x:row r="17">
      <x:c r="A17" s="72" t="str">
        <x:v>mV_per_V</x:v>
      </x:c>
      <x:c r="B17" s="78" t="n">
        <x:v>1000</x:v>
      </x:c>
      <x:c r="C17" s="74" t="str">
        <x:v>mV/V</x:v>
      </x:c>
      <x:c r="D17" s="75" t="str">
        <x:v>SS unit conversion</x:v>
      </x:c>
    </x:row>
    <x:row r="18">
      <x:c r="A18" s="72" t="str">
        <x:v>relative_tolerance</x:v>
      </x:c>
      <x:c r="B18" s="79" t="n">
        <x:v>1e-9</x:v>
      </x:c>
      <x:c r="C18" s="74" t="str">
        <x:v>relative</x:v>
      </x:c>
      <x:c r="D18" s="75" t="str">
        <x:v>Ion, Ioff, ratio PASS threshold</x:v>
      </x:c>
    </x:row>
    <x:row r="19">
      <x:c r="A19" s="72" t="str">
        <x:v>SS_abs_tolerance_mV_dec</x:v>
      </x:c>
      <x:c r="B19" s="79" t="n">
        <x:v>0.000001</x:v>
      </x:c>
      <x:c r="C19" s="74" t="str">
        <x:v>mV/dec</x:v>
      </x:c>
      <x:c r="D19" s="75" t="str">
        <x:v>SS PASS threshold</x:v>
      </x:c>
    </x:row>
    <x:row r="20">
      <x:c r="A20" s="72" t="str">
        <x:v>VGS_abs_tolerance_V</x:v>
      </x:c>
      <x:c r="B20" s="79" t="n">
        <x:v>1e-12</x:v>
      </x:c>
      <x:c r="C20" s="74" t="str">
        <x:v>V</x:v>
      </x:c>
      <x:c r="D20" s="75" t="str">
        <x:v>SS window endpoint PASS threshold</x:v>
      </x:c>
    </x:row>
    <x:row r="21">
      <x:c r="A21" s="72" t="str">
        <x:v>R2_abs_tolerance</x:v>
      </x:c>
      <x:c r="B21" s="79" t="n">
        <x:v>1e-10</x:v>
      </x:c>
      <x:c r="C21" s="74" t="str">
        <x:v>-</x:v>
      </x:c>
      <x:c r="D21" s="75" t="str">
        <x:v>R² PASS threshold</x:v>
      </x:c>
    </x:row>
    <x:row r="22">
      <x:c r="A22" s="72" t="str">
        <x:v>selection_tolerance_mV_dec</x:v>
      </x:c>
      <x:c r="B22" s="79" t="n">
        <x:v>1e-9</x:v>
      </x:c>
      <x:c r="C22" s="74" t="str">
        <x:v>mV/dec</x:v>
      </x:c>
      <x:c r="D22" s="75" t="str">
        <x:v>Selected-window marker threshold</x:v>
      </x:c>
    </x:row>
    <x:row r="23">
      <x:c r="A23" s="72" t="str">
        <x:v>expected_raw_rows</x:v>
      </x:c>
      <x:c r="B23" s="80" t="n">
        <x:v>1245</x:v>
      </x:c>
      <x:c r="C23" s="74" t="str">
        <x:v>rows</x:v>
      </x:c>
      <x:c r="D23" s="75" t="str">
        <x:v>ptm45_combined.csv</x:v>
      </x:c>
    </x:row>
    <x:row r="24">
      <x:c r="A24" s="72" t="str">
        <x:v>expected_metric_rows</x:v>
      </x:c>
      <x:c r="B24" s="80" t="n">
        <x:v>4</x:v>
      </x:c>
      <x:c r="C24" s="74" t="str">
        <x:v>rows</x:v>
      </x:c>
      <x:c r="D24" s="75" t="str">
        <x:v>metrics.csv</x:v>
      </x:c>
    </x:row>
    <x:row r="25">
      <x:c r="A25" s="81" t="str">
        <x:v>voltage_key_round_digits</x:v>
      </x:c>
      <x:c r="B25" s="82" t="n">
        <x:v>6</x:v>
      </x:c>
      <x:c r="C25" s="83" t="str">
        <x:v>digits</x:v>
      </x:c>
      <x:c r="D25" s="84" t="str">
        <x:v>Floating-point endpoint normalization</x:v>
      </x:c>
    </x:row>
    <x:row r="26">
      <x:c r="A26" s="66" t="str">
        <x:v>vgs_start_v</x:v>
      </x:c>
      <x:c r="B26" s="66" t="n">
        <x:v>-0.2</x:v>
      </x:c>
      <x:c r="C26" s="66" t="str">
        <x:v>V</x:v>
      </x:c>
      <x:c r="D26" s="66" t="str">
        <x:v>data_manifest.csv</x:v>
      </x:c>
    </x:row>
    <x:row r="27" ht="22" customHeight="1">
      <x:c r="A27" s="85" t="str">
        <x:v>Common-VDD Metric-to-Raw Mapping</x:v>
      </x:c>
      <x:c r="B27" s="86" t="str">
        <x:v>Common-VDD Metric-to-Raw Mapping</x:v>
      </x:c>
      <x:c r="C27" s="86" t="str">
        <x:v>Common-VDD Metric-to-Raw Mapping</x:v>
      </x:c>
      <x:c r="D27" s="87" t="str">
        <x:v>Common-VDD Metric-to-Raw Mapping</x:v>
      </x:c>
    </x:row>
    <x:row r="28" ht="30" customHeight="1">
      <x:c r="A28" s="67" t="str">
        <x:v>Case</x:v>
      </x:c>
      <x:c r="B28" s="67" t="str">
        <x:v>Python metric row</x:v>
      </x:c>
      <x:c r="C28" s="67" t="str">
        <x:v>Raw curve used</x:v>
      </x:c>
      <x:c r="D28" s="67" t="str">
        <x:v>Raw_Data rows</x:v>
      </x:c>
    </x:row>
    <x:row r="29">
      <x:c r="A29" s="68" t="str">
        <x:v>HP common 1.0 V</x:v>
      </x:c>
      <x:c r="B29" s="70" t="str">
        <x:v>HP / common_vdd (row 4)</x:v>
      </x:c>
      <x:c r="C29" s="70" t="str">
        <x:v>HP / nominal_vdd / model_nominal_vdd / VDS 1.0 V</x:v>
      </x:c>
      <x:c r="D29" s="71" t="str">
        <x:v>243:483</x:v>
      </x:c>
    </x:row>
    <x:row r="30">
      <x:c r="A30" s="81" t="str">
        <x:v>LP common 1.0 V</x:v>
      </x:c>
      <x:c r="B30" s="83" t="str">
        <x:v>LP / common_vdd (row 5)</x:v>
      </x:c>
      <x:c r="C30" s="83" t="str">
        <x:v>LP / common_1v / common_vdd / VDS 1.0 V</x:v>
      </x:c>
      <x:c r="D30" s="84" t="str">
        <x:v>1006:1246</x:v>
      </x:c>
    </x:row>
    <x:row r="31">
      <x:c r="A31" s="88" t="str">
        <x:v>HP common 1.0 V reuses the HP nominal 1.0 V raw curve; it is not a separate simulated curve.</x:v>
      </x:c>
      <x:c r="B31" s="88"/>
      <x:c r="C31" s="88"/>
      <x:c r="D31" s="88"/>
    </x:row>
    <x:row r="32">
      <x:c r="A32" s="66"/>
      <x:c r="B32" s="66"/>
      <x:c r="C32" s="66"/>
      <x:c r="D32" s="66"/>
    </x:row>
    <x:row r="33" ht="22" customHeight="1">
      <x:c r="A33" s="85" t="str">
        <x:v>Model File Metadata</x:v>
      </x:c>
      <x:c r="B33" s="86" t="str">
        <x:v>Model File Metadata</x:v>
      </x:c>
      <x:c r="C33" s="86" t="str">
        <x:v>Model File Metadata</x:v>
      </x:c>
      <x:c r="D33" s="87" t="str">
        <x:v>Model File Metadata</x:v>
      </x:c>
    </x:row>
    <x:row r="34" ht="30" customHeight="1">
      <x:c r="A34" s="67" t="str">
        <x:v>Model</x:v>
      </x:c>
      <x:c r="B34" s="67" t="str">
        <x:v>Model path</x:v>
      </x:c>
      <x:c r="C34" s="67" t="str">
        <x:v>SHA-256</x:v>
      </x:c>
      <x:c r="D34" s="67" t="str">
        <x:v>Official download URL</x:v>
      </x:c>
    </x:row>
    <x:row r="35" ht="50" customHeight="1">
      <x:c r="A35" s="68" t="str">
        <x:v>HP</x:v>
      </x:c>
      <x:c r="B35" s="70" t="str">
        <x:v>models/45nm_HP.pm</x:v>
      </x:c>
      <x:c r="C35" s="89" t="str">
        <x:v>c9ed2e513523c57a76912a35b2860cb85e4aaa3402b69757d84efa9cc2fb8410</x:v>
      </x:c>
      <x:c r="D35" s="90" t="str">
        <x:v>https://drive.google.com/file/d/1H5eUrlxDpi2Sdmf5W9rCsjBRjttYPFZs/view?usp=drive_link</x:v>
      </x:c>
    </x:row>
    <x:row r="36" ht="50" customHeight="1">
      <x:c r="A36" s="81" t="str">
        <x:v>LP</x:v>
      </x:c>
      <x:c r="B36" s="83" t="str">
        <x:v>models/45nm_LP.pm</x:v>
      </x:c>
      <x:c r="C36" s="91" t="str">
        <x:v>397141eb8a813045075ac2be3098d3b136ebaf4d597c08fca627922a75e443b7</x:v>
      </x:c>
      <x:c r="D36" s="92" t="str">
        <x:v>https://drive.google.com/file/d/1l_4DKHzqwFFLugqTWzVWdWruB7eJL4mK/view?usp=drive_link</x:v>
      </x:c>
    </x:row>
    <x:row r="37">
      <x:c r="A37" s="66"/>
      <x:c r="B37" s="66"/>
      <x:c r="C37" s="66"/>
      <x:c r="D37" s="66"/>
    </x:row>
    <x:row r="38" ht="22" customHeight="1">
      <x:c r="A38" s="85" t="str">
        <x:v>Input File SHA-256</x:v>
      </x:c>
      <x:c r="B38" s="86" t="str">
        <x:v>Input File SHA-256</x:v>
      </x:c>
      <x:c r="C38" s="86" t="str">
        <x:v>Input File SHA-256</x:v>
      </x:c>
      <x:c r="D38" s="87" t="str">
        <x:v>Input File SHA-256</x:v>
      </x:c>
    </x:row>
    <x:row r="39" ht="30" customHeight="1">
      <x:c r="A39" s="67" t="str">
        <x:v>File</x:v>
      </x:c>
      <x:c r="B39" s="67" t="str">
        <x:v>Role</x:v>
      </x:c>
      <x:c r="C39" s="67" t="str">
        <x:v>SHA-256</x:v>
      </x:c>
      <x:c r="D39" s="67"/>
    </x:row>
    <x:row r="40" ht="22" customHeight="1">
      <x:c r="A40" s="68" t="str">
        <x:v>project_config.json</x:v>
      </x:c>
      <x:c r="B40" s="70" t="str">
        <x:v>Config source; bundled with public package</x:v>
      </x:c>
      <x:c r="C40" s="70" t="str">
        <x:v>fd2501ec7ca27ca655e4ec1d603567e5596ad5b19f1392943958696dc4f2848f</x:v>
      </x:c>
      <x:c r="D40" s="71"/>
    </x:row>
    <x:row r="41" ht="22" customHeight="1">
      <x:c r="A41" s="72" t="str">
        <x:v>metrics.csv</x:v>
      </x:c>
      <x:c r="B41" s="74" t="str">
        <x:v>Python output source; 12-significant-digit serialization</x:v>
      </x:c>
      <x:c r="C41" s="74" t="str">
        <x:v>0fb6847b16b6e0106e411461ba4c025406741ffb25b464c5cda03256d25976d1</x:v>
      </x:c>
      <x:c r="D41" s="75"/>
    </x:row>
    <x:row r="42" ht="22" customHeight="1">
      <x:c r="A42" s="81" t="str">
        <x:v>ptm45_combined.csv</x:v>
      </x:c>
      <x:c r="B42" s="83" t="str">
        <x:v>Processed simulation CSV used as analysis input</x:v>
      </x:c>
      <x:c r="C42" s="83" t="str">
        <x:v>5cf83d0a989be5a1dad2d5a9a2dafbce11b57f1e6dd1dac7c5d109625a2dbf86</x:v>
      </x:c>
      <x:c r="D42" s="84"/>
    </x:row>
    <x:row r="43">
      <x:c r="A43" s="66" t="str">
        <x:v>data_manifest.csv</x:v>
      </x:c>
      <x:c r="B43" s="66" t="str">
        <x:v>Curve map and model provenance</x:v>
      </x:c>
      <x:c r="C43" s="66" t="str">
        <x:v>1d6885c62adde4544e34d23eccad48c82e6a8fcba66d7b2488f4ffcbca326429</x:v>
      </x:c>
      <x:c r="D43" s="66"/>
    </x:row>
    <x:row r="44">
      <x:c r="A44" s="93" t="str">
        <x:v>Validation date: 2026-08-15 | VGS sweep extended to −0.2 V; all derived calculations remain on separate sheets.</x:v>
      </x:c>
      <x:c r="B44" s="93"/>
      <x:c r="C44" s="93"/>
      <x:c r="D44" s="93"/>
    </x:row>
  </x:sheetData>
  <x:mergeCells>
    <x:mergeCell ref="A1:D1"/>
    <x:mergeCell ref="A2:D2"/>
    <x:mergeCell ref="A27:D27"/>
    <x:mergeCell ref="A31:D31"/>
    <x:mergeCell ref="A33:D33"/>
    <x:mergeCell ref="A38:D38"/>
    <x:mergeCell ref="C39:D39"/>
    <x:mergeCell ref="C40:D40"/>
    <x:mergeCell ref="C41:D41"/>
    <x:mergeCell ref="C42:D42"/>
    <x:mergeCell ref="A44:D4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0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5" hidden="0" customWidth="1"/>
    <x:col min="12" max="12" width="18" hidden="0" customWidth="1"/>
    <x:col min="13" max="13" width="18" hidden="0" customWidth="1"/>
    <x:col min="14" max="14" width="17" hidden="0" customWidth="1"/>
    <x:col min="15" max="15" width="17" hidden="0" customWidth="1"/>
    <x:col min="16" max="16" width="19" hidden="0" customWidth="1"/>
    <x:col min="17" max="17" width="14" hidden="0" customWidth="1"/>
    <x:col min="18" max="18" width="32" hidden="0" customWidth="1"/>
    <x:col min="19" max="19" width="18" hidden="0" customWidth="1"/>
    <x:col min="20" max="20" width="18" hidden="0" customWidth="1"/>
    <x:col min="21" max="21" width="16" hidden="0" customWidth="1"/>
  </x:cols>
  <x:sheetData>
    <x:row r="1" ht="34" customHeight="1">
      <x:c r="A1" s="177" t="str">
        <x:v>application_type</x:v>
      </x:c>
      <x:c r="B1" s="177" t="str">
        <x:v>bias_label</x:v>
      </x:c>
      <x:c r="C1" s="177" t="str">
        <x:v>comparison_basis</x:v>
      </x:c>
      <x:c r="D1" s="177" t="str">
        <x:v>VDS_V</x:v>
      </x:c>
      <x:c r="E1" s="177" t="str">
        <x:v>Ion_definition_VGS_V</x:v>
      </x:c>
      <x:c r="F1" s="177" t="str">
        <x:v>Ioff_definition_VGS_V</x:v>
      </x:c>
      <x:c r="G1" s="177" t="str">
        <x:v>nominal_VDD_V</x:v>
      </x:c>
      <x:c r="H1" s="177" t="str">
        <x:v>Ion_A</x:v>
      </x:c>
      <x:c r="I1" s="177" t="str">
        <x:v>Ioff_A</x:v>
      </x:c>
      <x:c r="J1" s="177" t="str">
        <x:v>Ion_Ioff_ratio</x:v>
      </x:c>
      <x:c r="K1" s="177" t="str">
        <x:v>log10_Ion_Ioff</x:v>
      </x:c>
      <x:c r="L1" s="177" t="str">
        <x:v>SS_mV_dec</x:v>
      </x:c>
      <x:c r="M1" s="177" t="str">
        <x:v>SS_fit_VGS_min_V</x:v>
      </x:c>
      <x:c r="N1" s="177" t="str">
        <x:v>SS_fit_VGS_max_V</x:v>
      </x:c>
      <x:c r="O1" s="177" t="str">
        <x:v>SS_fit_ID_min_A</x:v>
      </x:c>
      <x:c r="P1" s="177" t="str">
        <x:v>SS_fit_ID_max_A</x:v>
      </x:c>
      <x:c r="Q1" s="177" t="str">
        <x:v>SS_fit_R_squared</x:v>
      </x:c>
      <x:c r="R1" s="177" t="str">
        <x:v>SS_fit_points</x:v>
      </x:c>
      <x:c r="S1" s="177" t="str">
        <x:v>SS_method</x:v>
      </x:c>
      <x:c r="T1" s="177" t="str">
        <x:v>Ion_A_per_um</x:v>
      </x:c>
      <x:c r="U1" s="177" t="str">
        <x:v>Ioff_A_per_um</x:v>
      </x:c>
    </x:row>
    <x:row r="2">
      <x:c r="A2" t="str">
        <x:v>HP</x:v>
      </x:c>
      <x:c r="B2" t="str">
        <x:v>nominal_vdd</x:v>
      </x:c>
      <x:c r="C2" t="str">
        <x:v>model_nominal_vdd</x:v>
      </x:c>
      <x:c r="D2" s="97" t="n">
        <x:v>1</x:v>
      </x:c>
      <x:c r="E2" s="97" t="n">
        <x:v>1</x:v>
      </x:c>
      <x:c r="F2" s="97" t="n">
        <x:v>0</x:v>
      </x:c>
      <x:c r="G2" s="98" t="n">
        <x:v>1</x:v>
      </x:c>
      <x:c r="H2" s="98" t="n">
        <x:v>0.00133920624116</x:v>
      </x:c>
      <x:c r="I2" s="98" t="n">
        <x:v>2.00449965392e-8</x:v>
      </x:c>
      <x:c r="J2" s="99" t="n">
        <x:v>66810.0011162</x:v>
      </x:c>
      <x:c r="K2" s="99" t="n">
        <x:v>4.82484147901</x:v>
      </x:c>
      <x:c r="L2" s="99" t="n">
        <x:v>87.5059306448</x:v>
      </x:c>
      <x:c r="M2" s="99" t="n">
        <x:v>-0.035</x:v>
      </x:c>
      <x:c r="N2" s="98" t="n">
        <x:v>0.065</x:v>
      </x:c>
      <x:c r="O2" s="98" t="n">
        <x:v>7.995071006e-9</x:v>
      </x:c>
      <x:c r="P2" s="100" t="n">
        <x:v>1.10680981994e-7</x:v>
      </x:c>
      <x:c r="Q2" s="97" t="n">
        <x:v>0.99999860939</x:v>
      </x:c>
      <x:c r="R2" t="n">
        <x:v>21</x:v>
      </x:c>
      <x:c r="S2" s="101" t="str">
        <x:v>minimum_SS_sliding_linear_regression</x:v>
      </x:c>
      <x:c r="T2" s="101" t="n">
        <x:v>0.00133920624116</x:v>
      </x:c>
      <x:c r="U2" t="n">
        <x:v>2.00449965392e-8</x:v>
      </x:c>
    </x:row>
    <x:row r="3">
      <x:c r="A3" t="str">
        <x:v>LP</x:v>
      </x:c>
      <x:c r="B3" t="str">
        <x:v>nominal_vdd</x:v>
      </x:c>
      <x:c r="C3" t="str">
        <x:v>model_nominal_vdd</x:v>
      </x:c>
      <x:c r="D3" s="97" t="n">
        <x:v>1.1</x:v>
      </x:c>
      <x:c r="E3" s="97" t="n">
        <x:v>1.1</x:v>
      </x:c>
      <x:c r="F3" s="97" t="n">
        <x:v>0</x:v>
      </x:c>
      <x:c r="G3" s="98" t="n">
        <x:v>1.1</x:v>
      </x:c>
      <x:c r="H3" s="98" t="n">
        <x:v>0.000524936965346</x:v>
      </x:c>
      <x:c r="I3" s="98" t="n">
        <x:v>2.52565784527e-11</x:v>
      </x:c>
      <x:c r="J3" s="99" t="n">
        <x:v>20784167.829</x:v>
      </x:c>
      <x:c r="K3" s="99" t="n">
        <x:v>7.3177326406</x:v>
      </x:c>
      <x:c r="L3" s="99" t="n">
        <x:v>86.6736101996</x:v>
      </x:c>
      <x:c r="M3" s="99" t="n">
        <x:v>0.04</x:v>
      </x:c>
      <x:c r="N3" s="98" t="n">
        <x:v>0.14</x:v>
      </x:c>
      <x:c r="O3" s="98" t="n">
        <x:v>7.12998315514e-11</x:v>
      </x:c>
      <x:c r="P3" s="100" t="n">
        <x:v>1.0129477834e-9</x:v>
      </x:c>
      <x:c r="Q3" s="97" t="n">
        <x:v>0.999994402612</x:v>
      </x:c>
      <x:c r="R3" t="n">
        <x:v>21</x:v>
      </x:c>
      <x:c r="S3" s="101" t="str">
        <x:v>minimum_SS_sliding_linear_regression</x:v>
      </x:c>
      <x:c r="T3" s="101" t="n">
        <x:v>0.000524936965346</x:v>
      </x:c>
      <x:c r="U3" t="n">
        <x:v>2.52565784527e-11</x:v>
      </x:c>
    </x:row>
    <x:row r="4">
      <x:c r="A4" s="102" t="str">
        <x:v>HP</x:v>
      </x:c>
      <x:c r="B4" s="102" t="str">
        <x:v>nominal_vdd</x:v>
      </x:c>
      <x:c r="C4" s="102" t="str">
        <x:v>common_vdd</x:v>
      </x:c>
      <x:c r="D4" s="103" t="n">
        <x:v>1</x:v>
      </x:c>
      <x:c r="E4" s="103" t="n">
        <x:v>1</x:v>
      </x:c>
      <x:c r="F4" s="103" t="n">
        <x:v>0</x:v>
      </x:c>
      <x:c r="G4" s="104" t="n">
        <x:v>1</x:v>
      </x:c>
      <x:c r="H4" s="104" t="n">
        <x:v>0.00133920624116</x:v>
      </x:c>
      <x:c r="I4" s="104" t="n">
        <x:v>2.00449965392e-8</x:v>
      </x:c>
      <x:c r="J4" s="105" t="n">
        <x:v>66810.0011162</x:v>
      </x:c>
      <x:c r="K4" s="105" t="n">
        <x:v>4.82484147901</x:v>
      </x:c>
      <x:c r="L4" s="105" t="n">
        <x:v>87.5059306448</x:v>
      </x:c>
      <x:c r="M4" s="105" t="n">
        <x:v>-0.035</x:v>
      </x:c>
      <x:c r="N4" s="104" t="n">
        <x:v>0.065</x:v>
      </x:c>
      <x:c r="O4" s="104" t="n">
        <x:v>7.995071006e-9</x:v>
      </x:c>
      <x:c r="P4" s="106" t="n">
        <x:v>1.10680981994e-7</x:v>
      </x:c>
      <x:c r="Q4" s="103" t="n">
        <x:v>0.99999860939</x:v>
      </x:c>
      <x:c r="R4" s="102" t="n">
        <x:v>21</x:v>
      </x:c>
      <x:c r="S4" s="107" t="str">
        <x:v>minimum_SS_sliding_linear_regression</x:v>
      </x:c>
      <x:c r="T4" s="107" t="n">
        <x:v>0.00133920624116</x:v>
      </x:c>
      <x:c r="U4" t="n">
        <x:v>2.00449965392e-8</x:v>
      </x:c>
    </x:row>
    <x:row r="5">
      <x:c r="A5" s="102" t="str">
        <x:v>LP</x:v>
      </x:c>
      <x:c r="B5" s="102" t="str">
        <x:v>common_1v</x:v>
      </x:c>
      <x:c r="C5" s="102" t="str">
        <x:v>common_vdd</x:v>
      </x:c>
      <x:c r="D5" s="103" t="n">
        <x:v>1</x:v>
      </x:c>
      <x:c r="E5" s="103" t="n">
        <x:v>1</x:v>
      </x:c>
      <x:c r="F5" s="103" t="n">
        <x:v>0</x:v>
      </x:c>
      <x:c r="G5" s="104" t="n">
        <x:v>1.1</x:v>
      </x:c>
      <x:c r="H5" s="104" t="n">
        <x:v>0.000401984568095</x:v>
      </x:c>
      <x:c r="I5" s="104" t="n">
        <x:v>2.11503667322e-11</x:v>
      </x:c>
      <x:c r="J5" s="105" t="n">
        <x:v>19006033.001</x:v>
      </x:c>
      <x:c r="K5" s="105" t="n">
        <x:v>7.27889147901</x:v>
      </x:c>
      <x:c r="L5" s="105" t="n">
        <x:v>86.6480245274</x:v>
      </x:c>
      <x:c r="M5" s="105" t="n">
        <x:v>0.045</x:v>
      </x:c>
      <x:c r="N5" s="104" t="n">
        <x:v>0.145</x:v>
      </x:c>
      <x:c r="O5" s="104" t="n">
        <x:v>6.79140937081e-11</x:v>
      </x:c>
      <x:c r="P5" s="106" t="n">
        <x:v>9.65661360373e-10</x:v>
      </x:c>
      <x:c r="Q5" s="103" t="n">
        <x:v>0.999994289569</x:v>
      </x:c>
      <x:c r="R5" s="102" t="n">
        <x:v>21</x:v>
      </x:c>
      <x:c r="S5" s="107" t="str">
        <x:v>minimum_SS_sliding_linear_regression</x:v>
      </x:c>
      <x:c r="T5" s="107" t="n">
        <x:v>0.000401984568095</x:v>
      </x:c>
      <x:c r="U5" t="n">
        <x:v>2.11503667322e-11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6" hidden="0" customWidth="1"/>
    <x:col min="5" max="5" width="10" hidden="0" customWidth="1"/>
    <x:col min="6" max="6" width="10" hidden="0" customWidth="1"/>
    <x:col min="7" max="7" width="15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14" hidden="0" customWidth="1"/>
    <x:col min="15" max="15" width="12" hidden="0" customWidth="1"/>
    <x:col min="16" max="16" width="28" hidden="0" customWidth="1"/>
    <x:col min="17" max="17" width="42" hidden="0" customWidth="1"/>
  </x:cols>
  <x:sheetData>
    <x:row r="1" ht="34" customHeight="1">
      <x:c r="A1" s="177" t="str">
        <x:v>model_family</x:v>
      </x:c>
      <x:c r="B1" s="177" t="str">
        <x:v>device_type</x:v>
      </x:c>
      <x:c r="C1" s="177" t="str">
        <x:v>technology_nm</x:v>
      </x:c>
      <x:c r="D1" s="177" t="str">
        <x:v>application_type</x:v>
      </x:c>
      <x:c r="E1" s="177" t="str">
        <x:v>W_um</x:v>
      </x:c>
      <x:c r="F1" s="177" t="str">
        <x:v>L_um</x:v>
      </x:c>
      <x:c r="G1" s="177" t="str">
        <x:v>temperature_C</x:v>
      </x:c>
      <x:c r="H1" s="177" t="str">
        <x:v>VDS_V</x:v>
      </x:c>
      <x:c r="I1" s="177" t="str">
        <x:v>VGS_V</x:v>
      </x:c>
      <x:c r="J1" s="177" t="str">
        <x:v>ID_A</x:v>
      </x:c>
      <x:c r="K1" s="177" t="str">
        <x:v>bias_label</x:v>
      </x:c>
      <x:c r="L1" s="177" t="str">
        <x:v>comparison_basis</x:v>
      </x:c>
      <x:c r="M1" s="177" t="str">
        <x:v>nominal_VDD_V</x:v>
      </x:c>
      <x:c r="N1" s="177" t="str">
        <x:v>source_type</x:v>
      </x:c>
      <x:c r="O1" s="177" t="str">
        <x:v>simulator</x:v>
      </x:c>
      <x:c r="P1" s="177" t="str">
        <x:v>model_file_sha256</x:v>
      </x:c>
      <x:c r="Q1" s="177" t="str">
        <x:v>raw_file</x:v>
      </x:c>
    </x:row>
    <x:row r="2">
      <x:c r="A2" t="str">
        <x:v>PTM</x:v>
      </x:c>
      <x:c r="B2" t="str">
        <x:v>NMOS</x:v>
      </x:c>
      <x:c r="C2" s="97" t="n">
        <x:v>45</x:v>
      </x:c>
      <x:c r="D2" s="97" t="str">
        <x:v>HP</x:v>
      </x:c>
      <x:c r="E2" s="99" t="n">
        <x:v>1</x:v>
      </x:c>
      <x:c r="F2" s="99" t="n">
        <x:v>0.045</x:v>
      </x:c>
      <x:c r="G2" s="99" t="n">
        <x:v>25</x:v>
      </x:c>
      <x:c r="H2" s="99" t="n">
        <x:v>0.05</x:v>
      </x:c>
      <x:c r="I2" s="99" t="n">
        <x:v>-0.2</x:v>
      </x:c>
      <x:c r="J2" s="98" t="n">
        <x:v>4.873963276162775e-12</x:v>
      </x:c>
      <x:c r="K2" t="str">
        <x:v>low_vds</x:v>
      </x:c>
      <x:c r="L2" t="str">
        <x:v>low_drain_bias</x:v>
      </x:c>
      <x:c r="M2" t="n">
        <x:v>1</x:v>
      </x:c>
      <x:c r="N2" t="str">
        <x:v>simulation</x:v>
      </x:c>
      <x:c r="O2" t="str">
        <x:v>ngspice</x:v>
      </x:c>
      <x:c r="P2" t="str">
        <x:v>c9ed2e513523c57a76912a35b2860cb85e4aaa3402b69757d84efa9cc2fb8410</x:v>
      </x:c>
      <x:c r="Q2" t="str">
        <x:v>data/raw/ptm45_hp_vds_0p05v_raw.txt</x:v>
      </x:c>
    </x:row>
    <x:row r="3">
      <x:c r="A3" t="str">
        <x:v>PTM</x:v>
      </x:c>
      <x:c r="B3" t="str">
        <x:v>NMOS</x:v>
      </x:c>
      <x:c r="C3" s="97" t="n">
        <x:v>45</x:v>
      </x:c>
      <x:c r="D3" s="97" t="str">
        <x:v>HP</x:v>
      </x:c>
      <x:c r="E3" s="99" t="n">
        <x:v>1</x:v>
      </x:c>
      <x:c r="F3" s="99" t="n">
        <x:v>0.045</x:v>
      </x:c>
      <x:c r="G3" s="99" t="n">
        <x:v>25</x:v>
      </x:c>
      <x:c r="H3" s="99" t="n">
        <x:v>0.05</x:v>
      </x:c>
      <x:c r="I3" s="99" t="n">
        <x:v>-0.195</x:v>
      </x:c>
      <x:c r="J3" s="98" t="n">
        <x:v>5.078150734962701e-12</x:v>
      </x:c>
      <x:c r="K3" t="str">
        <x:v>low_vds</x:v>
      </x:c>
      <x:c r="L3" t="str">
        <x:v>low_drain_bias</x:v>
      </x:c>
      <x:c r="M3" t="n">
        <x:v>1</x:v>
      </x:c>
      <x:c r="N3" t="str">
        <x:v>simulation</x:v>
      </x:c>
      <x:c r="O3" t="str">
        <x:v>ngspice</x:v>
      </x:c>
      <x:c r="P3" t="str">
        <x:v>c9ed2e513523c57a76912a35b2860cb85e4aaa3402b69757d84efa9cc2fb8410</x:v>
      </x:c>
      <x:c r="Q3" t="str">
        <x:v>data/raw/ptm45_hp_vds_0p05v_raw.txt</x:v>
      </x:c>
    </x:row>
    <x:row r="4">
      <x:c r="A4" t="str">
        <x:v>PTM</x:v>
      </x:c>
      <x:c r="B4" t="str">
        <x:v>NMOS</x:v>
      </x:c>
      <x:c r="C4" s="97" t="n">
        <x:v>45</x:v>
      </x:c>
      <x:c r="D4" s="97" t="str">
        <x:v>HP</x:v>
      </x:c>
      <x:c r="E4" s="99" t="n">
        <x:v>1</x:v>
      </x:c>
      <x:c r="F4" s="99" t="n">
        <x:v>0.045</x:v>
      </x:c>
      <x:c r="G4" s="99" t="n">
        <x:v>25</x:v>
      </x:c>
      <x:c r="H4" s="99" t="n">
        <x:v>0.05</x:v>
      </x:c>
      <x:c r="I4" s="99" t="n">
        <x:v>-0.19</x:v>
      </x:c>
      <x:c r="J4" s="98" t="n">
        <x:v>5.354823080050576e-12</x:v>
      </x:c>
      <x:c r="K4" t="str">
        <x:v>low_vds</x:v>
      </x:c>
      <x:c r="L4" t="str">
        <x:v>low_drain_bias</x:v>
      </x:c>
      <x:c r="M4" t="n">
        <x:v>1</x:v>
      </x:c>
      <x:c r="N4" t="str">
        <x:v>simulation</x:v>
      </x:c>
      <x:c r="O4" t="str">
        <x:v>ngspice</x:v>
      </x:c>
      <x:c r="P4" t="str">
        <x:v>c9ed2e513523c57a76912a35b2860cb85e4aaa3402b69757d84efa9cc2fb8410</x:v>
      </x:c>
      <x:c r="Q4" t="str">
        <x:v>data/raw/ptm45_hp_vds_0p05v_raw.txt</x:v>
      </x:c>
    </x:row>
    <x:row r="5">
      <x:c r="A5" t="str">
        <x:v>PTM</x:v>
      </x:c>
      <x:c r="B5" t="str">
        <x:v>NMOS</x:v>
      </x:c>
      <x:c r="C5" s="97" t="n">
        <x:v>45</x:v>
      </x:c>
      <x:c r="D5" s="97" t="str">
        <x:v>HP</x:v>
      </x:c>
      <x:c r="E5" s="99" t="n">
        <x:v>1</x:v>
      </x:c>
      <x:c r="F5" s="99" t="n">
        <x:v>0.045</x:v>
      </x:c>
      <x:c r="G5" s="99" t="n">
        <x:v>25</x:v>
      </x:c>
      <x:c r="H5" s="99" t="n">
        <x:v>0.05</x:v>
      </x:c>
      <x:c r="I5" s="99" t="n">
        <x:v>-0.185</x:v>
      </x:c>
      <x:c r="J5" s="98" t="n">
        <x:v>5.689795687446946e-12</x:v>
      </x:c>
      <x:c r="K5" t="str">
        <x:v>low_vds</x:v>
      </x:c>
      <x:c r="L5" t="str">
        <x:v>low_drain_bias</x:v>
      </x:c>
      <x:c r="M5" t="n">
        <x:v>1</x:v>
      </x:c>
      <x:c r="N5" t="str">
        <x:v>simulation</x:v>
      </x:c>
      <x:c r="O5" t="str">
        <x:v>ngspice</x:v>
      </x:c>
      <x:c r="P5" t="str">
        <x:v>c9ed2e513523c57a76912a35b2860cb85e4aaa3402b69757d84efa9cc2fb8410</x:v>
      </x:c>
      <x:c r="Q5" t="str">
        <x:v>data/raw/ptm45_hp_vds_0p05v_raw.txt</x:v>
      </x:c>
    </x:row>
    <x:row r="6">
      <x:c r="A6" t="str">
        <x:v>PTM</x:v>
      </x:c>
      <x:c r="B6" t="str">
        <x:v>NMOS</x:v>
      </x:c>
      <x:c r="C6" s="97" t="n">
        <x:v>45</x:v>
      </x:c>
      <x:c r="D6" s="97" t="str">
        <x:v>HP</x:v>
      </x:c>
      <x:c r="E6" s="99" t="n">
        <x:v>1</x:v>
      </x:c>
      <x:c r="F6" s="99" t="n">
        <x:v>0.045</x:v>
      </x:c>
      <x:c r="G6" s="99" t="n">
        <x:v>25</x:v>
      </x:c>
      <x:c r="H6" s="99" t="n">
        <x:v>0.05</x:v>
      </x:c>
      <x:c r="I6" s="99" t="n">
        <x:v>-0.18</x:v>
      </x:c>
      <x:c r="J6" s="98" t="n">
        <x:v>6.090958061407337e-12</x:v>
      </x:c>
      <x:c r="K6" t="str">
        <x:v>low_vds</x:v>
      </x:c>
      <x:c r="L6" t="str">
        <x:v>low_drain_bias</x:v>
      </x:c>
      <x:c r="M6" t="n">
        <x:v>1</x:v>
      </x:c>
      <x:c r="N6" t="str">
        <x:v>simulation</x:v>
      </x:c>
      <x:c r="O6" t="str">
        <x:v>ngspice</x:v>
      </x:c>
      <x:c r="P6" t="str">
        <x:v>c9ed2e513523c57a76912a35b2860cb85e4aaa3402b69757d84efa9cc2fb8410</x:v>
      </x:c>
      <x:c r="Q6" t="str">
        <x:v>data/raw/ptm45_hp_vds_0p05v_raw.txt</x:v>
      </x:c>
    </x:row>
    <x:row r="7">
      <x:c r="A7" t="str">
        <x:v>PTM</x:v>
      </x:c>
      <x:c r="B7" t="str">
        <x:v>NMOS</x:v>
      </x:c>
      <x:c r="C7" s="97" t="n">
        <x:v>45</x:v>
      </x:c>
      <x:c r="D7" s="97" t="str">
        <x:v>HP</x:v>
      </x:c>
      <x:c r="E7" s="99" t="n">
        <x:v>1</x:v>
      </x:c>
      <x:c r="F7" s="99" t="n">
        <x:v>0.045</x:v>
      </x:c>
      <x:c r="G7" s="99" t="n">
        <x:v>25</x:v>
      </x:c>
      <x:c r="H7" s="99" t="n">
        <x:v>0.05</x:v>
      </x:c>
      <x:c r="I7" s="99" t="n">
        <x:v>-0.175</x:v>
      </x:c>
      <x:c r="J7" s="98" t="n">
        <x:v>6.567352415806648e-12</x:v>
      </x:c>
      <x:c r="K7" t="str">
        <x:v>low_vds</x:v>
      </x:c>
      <x:c r="L7" t="str">
        <x:v>low_drain_bias</x:v>
      </x:c>
      <x:c r="M7" t="n">
        <x:v>1</x:v>
      </x:c>
      <x:c r="N7" t="str">
        <x:v>simulation</x:v>
      </x:c>
      <x:c r="O7" t="str">
        <x:v>ngspice</x:v>
      </x:c>
      <x:c r="P7" t="str">
        <x:v>c9ed2e513523c57a76912a35b2860cb85e4aaa3402b69757d84efa9cc2fb8410</x:v>
      </x:c>
      <x:c r="Q7" t="str">
        <x:v>data/raw/ptm45_hp_vds_0p05v_raw.txt</x:v>
      </x:c>
    </x:row>
    <x:row r="8">
      <x:c r="A8" t="str">
        <x:v>PTM</x:v>
      </x:c>
      <x:c r="B8" t="str">
        <x:v>NMOS</x:v>
      </x:c>
      <x:c r="C8" s="97" t="n">
        <x:v>45</x:v>
      </x:c>
      <x:c r="D8" s="97" t="str">
        <x:v>HP</x:v>
      </x:c>
      <x:c r="E8" s="99" t="n">
        <x:v>1</x:v>
      </x:c>
      <x:c r="F8" s="99" t="n">
        <x:v>0.045</x:v>
      </x:c>
      <x:c r="G8" s="99" t="n">
        <x:v>25</x:v>
      </x:c>
      <x:c r="H8" s="99" t="n">
        <x:v>0.05</x:v>
      </x:c>
      <x:c r="I8" s="99" t="n">
        <x:v>-0.17</x:v>
      </x:c>
      <x:c r="J8" s="98" t="n">
        <x:v>7.129340007789304e-12</x:v>
      </x:c>
      <x:c r="K8" t="str">
        <x:v>low_vds</x:v>
      </x:c>
      <x:c r="L8" t="str">
        <x:v>low_drain_bias</x:v>
      </x:c>
      <x:c r="M8" t="n">
        <x:v>1</x:v>
      </x:c>
      <x:c r="N8" t="str">
        <x:v>simulation</x:v>
      </x:c>
      <x:c r="O8" t="str">
        <x:v>ngspice</x:v>
      </x:c>
      <x:c r="P8" t="str">
        <x:v>c9ed2e513523c57a76912a35b2860cb85e4aaa3402b69757d84efa9cc2fb8410</x:v>
      </x:c>
      <x:c r="Q8" t="str">
        <x:v>data/raw/ptm45_hp_vds_0p05v_raw.txt</x:v>
      </x:c>
    </x:row>
    <x:row r="9">
      <x:c r="A9" t="str">
        <x:v>PTM</x:v>
      </x:c>
      <x:c r="B9" t="str">
        <x:v>NMOS</x:v>
      </x:c>
      <x:c r="C9" s="97" t="n">
        <x:v>45</x:v>
      </x:c>
      <x:c r="D9" s="97" t="str">
        <x:v>HP</x:v>
      </x:c>
      <x:c r="E9" s="99" t="n">
        <x:v>1</x:v>
      </x:c>
      <x:c r="F9" s="99" t="n">
        <x:v>0.045</x:v>
      </x:c>
      <x:c r="G9" s="99" t="n">
        <x:v>25</x:v>
      </x:c>
      <x:c r="H9" s="99" t="n">
        <x:v>0.05</x:v>
      </x:c>
      <x:c r="I9" s="99" t="n">
        <x:v>-0.165</x:v>
      </x:c>
      <x:c r="J9" s="98" t="n">
        <x:v>7.788791490614856e-12</x:v>
      </x:c>
      <x:c r="K9" t="str">
        <x:v>low_vds</x:v>
      </x:c>
      <x:c r="L9" t="str">
        <x:v>low_drain_bias</x:v>
      </x:c>
      <x:c r="M9" t="n">
        <x:v>1</x:v>
      </x:c>
      <x:c r="N9" t="str">
        <x:v>simulation</x:v>
      </x:c>
      <x:c r="O9" t="str">
        <x:v>ngspice</x:v>
      </x:c>
      <x:c r="P9" t="str">
        <x:v>c9ed2e513523c57a76912a35b2860cb85e4aaa3402b69757d84efa9cc2fb8410</x:v>
      </x:c>
      <x:c r="Q9" t="str">
        <x:v>data/raw/ptm45_hp_vds_0p05v_raw.txt</x:v>
      </x:c>
    </x:row>
    <x:row r="10">
      <x:c r="A10" t="str">
        <x:v>PTM</x:v>
      </x:c>
      <x:c r="B10" t="str">
        <x:v>NMOS</x:v>
      </x:c>
      <x:c r="C10" s="97" t="n">
        <x:v>45</x:v>
      </x:c>
      <x:c r="D10" s="97" t="str">
        <x:v>HP</x:v>
      </x:c>
      <x:c r="E10" s="99" t="n">
        <x:v>1</x:v>
      </x:c>
      <x:c r="F10" s="99" t="n">
        <x:v>0.045</x:v>
      </x:c>
      <x:c r="G10" s="99" t="n">
        <x:v>25</x:v>
      </x:c>
      <x:c r="H10" s="99" t="n">
        <x:v>0.05</x:v>
      </x:c>
      <x:c r="I10" s="99" t="n">
        <x:v>-0.16</x:v>
      </x:c>
      <x:c r="J10" s="98" t="n">
        <x:v>8.559304749142018e-12</x:v>
      </x:c>
      <x:c r="K10" t="str">
        <x:v>low_vds</x:v>
      </x:c>
      <x:c r="L10" t="str">
        <x:v>low_drain_bias</x:v>
      </x:c>
      <x:c r="M10" t="n">
        <x:v>1</x:v>
      </x:c>
      <x:c r="N10" t="str">
        <x:v>simulation</x:v>
      </x:c>
      <x:c r="O10" t="str">
        <x:v>ngspice</x:v>
      </x:c>
      <x:c r="P10" t="str">
        <x:v>c9ed2e513523c57a76912a35b2860cb85e4aaa3402b69757d84efa9cc2fb8410</x:v>
      </x:c>
      <x:c r="Q10" t="str">
        <x:v>data/raw/ptm45_hp_vds_0p05v_raw.txt</x:v>
      </x:c>
    </x:row>
    <x:row r="11">
      <x:c r="A11" t="str">
        <x:v>PTM</x:v>
      </x:c>
      <x:c r="B11" t="str">
        <x:v>NMOS</x:v>
      </x:c>
      <x:c r="C11" s="97" t="n">
        <x:v>45</x:v>
      </x:c>
      <x:c r="D11" s="97" t="str">
        <x:v>HP</x:v>
      </x:c>
      <x:c r="E11" s="99" t="n">
        <x:v>1</x:v>
      </x:c>
      <x:c r="F11" s="99" t="n">
        <x:v>0.045</x:v>
      </x:c>
      <x:c r="G11" s="99" t="n">
        <x:v>25</x:v>
      </x:c>
      <x:c r="H11" s="99" t="n">
        <x:v>0.05</x:v>
      </x:c>
      <x:c r="I11" s="99" t="n">
        <x:v>-0.155</x:v>
      </x:c>
      <x:c r="J11" s="98" t="n">
        <x:v>9.456454179945856e-12</x:v>
      </x:c>
      <x:c r="K11" t="str">
        <x:v>low_vds</x:v>
      </x:c>
      <x:c r="L11" t="str">
        <x:v>low_drain_bias</x:v>
      </x:c>
      <x:c r="M11" t="n">
        <x:v>1</x:v>
      </x:c>
      <x:c r="N11" t="str">
        <x:v>simulation</x:v>
      </x:c>
      <x:c r="O11" t="str">
        <x:v>ngspice</x:v>
      </x:c>
      <x:c r="P11" t="str">
        <x:v>c9ed2e513523c57a76912a35b2860cb85e4aaa3402b69757d84efa9cc2fb8410</x:v>
      </x:c>
      <x:c r="Q11" t="str">
        <x:v>data/raw/ptm45_hp_vds_0p05v_raw.txt</x:v>
      </x:c>
    </x:row>
    <x:row r="12">
      <x:c r="A12" t="str">
        <x:v>PTM</x:v>
      </x:c>
      <x:c r="B12" t="str">
        <x:v>NMOS</x:v>
      </x:c>
      <x:c r="C12" s="97" t="n">
        <x:v>45</x:v>
      </x:c>
      <x:c r="D12" s="97" t="str">
        <x:v>HP</x:v>
      </x:c>
      <x:c r="E12" s="99" t="n">
        <x:v>1</x:v>
      </x:c>
      <x:c r="F12" s="99" t="n">
        <x:v>0.045</x:v>
      </x:c>
      <x:c r="G12" s="99" t="n">
        <x:v>25</x:v>
      </x:c>
      <x:c r="H12" s="99" t="n">
        <x:v>0.05</x:v>
      </x:c>
      <x:c r="I12" s="99" t="n">
        <x:v>-0.15</x:v>
      </x:c>
      <x:c r="J12" s="98" t="n">
        <x:v>1.04980759479325e-11</x:v>
      </x:c>
      <x:c r="K12" t="str">
        <x:v>low_vds</x:v>
      </x:c>
      <x:c r="L12" t="str">
        <x:v>low_drain_bias</x:v>
      </x:c>
      <x:c r="M12" t="n">
        <x:v>1</x:v>
      </x:c>
      <x:c r="N12" t="str">
        <x:v>simulation</x:v>
      </x:c>
      <x:c r="O12" t="str">
        <x:v>ngspice</x:v>
      </x:c>
      <x:c r="P12" t="str">
        <x:v>c9ed2e513523c57a76912a35b2860cb85e4aaa3402b69757d84efa9cc2fb8410</x:v>
      </x:c>
      <x:c r="Q12" t="str">
        <x:v>data/raw/ptm45_hp_vds_0p05v_raw.txt</x:v>
      </x:c>
    </x:row>
    <x:row r="13">
      <x:c r="A13" t="str">
        <x:v>PTM</x:v>
      </x:c>
      <x:c r="B13" t="str">
        <x:v>NMOS</x:v>
      </x:c>
      <x:c r="C13" s="97" t="n">
        <x:v>45</x:v>
      </x:c>
      <x:c r="D13" s="97" t="str">
        <x:v>HP</x:v>
      </x:c>
      <x:c r="E13" s="99" t="n">
        <x:v>1</x:v>
      </x:c>
      <x:c r="F13" s="99" t="n">
        <x:v>0.045</x:v>
      </x:c>
      <x:c r="G13" s="99" t="n">
        <x:v>25</x:v>
      </x:c>
      <x:c r="H13" s="99" t="n">
        <x:v>0.05</x:v>
      </x:c>
      <x:c r="I13" s="99" t="n">
        <x:v>-0.145</x:v>
      </x:c>
      <x:c r="J13" s="98" t="n">
        <x:v>1.170459440318081e-11</x:v>
      </x:c>
      <x:c r="K13" t="str">
        <x:v>low_vds</x:v>
      </x:c>
      <x:c r="L13" t="str">
        <x:v>low_drain_bias</x:v>
      </x:c>
      <x:c r="M13" t="n">
        <x:v>1</x:v>
      </x:c>
      <x:c r="N13" t="str">
        <x:v>simulation</x:v>
      </x:c>
      <x:c r="O13" t="str">
        <x:v>ngspice</x:v>
      </x:c>
      <x:c r="P13" t="str">
        <x:v>c9ed2e513523c57a76912a35b2860cb85e4aaa3402b69757d84efa9cc2fb8410</x:v>
      </x:c>
      <x:c r="Q13" t="str">
        <x:v>data/raw/ptm45_hp_vds_0p05v_raw.txt</x:v>
      </x:c>
    </x:row>
    <x:row r="14">
      <x:c r="A14" t="str">
        <x:v>PTM</x:v>
      </x:c>
      <x:c r="B14" t="str">
        <x:v>NMOS</x:v>
      </x:c>
      <x:c r="C14" s="97" t="n">
        <x:v>45</x:v>
      </x:c>
      <x:c r="D14" s="97" t="str">
        <x:v>HP</x:v>
      </x:c>
      <x:c r="E14" s="99" t="n">
        <x:v>1</x:v>
      </x:c>
      <x:c r="F14" s="99" t="n">
        <x:v>0.045</x:v>
      </x:c>
      <x:c r="G14" s="99" t="n">
        <x:v>25</x:v>
      </x:c>
      <x:c r="H14" s="99" t="n">
        <x:v>0.05</x:v>
      </x:c>
      <x:c r="I14" s="99" t="n">
        <x:v>-0.14</x:v>
      </x:c>
      <x:c r="J14" s="98" t="n">
        <x:v>1.309939558663544e-11</x:v>
      </x:c>
      <x:c r="K14" t="str">
        <x:v>low_vds</x:v>
      </x:c>
      <x:c r="L14" t="str">
        <x:v>low_drain_bias</x:v>
      </x:c>
      <x:c r="M14" t="n">
        <x:v>1</x:v>
      </x:c>
      <x:c r="N14" t="str">
        <x:v>simulation</x:v>
      </x:c>
      <x:c r="O14" t="str">
        <x:v>ngspice</x:v>
      </x:c>
      <x:c r="P14" t="str">
        <x:v>c9ed2e513523c57a76912a35b2860cb85e4aaa3402b69757d84efa9cc2fb8410</x:v>
      </x:c>
      <x:c r="Q14" t="str">
        <x:v>data/raw/ptm45_hp_vds_0p05v_raw.txt</x:v>
      </x:c>
    </x:row>
    <x:row r="15">
      <x:c r="A15" t="str">
        <x:v>PTM</x:v>
      </x:c>
      <x:c r="B15" t="str">
        <x:v>NMOS</x:v>
      </x:c>
      <x:c r="C15" s="97" t="n">
        <x:v>45</x:v>
      </x:c>
      <x:c r="D15" s="97" t="str">
        <x:v>HP</x:v>
      </x:c>
      <x:c r="E15" s="99" t="n">
        <x:v>1</x:v>
      </x:c>
      <x:c r="F15" s="99" t="n">
        <x:v>0.045</x:v>
      </x:c>
      <x:c r="G15" s="99" t="n">
        <x:v>25</x:v>
      </x:c>
      <x:c r="H15" s="99" t="n">
        <x:v>0.05</x:v>
      </x:c>
      <x:c r="I15" s="99" t="n">
        <x:v>-0.135</x:v>
      </x:c>
      <x:c r="J15" s="98" t="n">
        <x:v>1.470925460554115e-11</x:v>
      </x:c>
      <x:c r="K15" t="str">
        <x:v>low_vds</x:v>
      </x:c>
      <x:c r="L15" t="str">
        <x:v>low_drain_bias</x:v>
      </x:c>
      <x:c r="M15" t="n">
        <x:v>1</x:v>
      </x:c>
      <x:c r="N15" t="str">
        <x:v>simulation</x:v>
      </x:c>
      <x:c r="O15" t="str">
        <x:v>ngspice</x:v>
      </x:c>
      <x:c r="P15" t="str">
        <x:v>c9ed2e513523c57a76912a35b2860cb85e4aaa3402b69757d84efa9cc2fb8410</x:v>
      </x:c>
      <x:c r="Q15" t="str">
        <x:v>data/raw/ptm45_hp_vds_0p05v_raw.txt</x:v>
      </x:c>
    </x:row>
    <x:row r="16">
      <x:c r="A16" t="str">
        <x:v>PTM</x:v>
      </x:c>
      <x:c r="B16" t="str">
        <x:v>NMOS</x:v>
      </x:c>
      <x:c r="C16" s="97" t="n">
        <x:v>45</x:v>
      </x:c>
      <x:c r="D16" s="97" t="str">
        <x:v>HP</x:v>
      </x:c>
      <x:c r="E16" s="99" t="n">
        <x:v>1</x:v>
      </x:c>
      <x:c r="F16" s="99" t="n">
        <x:v>0.045</x:v>
      </x:c>
      <x:c r="G16" s="99" t="n">
        <x:v>25</x:v>
      </x:c>
      <x:c r="H16" s="99" t="n">
        <x:v>0.05</x:v>
      </x:c>
      <x:c r="I16" s="99" t="n">
        <x:v>-0.1299999999999999</x:v>
      </x:c>
      <x:c r="J16" s="98" t="n">
        <x:v>1.656482463267556e-11</x:v>
      </x:c>
      <x:c r="K16" t="str">
        <x:v>low_vds</x:v>
      </x:c>
      <x:c r="L16" t="str">
        <x:v>low_drain_bias</x:v>
      </x:c>
      <x:c r="M16" t="n">
        <x:v>1</x:v>
      </x:c>
      <x:c r="N16" t="str">
        <x:v>simulation</x:v>
      </x:c>
      <x:c r="O16" t="str">
        <x:v>ngspice</x:v>
      </x:c>
      <x:c r="P16" t="str">
        <x:v>c9ed2e513523c57a76912a35b2860cb85e4aaa3402b69757d84efa9cc2fb8410</x:v>
      </x:c>
      <x:c r="Q16" t="str">
        <x:v>data/raw/ptm45_hp_vds_0p05v_raw.txt</x:v>
      </x:c>
    </x:row>
    <x:row r="17">
      <x:c r="A17" t="str">
        <x:v>PTM</x:v>
      </x:c>
      <x:c r="B17" t="str">
        <x:v>NMOS</x:v>
      </x:c>
      <x:c r="C17" s="97" t="n">
        <x:v>45</x:v>
      </x:c>
      <x:c r="D17" s="97" t="str">
        <x:v>HP</x:v>
      </x:c>
      <x:c r="E17" s="99" t="n">
        <x:v>1</x:v>
      </x:c>
      <x:c r="F17" s="99" t="n">
        <x:v>0.045</x:v>
      </x:c>
      <x:c r="G17" s="99" t="n">
        <x:v>25</x:v>
      </x:c>
      <x:c r="H17" s="99" t="n">
        <x:v>0.05</x:v>
      </x:c>
      <x:c r="I17" s="99" t="n">
        <x:v>-0.1249999999999999</x:v>
      </x:c>
      <x:c r="J17" s="98" t="n">
        <x:v>1.870119639705596e-11</x:v>
      </x:c>
      <x:c r="K17" t="str">
        <x:v>low_vds</x:v>
      </x:c>
      <x:c r="L17" t="str">
        <x:v>low_drain_bias</x:v>
      </x:c>
      <x:c r="M17" t="n">
        <x:v>1</x:v>
      </x:c>
      <x:c r="N17" t="str">
        <x:v>simulation</x:v>
      </x:c>
      <x:c r="O17" t="str">
        <x:v>ngspice</x:v>
      </x:c>
      <x:c r="P17" t="str">
        <x:v>c9ed2e513523c57a76912a35b2860cb85e4aaa3402b69757d84efa9cc2fb8410</x:v>
      </x:c>
      <x:c r="Q17" t="str">
        <x:v>data/raw/ptm45_hp_vds_0p05v_raw.txt</x:v>
      </x:c>
    </x:row>
    <x:row r="18">
      <x:c r="A18" t="str">
        <x:v>PTM</x:v>
      </x:c>
      <x:c r="B18" t="str">
        <x:v>NMOS</x:v>
      </x:c>
      <x:c r="C18" s="97" t="n">
        <x:v>45</x:v>
      </x:c>
      <x:c r="D18" s="97" t="str">
        <x:v>HP</x:v>
      </x:c>
      <x:c r="E18" s="99" t="n">
        <x:v>1</x:v>
      </x:c>
      <x:c r="F18" s="99" t="n">
        <x:v>0.045</x:v>
      </x:c>
      <x:c r="G18" s="99" t="n">
        <x:v>25</x:v>
      </x:c>
      <x:c r="H18" s="99" t="n">
        <x:v>0.05</x:v>
      </x:c>
      <x:c r="I18" s="99" t="n">
        <x:v>-0.1199999999999999</x:v>
      </x:c>
      <x:c r="J18" s="98" t="n">
        <x:v>2.115853830535017e-11</x:v>
      </x:c>
      <x:c r="K18" t="str">
        <x:v>low_vds</x:v>
      </x:c>
      <x:c r="L18" t="str">
        <x:v>low_drain_bias</x:v>
      </x:c>
      <x:c r="M18" t="n">
        <x:v>1</x:v>
      </x:c>
      <x:c r="N18" t="str">
        <x:v>simulation</x:v>
      </x:c>
      <x:c r="O18" t="str">
        <x:v>ngspice</x:v>
      </x:c>
      <x:c r="P18" t="str">
        <x:v>c9ed2e513523c57a76912a35b2860cb85e4aaa3402b69757d84efa9cc2fb8410</x:v>
      </x:c>
      <x:c r="Q18" t="str">
        <x:v>data/raw/ptm45_hp_vds_0p05v_raw.txt</x:v>
      </x:c>
    </x:row>
    <x:row r="19">
      <x:c r="A19" t="str">
        <x:v>PTM</x:v>
      </x:c>
      <x:c r="B19" t="str">
        <x:v>NMOS</x:v>
      </x:c>
      <x:c r="C19" s="97" t="n">
        <x:v>45</x:v>
      </x:c>
      <x:c r="D19" s="97" t="str">
        <x:v>HP</x:v>
      </x:c>
      <x:c r="E19" s="99" t="n">
        <x:v>1</x:v>
      </x:c>
      <x:c r="F19" s="99" t="n">
        <x:v>0.045</x:v>
      </x:c>
      <x:c r="G19" s="99" t="n">
        <x:v>25</x:v>
      </x:c>
      <x:c r="H19" s="99" t="n">
        <x:v>0.05</x:v>
      </x:c>
      <x:c r="I19" s="99" t="n">
        <x:v>-0.1149999999999999</x:v>
      </x:c>
      <x:c r="J19" s="98" t="n">
        <x:v>2.398282878722624e-11</x:v>
      </x:c>
      <x:c r="K19" t="str">
        <x:v>low_vds</x:v>
      </x:c>
      <x:c r="L19" t="str">
        <x:v>low_drain_bias</x:v>
      </x:c>
      <x:c r="M19" t="n">
        <x:v>1</x:v>
      </x:c>
      <x:c r="N19" t="str">
        <x:v>simulation</x:v>
      </x:c>
      <x:c r="O19" t="str">
        <x:v>ngspice</x:v>
      </x:c>
      <x:c r="P19" t="str">
        <x:v>c9ed2e513523c57a76912a35b2860cb85e4aaa3402b69757d84efa9cc2fb8410</x:v>
      </x:c>
      <x:c r="Q19" t="str">
        <x:v>data/raw/ptm45_hp_vds_0p05v_raw.txt</x:v>
      </x:c>
    </x:row>
    <x:row r="20">
      <x:c r="A20" t="str">
        <x:v>PTM</x:v>
      </x:c>
      <x:c r="B20" t="str">
        <x:v>NMOS</x:v>
      </x:c>
      <x:c r="C20" s="97" t="n">
        <x:v>45</x:v>
      </x:c>
      <x:c r="D20" s="97" t="str">
        <x:v>HP</x:v>
      </x:c>
      <x:c r="E20" s="99" t="n">
        <x:v>1</x:v>
      </x:c>
      <x:c r="F20" s="99" t="n">
        <x:v>0.045</x:v>
      </x:c>
      <x:c r="G20" s="99" t="n">
        <x:v>25</x:v>
      </x:c>
      <x:c r="H20" s="99" t="n">
        <x:v>0.05</x:v>
      </x:c>
      <x:c r="I20" s="99" t="n">
        <x:v>-0.1099999999999999</x:v>
      </x:c>
      <x:c r="J20" s="98" t="n">
        <x:v>2.72266941186025e-11</x:v>
      </x:c>
      <x:c r="K20" t="str">
        <x:v>low_vds</x:v>
      </x:c>
      <x:c r="L20" t="str">
        <x:v>low_drain_bias</x:v>
      </x:c>
      <x:c r="M20" t="n">
        <x:v>1</x:v>
      </x:c>
      <x:c r="N20" t="str">
        <x:v>simulation</x:v>
      </x:c>
      <x:c r="O20" t="str">
        <x:v>ngspice</x:v>
      </x:c>
      <x:c r="P20" t="str">
        <x:v>c9ed2e513523c57a76912a35b2860cb85e4aaa3402b69757d84efa9cc2fb8410</x:v>
      </x:c>
      <x:c r="Q20" t="str">
        <x:v>data/raw/ptm45_hp_vds_0p05v_raw.txt</x:v>
      </x:c>
    </x:row>
    <x:row r="21">
      <x:c r="A21" t="str">
        <x:v>PTM</x:v>
      </x:c>
      <x:c r="B21" t="str">
        <x:v>NMOS</x:v>
      </x:c>
      <x:c r="C21" s="97" t="n">
        <x:v>45</x:v>
      </x:c>
      <x:c r="D21" s="97" t="str">
        <x:v>HP</x:v>
      </x:c>
      <x:c r="E21" s="99" t="n">
        <x:v>1</x:v>
      </x:c>
      <x:c r="F21" s="99" t="n">
        <x:v>0.045</x:v>
      </x:c>
      <x:c r="G21" s="99" t="n">
        <x:v>25</x:v>
      </x:c>
      <x:c r="H21" s="99" t="n">
        <x:v>0.05</x:v>
      </x:c>
      <x:c r="I21" s="99" t="n">
        <x:v>-0.1049999999999999</x:v>
      </x:c>
      <x:c r="J21" s="98" t="n">
        <x:v>3.095036687468267e-11</x:v>
      </x:c>
      <x:c r="K21" t="str">
        <x:v>low_vds</x:v>
      </x:c>
      <x:c r="L21" t="str">
        <x:v>low_drain_bias</x:v>
      </x:c>
      <x:c r="M21" t="n">
        <x:v>1</x:v>
      </x:c>
      <x:c r="N21" t="str">
        <x:v>simulation</x:v>
      </x:c>
      <x:c r="O21" t="str">
        <x:v>ngspice</x:v>
      </x:c>
      <x:c r="P21" t="str">
        <x:v>c9ed2e513523c57a76912a35b2860cb85e4aaa3402b69757d84efa9cc2fb8410</x:v>
      </x:c>
      <x:c r="Q21" t="str">
        <x:v>data/raw/ptm45_hp_vds_0p05v_raw.txt</x:v>
      </x:c>
    </x:row>
    <x:row r="22">
      <x:c r="A22" t="str">
        <x:v>PTM</x:v>
      </x:c>
      <x:c r="B22" t="str">
        <x:v>NMOS</x:v>
      </x:c>
      <x:c r="C22" s="97" t="n">
        <x:v>45</x:v>
      </x:c>
      <x:c r="D22" s="97" t="str">
        <x:v>HP</x:v>
      </x:c>
      <x:c r="E22" s="99" t="n">
        <x:v>1</x:v>
      </x:c>
      <x:c r="F22" s="99" t="n">
        <x:v>0.045</x:v>
      </x:c>
      <x:c r="G22" s="99" t="n">
        <x:v>25</x:v>
      </x:c>
      <x:c r="H22" s="99" t="n">
        <x:v>0.05</x:v>
      </x:c>
      <x:c r="I22" s="99" t="n">
        <x:v>-0.09999999999999992</x:v>
      </x:c>
      <x:c r="J22" s="98" t="n">
        <x:v>3.522278233217966e-11</x:v>
      </x:c>
      <x:c r="K22" t="str">
        <x:v>low_vds</x:v>
      </x:c>
      <x:c r="L22" t="str">
        <x:v>low_drain_bias</x:v>
      </x:c>
      <x:c r="M22" t="n">
        <x:v>1</x:v>
      </x:c>
      <x:c r="N22" t="str">
        <x:v>simulation</x:v>
      </x:c>
      <x:c r="O22" t="str">
        <x:v>ngspice</x:v>
      </x:c>
      <x:c r="P22" t="str">
        <x:v>c9ed2e513523c57a76912a35b2860cb85e4aaa3402b69757d84efa9cc2fb8410</x:v>
      </x:c>
      <x:c r="Q22" t="str">
        <x:v>data/raw/ptm45_hp_vds_0p05v_raw.txt</x:v>
      </x:c>
    </x:row>
    <x:row r="23">
      <x:c r="A23" t="str">
        <x:v>PTM</x:v>
      </x:c>
      <x:c r="B23" t="str">
        <x:v>NMOS</x:v>
      </x:c>
      <x:c r="C23" s="97" t="n">
        <x:v>45</x:v>
      </x:c>
      <x:c r="D23" s="97" t="str">
        <x:v>HP</x:v>
      </x:c>
      <x:c r="E23" s="99" t="n">
        <x:v>1</x:v>
      </x:c>
      <x:c r="F23" s="99" t="n">
        <x:v>0.045</x:v>
      </x:c>
      <x:c r="G23" s="99" t="n">
        <x:v>25</x:v>
      </x:c>
      <x:c r="H23" s="99" t="n">
        <x:v>0.05</x:v>
      </x:c>
      <x:c r="I23" s="99" t="n">
        <x:v>-0.09499999999999992</x:v>
      </x:c>
      <x:c r="J23" s="98" t="n">
        <x:v>4.01228326161663e-11</x:v>
      </x:c>
      <x:c r="K23" t="str">
        <x:v>low_vds</x:v>
      </x:c>
      <x:c r="L23" t="str">
        <x:v>low_drain_bias</x:v>
      </x:c>
      <x:c r="M23" t="n">
        <x:v>1</x:v>
      </x:c>
      <x:c r="N23" t="str">
        <x:v>simulation</x:v>
      </x:c>
      <x:c r="O23" t="str">
        <x:v>ngspice</x:v>
      </x:c>
      <x:c r="P23" t="str">
        <x:v>c9ed2e513523c57a76912a35b2860cb85e4aaa3402b69757d84efa9cc2fb8410</x:v>
      </x:c>
      <x:c r="Q23" t="str">
        <x:v>data/raw/ptm45_hp_vds_0p05v_raw.txt</x:v>
      </x:c>
    </x:row>
    <x:row r="24">
      <x:c r="A24" t="str">
        <x:v>PTM</x:v>
      </x:c>
      <x:c r="B24" t="str">
        <x:v>NMOS</x:v>
      </x:c>
      <x:c r="C24" s="97" t="n">
        <x:v>45</x:v>
      </x:c>
      <x:c r="D24" s="97" t="str">
        <x:v>HP</x:v>
      </x:c>
      <x:c r="E24" s="99" t="n">
        <x:v>1</x:v>
      </x:c>
      <x:c r="F24" s="99" t="n">
        <x:v>0.045</x:v>
      </x:c>
      <x:c r="G24" s="99" t="n">
        <x:v>25</x:v>
      </x:c>
      <x:c r="H24" s="99" t="n">
        <x:v>0.05</x:v>
      </x:c>
      <x:c r="I24" s="99" t="n">
        <x:v>-0.08999999999999991</x:v>
      </x:c>
      <x:c r="J24" s="98" t="n">
        <x:v>4.57408012147368e-11</x:v>
      </x:c>
      <x:c r="K24" t="str">
        <x:v>low_vds</x:v>
      </x:c>
      <x:c r="L24" t="str">
        <x:v>low_drain_bias</x:v>
      </x:c>
      <x:c r="M24" t="n">
        <x:v>1</x:v>
      </x:c>
      <x:c r="N24" t="str">
        <x:v>simulation</x:v>
      </x:c>
      <x:c r="O24" t="str">
        <x:v>ngspice</x:v>
      </x:c>
      <x:c r="P24" t="str">
        <x:v>c9ed2e513523c57a76912a35b2860cb85e4aaa3402b69757d84efa9cc2fb8410</x:v>
      </x:c>
      <x:c r="Q24" t="str">
        <x:v>data/raw/ptm45_hp_vds_0p05v_raw.txt</x:v>
      </x:c>
    </x:row>
    <x:row r="25">
      <x:c r="A25" t="str">
        <x:v>PTM</x:v>
      </x:c>
      <x:c r="B25" t="str">
        <x:v>NMOS</x:v>
      </x:c>
      <x:c r="C25" s="97" t="n">
        <x:v>45</x:v>
      </x:c>
      <x:c r="D25" s="97" t="str">
        <x:v>HP</x:v>
      </x:c>
      <x:c r="E25" s="99" t="n">
        <x:v>1</x:v>
      </x:c>
      <x:c r="F25" s="99" t="n">
        <x:v>0.045</x:v>
      </x:c>
      <x:c r="G25" s="99" t="n">
        <x:v>25</x:v>
      </x:c>
      <x:c r="H25" s="99" t="n">
        <x:v>0.05</x:v>
      </x:c>
      <x:c r="I25" s="99" t="n">
        <x:v>-0.08499999999999991</x:v>
      </x:c>
      <x:c r="J25" s="98" t="n">
        <x:v>5.218000371302819e-11</x:v>
      </x:c>
      <x:c r="K25" t="str">
        <x:v>low_vds</x:v>
      </x:c>
      <x:c r="L25" t="str">
        <x:v>low_drain_bias</x:v>
      </x:c>
      <x:c r="M25" t="n">
        <x:v>1</x:v>
      </x:c>
      <x:c r="N25" t="str">
        <x:v>simulation</x:v>
      </x:c>
      <x:c r="O25" t="str">
        <x:v>ngspice</x:v>
      </x:c>
      <x:c r="P25" t="str">
        <x:v>c9ed2e513523c57a76912a35b2860cb85e4aaa3402b69757d84efa9cc2fb8410</x:v>
      </x:c>
      <x:c r="Q25" t="str">
        <x:v>data/raw/ptm45_hp_vds_0p05v_raw.txt</x:v>
      </x:c>
    </x:row>
    <x:row r="26">
      <x:c r="A26" t="str">
        <x:v>PTM</x:v>
      </x:c>
      <x:c r="B26" t="str">
        <x:v>NMOS</x:v>
      </x:c>
      <x:c r="C26" s="97" t="n">
        <x:v>45</x:v>
      </x:c>
      <x:c r="D26" s="97" t="str">
        <x:v>HP</x:v>
      </x:c>
      <x:c r="E26" s="99" t="n">
        <x:v>1</x:v>
      </x:c>
      <x:c r="F26" s="99" t="n">
        <x:v>0.045</x:v>
      </x:c>
      <x:c r="G26" s="99" t="n">
        <x:v>25</x:v>
      </x:c>
      <x:c r="H26" s="99" t="n">
        <x:v>0.05</x:v>
      </x:c>
      <x:c r="I26" s="99" t="n">
        <x:v>-0.0799999999999999</x:v>
      </x:c>
      <x:c r="J26" s="98" t="n">
        <x:v>5.955866428363326e-11</x:v>
      </x:c>
      <x:c r="K26" t="str">
        <x:v>low_vds</x:v>
      </x:c>
      <x:c r="L26" t="str">
        <x:v>low_drain_bias</x:v>
      </x:c>
      <x:c r="M26" t="n">
        <x:v>1</x:v>
      </x:c>
      <x:c r="N26" t="str">
        <x:v>simulation</x:v>
      </x:c>
      <x:c r="O26" t="str">
        <x:v>ngspice</x:v>
      </x:c>
      <x:c r="P26" t="str">
        <x:v>c9ed2e513523c57a76912a35b2860cb85e4aaa3402b69757d84efa9cc2fb8410</x:v>
      </x:c>
      <x:c r="Q26" t="str">
        <x:v>data/raw/ptm45_hp_vds_0p05v_raw.txt</x:v>
      </x:c>
    </x:row>
    <x:row r="27">
      <x:c r="A27" t="str">
        <x:v>PTM</x:v>
      </x:c>
      <x:c r="B27" t="str">
        <x:v>NMOS</x:v>
      </x:c>
      <x:c r="C27" s="97" t="n">
        <x:v>45</x:v>
      </x:c>
      <x:c r="D27" s="97" t="str">
        <x:v>HP</x:v>
      </x:c>
      <x:c r="E27" s="99" t="n">
        <x:v>1</x:v>
      </x:c>
      <x:c r="F27" s="99" t="n">
        <x:v>0.045</x:v>
      </x:c>
      <x:c r="G27" s="99" t="n">
        <x:v>25</x:v>
      </x:c>
      <x:c r="H27" s="99" t="n">
        <x:v>0.05</x:v>
      </x:c>
      <x:c r="I27" s="99" t="n">
        <x:v>-0.0749999999999999</x:v>
      </x:c>
      <x:c r="J27" s="98" t="n">
        <x:v>6.801206167800156e-11</x:v>
      </x:c>
      <x:c r="K27" t="str">
        <x:v>low_vds</x:v>
      </x:c>
      <x:c r="L27" t="str">
        <x:v>low_drain_bias</x:v>
      </x:c>
      <x:c r="M27" t="n">
        <x:v>1</x:v>
      </x:c>
      <x:c r="N27" t="str">
        <x:v>simulation</x:v>
      </x:c>
      <x:c r="O27" t="str">
        <x:v>ngspice</x:v>
      </x:c>
      <x:c r="P27" t="str">
        <x:v>c9ed2e513523c57a76912a35b2860cb85e4aaa3402b69757d84efa9cc2fb8410</x:v>
      </x:c>
      <x:c r="Q27" t="str">
        <x:v>data/raw/ptm45_hp_vds_0p05v_raw.txt</x:v>
      </x:c>
    </x:row>
    <x:row r="28">
      <x:c r="A28" t="str">
        <x:v>PTM</x:v>
      </x:c>
      <x:c r="B28" t="str">
        <x:v>NMOS</x:v>
      </x:c>
      <x:c r="C28" s="97" t="n">
        <x:v>45</x:v>
      </x:c>
      <x:c r="D28" s="97" t="str">
        <x:v>HP</x:v>
      </x:c>
      <x:c r="E28" s="99" t="n">
        <x:v>1</x:v>
      </x:c>
      <x:c r="F28" s="99" t="n">
        <x:v>0.045</x:v>
      </x:c>
      <x:c r="G28" s="99" t="n">
        <x:v>25</x:v>
      </x:c>
      <x:c r="H28" s="99" t="n">
        <x:v>0.05</x:v>
      </x:c>
      <x:c r="I28" s="99" t="n">
        <x:v>-0.0699999999999999</x:v>
      </x:c>
      <x:c r="J28" s="98" t="n">
        <x:v>7.769498326361557e-11</x:v>
      </x:c>
      <x:c r="K28" t="str">
        <x:v>low_vds</x:v>
      </x:c>
      <x:c r="L28" t="str">
        <x:v>low_drain_bias</x:v>
      </x:c>
      <x:c r="M28" t="n">
        <x:v>1</x:v>
      </x:c>
      <x:c r="N28" t="str">
        <x:v>simulation</x:v>
      </x:c>
      <x:c r="O28" t="str">
        <x:v>ngspice</x:v>
      </x:c>
      <x:c r="P28" t="str">
        <x:v>c9ed2e513523c57a76912a35b2860cb85e4aaa3402b69757d84efa9cc2fb8410</x:v>
      </x:c>
      <x:c r="Q28" t="str">
        <x:v>data/raw/ptm45_hp_vds_0p05v_raw.txt</x:v>
      </x:c>
    </x:row>
    <x:row r="29">
      <x:c r="A29" t="str">
        <x:v>PTM</x:v>
      </x:c>
      <x:c r="B29" t="str">
        <x:v>NMOS</x:v>
      </x:c>
      <x:c r="C29" s="97" t="n">
        <x:v>45</x:v>
      </x:c>
      <x:c r="D29" s="97" t="str">
        <x:v>HP</x:v>
      </x:c>
      <x:c r="E29" s="99" t="n">
        <x:v>1</x:v>
      </x:c>
      <x:c r="F29" s="99" t="n">
        <x:v>0.045</x:v>
      </x:c>
      <x:c r="G29" s="99" t="n">
        <x:v>25</x:v>
      </x:c>
      <x:c r="H29" s="99" t="n">
        <x:v>0.05</x:v>
      </x:c>
      <x:c r="I29" s="99" t="n">
        <x:v>-0.06499999999999989</x:v>
      </x:c>
      <x:c r="J29" s="98" t="n">
        <x:v>8.878453112919366e-11</x:v>
      </x:c>
      <x:c r="K29" t="str">
        <x:v>low_vds</x:v>
      </x:c>
      <x:c r="L29" t="str">
        <x:v>low_drain_bias</x:v>
      </x:c>
      <x:c r="M29" t="n">
        <x:v>1</x:v>
      </x:c>
      <x:c r="N29" t="str">
        <x:v>simulation</x:v>
      </x:c>
      <x:c r="O29" t="str">
        <x:v>ngspice</x:v>
      </x:c>
      <x:c r="P29" t="str">
        <x:v>c9ed2e513523c57a76912a35b2860cb85e4aaa3402b69757d84efa9cc2fb8410</x:v>
      </x:c>
      <x:c r="Q29" t="str">
        <x:v>data/raw/ptm45_hp_vds_0p05v_raw.txt</x:v>
      </x:c>
    </x:row>
    <x:row r="30">
      <x:c r="A30" t="str">
        <x:v>PTM</x:v>
      </x:c>
      <x:c r="B30" t="str">
        <x:v>NMOS</x:v>
      </x:c>
      <x:c r="C30" s="97" t="n">
        <x:v>45</x:v>
      </x:c>
      <x:c r="D30" s="97" t="str">
        <x:v>HP</x:v>
      </x:c>
      <x:c r="E30" s="99" t="n">
        <x:v>1</x:v>
      </x:c>
      <x:c r="F30" s="99" t="n">
        <x:v>0.045</x:v>
      </x:c>
      <x:c r="G30" s="99" t="n">
        <x:v>25</x:v>
      </x:c>
      <x:c r="H30" s="99" t="n">
        <x:v>0.05</x:v>
      </x:c>
      <x:c r="I30" s="99" t="n">
        <x:v>-0.05999999999999989</x:v>
      </x:c>
      <x:c r="J30" s="98" t="n">
        <x:v>1.01483330528479e-10</x:v>
      </x:c>
      <x:c r="K30" t="str">
        <x:v>low_vds</x:v>
      </x:c>
      <x:c r="L30" t="str">
        <x:v>low_drain_bias</x:v>
      </x:c>
      <x:c r="M30" t="n">
        <x:v>1</x:v>
      </x:c>
      <x:c r="N30" t="str">
        <x:v>simulation</x:v>
      </x:c>
      <x:c r="O30" t="str">
        <x:v>ngspice</x:v>
      </x:c>
      <x:c r="P30" t="str">
        <x:v>c9ed2e513523c57a76912a35b2860cb85e4aaa3402b69757d84efa9cc2fb8410</x:v>
      </x:c>
      <x:c r="Q30" t="str">
        <x:v>data/raw/ptm45_hp_vds_0p05v_raw.txt</x:v>
      </x:c>
    </x:row>
    <x:row r="31">
      <x:c r="A31" t="str">
        <x:v>PTM</x:v>
      </x:c>
      <x:c r="B31" t="str">
        <x:v>NMOS</x:v>
      </x:c>
      <x:c r="C31" s="97" t="n">
        <x:v>45</x:v>
      </x:c>
      <x:c r="D31" s="97" t="str">
        <x:v>HP</x:v>
      </x:c>
      <x:c r="E31" s="99" t="n">
        <x:v>1</x:v>
      </x:c>
      <x:c r="F31" s="99" t="n">
        <x:v>0.045</x:v>
      </x:c>
      <x:c r="G31" s="99" t="n">
        <x:v>25</x:v>
      </x:c>
      <x:c r="H31" s="99" t="n">
        <x:v>0.05</x:v>
      </x:c>
      <x:c r="I31" s="99" t="n">
        <x:v>-0.0549999999999999</x:v>
      </x:c>
      <x:c r="J31" s="98" t="n">
        <x:v>1.160231980575384e-10</x:v>
      </x:c>
      <x:c r="K31" t="str">
        <x:v>low_vds</x:v>
      </x:c>
      <x:c r="L31" t="str">
        <x:v>low_drain_bias</x:v>
      </x:c>
      <x:c r="M31" t="n">
        <x:v>1</x:v>
      </x:c>
      <x:c r="N31" t="str">
        <x:v>simulation</x:v>
      </x:c>
      <x:c r="O31" t="str">
        <x:v>ngspice</x:v>
      </x:c>
      <x:c r="P31" t="str">
        <x:v>c9ed2e513523c57a76912a35b2860cb85e4aaa3402b69757d84efa9cc2fb8410</x:v>
      </x:c>
      <x:c r="Q31" t="str">
        <x:v>data/raw/ptm45_hp_vds_0p05v_raw.txt</x:v>
      </x:c>
    </x:row>
    <x:row r="32">
      <x:c r="A32" t="str">
        <x:v>PTM</x:v>
      </x:c>
      <x:c r="B32" t="str">
        <x:v>NMOS</x:v>
      </x:c>
      <x:c r="C32" s="97" t="n">
        <x:v>45</x:v>
      </x:c>
      <x:c r="D32" s="97" t="str">
        <x:v>HP</x:v>
      </x:c>
      <x:c r="E32" s="99" t="n">
        <x:v>1</x:v>
      </x:c>
      <x:c r="F32" s="99" t="n">
        <x:v>0.045</x:v>
      </x:c>
      <x:c r="G32" s="99" t="n">
        <x:v>25</x:v>
      </x:c>
      <x:c r="H32" s="99" t="n">
        <x:v>0.05</x:v>
      </x:c>
      <x:c r="I32" s="99" t="n">
        <x:v>-0.0499999999999999</x:v>
      </x:c>
      <x:c r="J32" s="98" t="n">
        <x:v>1.326693350842816e-10</x:v>
      </x:c>
      <x:c r="K32" t="str">
        <x:v>low_vds</x:v>
      </x:c>
      <x:c r="L32" t="str">
        <x:v>low_drain_bias</x:v>
      </x:c>
      <x:c r="M32" t="n">
        <x:v>1</x:v>
      </x:c>
      <x:c r="N32" t="str">
        <x:v>simulation</x:v>
      </x:c>
      <x:c r="O32" t="str">
        <x:v>ngspice</x:v>
      </x:c>
      <x:c r="P32" t="str">
        <x:v>c9ed2e513523c57a76912a35b2860cb85e4aaa3402b69757d84efa9cc2fb8410</x:v>
      </x:c>
      <x:c r="Q32" t="str">
        <x:v>data/raw/ptm45_hp_vds_0p05v_raw.txt</x:v>
      </x:c>
    </x:row>
    <x:row r="33">
      <x:c r="A33" t="str">
        <x:v>PTM</x:v>
      </x:c>
      <x:c r="B33" t="str">
        <x:v>NMOS</x:v>
      </x:c>
      <x:c r="C33" s="97" t="n">
        <x:v>45</x:v>
      </x:c>
      <x:c r="D33" s="97" t="str">
        <x:v>HP</x:v>
      </x:c>
      <x:c r="E33" s="99" t="n">
        <x:v>1</x:v>
      </x:c>
      <x:c r="F33" s="99" t="n">
        <x:v>0.045</x:v>
      </x:c>
      <x:c r="G33" s="99" t="n">
        <x:v>25</x:v>
      </x:c>
      <x:c r="H33" s="99" t="n">
        <x:v>0.05</x:v>
      </x:c>
      <x:c r="I33" s="99" t="n">
        <x:v>-0.0449999999999999</x:v>
      </x:c>
      <x:c r="J33" s="98" t="n">
        <x:v>1.529944548236994e-10</x:v>
      </x:c>
      <x:c r="K33" t="str">
        <x:v>low_vds</x:v>
      </x:c>
      <x:c r="L33" t="str">
        <x:v>low_drain_bias</x:v>
      </x:c>
      <x:c r="M33" t="n">
        <x:v>1</x:v>
      </x:c>
      <x:c r="N33" t="str">
        <x:v>simulation</x:v>
      </x:c>
      <x:c r="O33" t="str">
        <x:v>ngspice</x:v>
      </x:c>
      <x:c r="P33" t="str">
        <x:v>c9ed2e513523c57a76912a35b2860cb85e4aaa3402b69757d84efa9cc2fb8410</x:v>
      </x:c>
      <x:c r="Q33" t="str">
        <x:v>data/raw/ptm45_hp_vds_0p05v_raw.txt</x:v>
      </x:c>
    </x:row>
    <x:row r="34">
      <x:c r="A34" t="str">
        <x:v>PTM</x:v>
      </x:c>
      <x:c r="B34" t="str">
        <x:v>NMOS</x:v>
      </x:c>
      <x:c r="C34" s="97" t="n">
        <x:v>45</x:v>
      </x:c>
      <x:c r="D34" s="97" t="str">
        <x:v>HP</x:v>
      </x:c>
      <x:c r="E34" s="99" t="n">
        <x:v>1</x:v>
      </x:c>
      <x:c r="F34" s="99" t="n">
        <x:v>0.045</x:v>
      </x:c>
      <x:c r="G34" s="99" t="n">
        <x:v>25</x:v>
      </x:c>
      <x:c r="H34" s="99" t="n">
        <x:v>0.05</x:v>
      </x:c>
      <x:c r="I34" s="99" t="n">
        <x:v>-0.0399999999999999</x:v>
      </x:c>
      <x:c r="J34" s="98" t="n">
        <x:v>1.749897216763041e-10</x:v>
      </x:c>
      <x:c r="K34" t="str">
        <x:v>low_vds</x:v>
      </x:c>
      <x:c r="L34" t="str">
        <x:v>low_drain_bias</x:v>
      </x:c>
      <x:c r="M34" t="n">
        <x:v>1</x:v>
      </x:c>
      <x:c r="N34" t="str">
        <x:v>simulation</x:v>
      </x:c>
      <x:c r="O34" t="str">
        <x:v>ngspice</x:v>
      </x:c>
      <x:c r="P34" t="str">
        <x:v>c9ed2e513523c57a76912a35b2860cb85e4aaa3402b69757d84efa9cc2fb8410</x:v>
      </x:c>
      <x:c r="Q34" t="str">
        <x:v>data/raw/ptm45_hp_vds_0p05v_raw.txt</x:v>
      </x:c>
    </x:row>
    <x:row r="35">
      <x:c r="A35" t="str">
        <x:v>PTM</x:v>
      </x:c>
      <x:c r="B35" t="str">
        <x:v>NMOS</x:v>
      </x:c>
      <x:c r="C35" s="97" t="n">
        <x:v>45</x:v>
      </x:c>
      <x:c r="D35" s="97" t="str">
        <x:v>HP</x:v>
      </x:c>
      <x:c r="E35" s="99" t="n">
        <x:v>1</x:v>
      </x:c>
      <x:c r="F35" s="99" t="n">
        <x:v>0.045</x:v>
      </x:c>
      <x:c r="G35" s="99" t="n">
        <x:v>25</x:v>
      </x:c>
      <x:c r="H35" s="99" t="n">
        <x:v>0.05</x:v>
      </x:c>
      <x:c r="I35" s="99" t="n">
        <x:v>-0.03499999999999991</x:v>
      </x:c>
      <x:c r="J35" s="98" t="n">
        <x:v>2.00164917937679e-10</x:v>
      </x:c>
      <x:c r="K35" t="str">
        <x:v>low_vds</x:v>
      </x:c>
      <x:c r="L35" t="str">
        <x:v>low_drain_bias</x:v>
      </x:c>
      <x:c r="M35" t="n">
        <x:v>1</x:v>
      </x:c>
      <x:c r="N35" t="str">
        <x:v>simulation</x:v>
      </x:c>
      <x:c r="O35" t="str">
        <x:v>ngspice</x:v>
      </x:c>
      <x:c r="P35" t="str">
        <x:v>c9ed2e513523c57a76912a35b2860cb85e4aaa3402b69757d84efa9cc2fb8410</x:v>
      </x:c>
      <x:c r="Q35" t="str">
        <x:v>data/raw/ptm45_hp_vds_0p05v_raw.txt</x:v>
      </x:c>
    </x:row>
    <x:row r="36">
      <x:c r="A36" t="str">
        <x:v>PTM</x:v>
      </x:c>
      <x:c r="B36" t="str">
        <x:v>NMOS</x:v>
      </x:c>
      <x:c r="C36" s="97" t="n">
        <x:v>45</x:v>
      </x:c>
      <x:c r="D36" s="97" t="str">
        <x:v>HP</x:v>
      </x:c>
      <x:c r="E36" s="99" t="n">
        <x:v>1</x:v>
      </x:c>
      <x:c r="F36" s="99" t="n">
        <x:v>0.045</x:v>
      </x:c>
      <x:c r="G36" s="99" t="n">
        <x:v>25</x:v>
      </x:c>
      <x:c r="H36" s="99" t="n">
        <x:v>0.05</x:v>
      </x:c>
      <x:c r="I36" s="99" t="n">
        <x:v>-0.02999999999999991</x:v>
      </x:c>
      <x:c r="J36" s="98" t="n">
        <x:v>2.28977839647221e-10</x:v>
      </x:c>
      <x:c r="K36" t="str">
        <x:v>low_vds</x:v>
      </x:c>
      <x:c r="L36" t="str">
        <x:v>low_drain_bias</x:v>
      </x:c>
      <x:c r="M36" t="n">
        <x:v>1</x:v>
      </x:c>
      <x:c r="N36" t="str">
        <x:v>simulation</x:v>
      </x:c>
      <x:c r="O36" t="str">
        <x:v>ngspice</x:v>
      </x:c>
      <x:c r="P36" t="str">
        <x:v>c9ed2e513523c57a76912a35b2860cb85e4aaa3402b69757d84efa9cc2fb8410</x:v>
      </x:c>
      <x:c r="Q36" t="str">
        <x:v>data/raw/ptm45_hp_vds_0p05v_raw.txt</x:v>
      </x:c>
    </x:row>
    <x:row r="37">
      <x:c r="A37" t="str">
        <x:v>PTM</x:v>
      </x:c>
      <x:c r="B37" t="str">
        <x:v>NMOS</x:v>
      </x:c>
      <x:c r="C37" s="97" t="n">
        <x:v>45</x:v>
      </x:c>
      <x:c r="D37" s="97" t="str">
        <x:v>HP</x:v>
      </x:c>
      <x:c r="E37" s="99" t="n">
        <x:v>1</x:v>
      </x:c>
      <x:c r="F37" s="99" t="n">
        <x:v>0.045</x:v>
      </x:c>
      <x:c r="G37" s="99" t="n">
        <x:v>25</x:v>
      </x:c>
      <x:c r="H37" s="99" t="n">
        <x:v>0.05</x:v>
      </x:c>
      <x:c r="I37" s="99" t="n">
        <x:v>-0.0249999999999999</x:v>
      </x:c>
      <x:c r="J37" s="98" t="n">
        <x:v>2.619520691338697e-10</x:v>
      </x:c>
      <x:c r="K37" t="str">
        <x:v>low_vds</x:v>
      </x:c>
      <x:c r="L37" t="str">
        <x:v>low_drain_bias</x:v>
      </x:c>
      <x:c r="M37" t="n">
        <x:v>1</x:v>
      </x:c>
      <x:c r="N37" t="str">
        <x:v>simulation</x:v>
      </x:c>
      <x:c r="O37" t="str">
        <x:v>ngspice</x:v>
      </x:c>
      <x:c r="P37" t="str">
        <x:v>c9ed2e513523c57a76912a35b2860cb85e4aaa3402b69757d84efa9cc2fb8410</x:v>
      </x:c>
      <x:c r="Q37" t="str">
        <x:v>data/raw/ptm45_hp_vds_0p05v_raw.txt</x:v>
      </x:c>
    </x:row>
    <x:row r="38">
      <x:c r="A38" t="str">
        <x:v>PTM</x:v>
      </x:c>
      <x:c r="B38" t="str">
        <x:v>NMOS</x:v>
      </x:c>
      <x:c r="C38" s="97" t="n">
        <x:v>45</x:v>
      </x:c>
      <x:c r="D38" s="97" t="str">
        <x:v>HP</x:v>
      </x:c>
      <x:c r="E38" s="99" t="n">
        <x:v>1</x:v>
      </x:c>
      <x:c r="F38" s="99" t="n">
        <x:v>0.045</x:v>
      </x:c>
      <x:c r="G38" s="99" t="n">
        <x:v>25</x:v>
      </x:c>
      <x:c r="H38" s="99" t="n">
        <x:v>0.05</x:v>
      </x:c>
      <x:c r="I38" s="99" t="n">
        <x:v>-0.0199999999999999</x:v>
      </x:c>
      <x:c r="J38" s="98" t="n">
        <x:v>2.996863911222594e-10</x:v>
      </x:c>
      <x:c r="K38" t="str">
        <x:v>low_vds</x:v>
      </x:c>
      <x:c r="L38" t="str">
        <x:v>low_drain_bias</x:v>
      </x:c>
      <x:c r="M38" t="n">
        <x:v>1</x:v>
      </x:c>
      <x:c r="N38" t="str">
        <x:v>simulation</x:v>
      </x:c>
      <x:c r="O38" t="str">
        <x:v>ngspice</x:v>
      </x:c>
      <x:c r="P38" t="str">
        <x:v>c9ed2e513523c57a76912a35b2860cb85e4aaa3402b69757d84efa9cc2fb8410</x:v>
      </x:c>
      <x:c r="Q38" t="str">
        <x:v>data/raw/ptm45_hp_vds_0p05v_raw.txt</x:v>
      </x:c>
    </x:row>
    <x:row r="39">
      <x:c r="A39" t="str">
        <x:v>PTM</x:v>
      </x:c>
      <x:c r="B39" t="str">
        <x:v>NMOS</x:v>
      </x:c>
      <x:c r="C39" s="97" t="n">
        <x:v>45</x:v>
      </x:c>
      <x:c r="D39" s="97" t="str">
        <x:v>HP</x:v>
      </x:c>
      <x:c r="E39" s="99" t="n">
        <x:v>1</x:v>
      </x:c>
      <x:c r="F39" s="99" t="n">
        <x:v>0.045</x:v>
      </x:c>
      <x:c r="G39" s="99" t="n">
        <x:v>25</x:v>
      </x:c>
      <x:c r="H39" s="99" t="n">
        <x:v>0.05</x:v>
      </x:c>
      <x:c r="I39" s="99" t="n">
        <x:v>-0.0149999999999999</x:v>
      </x:c>
      <x:c r="J39" s="98" t="n">
        <x:v>3.428655485526335e-10</x:v>
      </x:c>
      <x:c r="K39" t="str">
        <x:v>low_vds</x:v>
      </x:c>
      <x:c r="L39" t="str">
        <x:v>low_drain_bias</x:v>
      </x:c>
      <x:c r="M39" t="n">
        <x:v>1</x:v>
      </x:c>
      <x:c r="N39" t="str">
        <x:v>simulation</x:v>
      </x:c>
      <x:c r="O39" t="str">
        <x:v>ngspice</x:v>
      </x:c>
      <x:c r="P39" t="str">
        <x:v>c9ed2e513523c57a76912a35b2860cb85e4aaa3402b69757d84efa9cc2fb8410</x:v>
      </x:c>
      <x:c r="Q39" t="str">
        <x:v>data/raw/ptm45_hp_vds_0p05v_raw.txt</x:v>
      </x:c>
    </x:row>
    <x:row r="40">
      <x:c r="A40" t="str">
        <x:v>PTM</x:v>
      </x:c>
      <x:c r="B40" t="str">
        <x:v>NMOS</x:v>
      </x:c>
      <x:c r="C40" s="97" t="n">
        <x:v>45</x:v>
      </x:c>
      <x:c r="D40" s="97" t="str">
        <x:v>HP</x:v>
      </x:c>
      <x:c r="E40" s="99" t="n">
        <x:v>1</x:v>
      </x:c>
      <x:c r="F40" s="99" t="n">
        <x:v>0.045</x:v>
      </x:c>
      <x:c r="G40" s="99" t="n">
        <x:v>25</x:v>
      </x:c>
      <x:c r="H40" s="99" t="n">
        <x:v>0.05</x:v>
      </x:c>
      <x:c r="I40" s="99" t="n">
        <x:v>-0.009999999999999901</x:v>
      </x:c>
      <x:c r="J40" s="98" t="n">
        <x:v>3.922725269509782e-10</x:v>
      </x:c>
      <x:c r="K40" t="str">
        <x:v>low_vds</x:v>
      </x:c>
      <x:c r="L40" t="str">
        <x:v>low_drain_bias</x:v>
      </x:c>
      <x:c r="M40" t="n">
        <x:v>1</x:v>
      </x:c>
      <x:c r="N40" t="str">
        <x:v>simulation</x:v>
      </x:c>
      <x:c r="O40" t="str">
        <x:v>ngspice</x:v>
      </x:c>
      <x:c r="P40" t="str">
        <x:v>c9ed2e513523c57a76912a35b2860cb85e4aaa3402b69757d84efa9cc2fb8410</x:v>
      </x:c>
      <x:c r="Q40" t="str">
        <x:v>data/raw/ptm45_hp_vds_0p05v_raw.txt</x:v>
      </x:c>
    </x:row>
    <x:row r="41">
      <x:c r="A41" t="str">
        <x:v>PTM</x:v>
      </x:c>
      <x:c r="B41" t="str">
        <x:v>NMOS</x:v>
      </x:c>
      <x:c r="C41" s="97" t="n">
        <x:v>45</x:v>
      </x:c>
      <x:c r="D41" s="97" t="str">
        <x:v>HP</x:v>
      </x:c>
      <x:c r="E41" s="99" t="n">
        <x:v>1</x:v>
      </x:c>
      <x:c r="F41" s="99" t="n">
        <x:v>0.045</x:v>
      </x:c>
      <x:c r="G41" s="99" t="n">
        <x:v>25</x:v>
      </x:c>
      <x:c r="H41" s="99" t="n">
        <x:v>0.05</x:v>
      </x:c>
      <x:c r="I41" s="99" t="n">
        <x:v>-0.004999999999999901</x:v>
      </x:c>
      <x:c r="J41" s="98" t="n">
        <x:v>4.48802582413186e-10</x:v>
      </x:c>
      <x:c r="K41" t="str">
        <x:v>low_vds</x:v>
      </x:c>
      <x:c r="L41" t="str">
        <x:v>low_drain_bias</x:v>
      </x:c>
      <x:c r="M41" t="n">
        <x:v>1</x:v>
      </x:c>
      <x:c r="N41" t="str">
        <x:v>simulation</x:v>
      </x:c>
      <x:c r="O41" t="str">
        <x:v>ngspice</x:v>
      </x:c>
      <x:c r="P41" t="str">
        <x:v>c9ed2e513523c57a76912a35b2860cb85e4aaa3402b69757d84efa9cc2fb8410</x:v>
      </x:c>
      <x:c r="Q41" t="str">
        <x:v>data/raw/ptm45_hp_vds_0p05v_raw.txt</x:v>
      </x:c>
    </x:row>
    <x:row r="42">
      <x:c r="A42" t="str">
        <x:v>PTM</x:v>
      </x:c>
      <x:c r="B42" t="str">
        <x:v>NMOS</x:v>
      </x:c>
      <x:c r="C42" s="97" t="n">
        <x:v>45</x:v>
      </x:c>
      <x:c r="D42" s="97" t="str">
        <x:v>HP</x:v>
      </x:c>
      <x:c r="E42" s="99" t="n">
        <x:v>1</x:v>
      </x:c>
      <x:c r="F42" s="99" t="n">
        <x:v>0.045</x:v>
      </x:c>
      <x:c r="G42" s="99" t="n">
        <x:v>25</x:v>
      </x:c>
      <x:c r="H42" s="99" t="n">
        <x:v>0.05</x:v>
      </x:c>
      <x:c r="I42" s="99" t="n">
        <x:v>9.8879238130678e-17</x:v>
      </x:c>
      <x:c r="J42" s="98" t="n">
        <x:v>5.134792580490945e-10</x:v>
      </x:c>
      <x:c r="K42" t="str">
        <x:v>low_vds</x:v>
      </x:c>
      <x:c r="L42" t="str">
        <x:v>low_drain_bias</x:v>
      </x:c>
      <x:c r="M42" t="n">
        <x:v>1</x:v>
      </x:c>
      <x:c r="N42" t="str">
        <x:v>simulation</x:v>
      </x:c>
      <x:c r="O42" t="str">
        <x:v>ngspice</x:v>
      </x:c>
      <x:c r="P42" t="str">
        <x:v>c9ed2e513523c57a76912a35b2860cb85e4aaa3402b69757d84efa9cc2fb8410</x:v>
      </x:c>
      <x:c r="Q42" t="str">
        <x:v>data/raw/ptm45_hp_vds_0p05v_raw.txt</x:v>
      </x:c>
    </x:row>
    <x:row r="43">
      <x:c r="A43" t="str">
        <x:v>PTM</x:v>
      </x:c>
      <x:c r="B43" t="str">
        <x:v>NMOS</x:v>
      </x:c>
      <x:c r="C43" s="97" t="n">
        <x:v>45</x:v>
      </x:c>
      <x:c r="D43" s="97" t="str">
        <x:v>HP</x:v>
      </x:c>
      <x:c r="E43" s="99" t="n">
        <x:v>1</x:v>
      </x:c>
      <x:c r="F43" s="99" t="n">
        <x:v>0.045</x:v>
      </x:c>
      <x:c r="G43" s="99" t="n">
        <x:v>25</x:v>
      </x:c>
      <x:c r="H43" s="99" t="n">
        <x:v>0.05</x:v>
      </x:c>
      <x:c r="I43" s="99" t="n">
        <x:v>0.005000000000000099</x:v>
      </x:c>
      <x:c r="J43" s="98" t="n">
        <x:v>5.874726675353982e-10</x:v>
      </x:c>
      <x:c r="K43" t="str">
        <x:v>low_vds</x:v>
      </x:c>
      <x:c r="L43" t="str">
        <x:v>low_drain_bias</x:v>
      </x:c>
      <x:c r="M43" t="n">
        <x:v>1</x:v>
      </x:c>
      <x:c r="N43" t="str">
        <x:v>simulation</x:v>
      </x:c>
      <x:c r="O43" t="str">
        <x:v>ngspice</x:v>
      </x:c>
      <x:c r="P43" t="str">
        <x:v>c9ed2e513523c57a76912a35b2860cb85e4aaa3402b69757d84efa9cc2fb8410</x:v>
      </x:c>
      <x:c r="Q43" t="str">
        <x:v>data/raw/ptm45_hp_vds_0p05v_raw.txt</x:v>
      </x:c>
    </x:row>
    <x:row r="44">
      <x:c r="A44" t="str">
        <x:v>PTM</x:v>
      </x:c>
      <x:c r="B44" t="str">
        <x:v>NMOS</x:v>
      </x:c>
      <x:c r="C44" s="97" t="n">
        <x:v>45</x:v>
      </x:c>
      <x:c r="D44" s="97" t="str">
        <x:v>HP</x:v>
      </x:c>
      <x:c r="E44" s="99" t="n">
        <x:v>1</x:v>
      </x:c>
      <x:c r="F44" s="99" t="n">
        <x:v>0.045</x:v>
      </x:c>
      <x:c r="G44" s="99" t="n">
        <x:v>25</x:v>
      </x:c>
      <x:c r="H44" s="99" t="n">
        <x:v>0.05</x:v>
      </x:c>
      <x:c r="I44" s="99" t="n">
        <x:v>0.0100000000000001</x:v>
      </x:c>
      <x:c r="J44" s="98" t="n">
        <x:v>6.72120362769271e-10</x:v>
      </x:c>
      <x:c r="K44" t="str">
        <x:v>low_vds</x:v>
      </x:c>
      <x:c r="L44" t="str">
        <x:v>low_drain_bias</x:v>
      </x:c>
      <x:c r="M44" t="n">
        <x:v>1</x:v>
      </x:c>
      <x:c r="N44" t="str">
        <x:v>simulation</x:v>
      </x:c>
      <x:c r="O44" t="str">
        <x:v>ngspice</x:v>
      </x:c>
      <x:c r="P44" t="str">
        <x:v>c9ed2e513523c57a76912a35b2860cb85e4aaa3402b69757d84efa9cc2fb8410</x:v>
      </x:c>
      <x:c r="Q44" t="str">
        <x:v>data/raw/ptm45_hp_vds_0p05v_raw.txt</x:v>
      </x:c>
    </x:row>
    <x:row r="45">
      <x:c r="A45" t="str">
        <x:v>PTM</x:v>
      </x:c>
      <x:c r="B45" t="str">
        <x:v>NMOS</x:v>
      </x:c>
      <x:c r="C45" s="97" t="n">
        <x:v>45</x:v>
      </x:c>
      <x:c r="D45" s="97" t="str">
        <x:v>HP</x:v>
      </x:c>
      <x:c r="E45" s="99" t="n">
        <x:v>1</x:v>
      </x:c>
      <x:c r="F45" s="99" t="n">
        <x:v>0.045</x:v>
      </x:c>
      <x:c r="G45" s="99" t="n">
        <x:v>25</x:v>
      </x:c>
      <x:c r="H45" s="99" t="n">
        <x:v>0.05</x:v>
      </x:c>
      <x:c r="I45" s="99" t="n">
        <x:v>0.0150000000000001</x:v>
      </x:c>
      <x:c r="J45" s="98" t="n">
        <x:v>7.68951146078872e-10</x:v>
      </x:c>
      <x:c r="K45" t="str">
        <x:v>low_vds</x:v>
      </x:c>
      <x:c r="L45" t="str">
        <x:v>low_drain_bias</x:v>
      </x:c>
      <x:c r="M45" t="n">
        <x:v>1</x:v>
      </x:c>
      <x:c r="N45" t="str">
        <x:v>simulation</x:v>
      </x:c>
      <x:c r="O45" t="str">
        <x:v>ngspice</x:v>
      </x:c>
      <x:c r="P45" t="str">
        <x:v>c9ed2e513523c57a76912a35b2860cb85e4aaa3402b69757d84efa9cc2fb8410</x:v>
      </x:c>
      <x:c r="Q45" t="str">
        <x:v>data/raw/ptm45_hp_vds_0p05v_raw.txt</x:v>
      </x:c>
    </x:row>
    <x:row r="46">
      <x:c r="A46" t="str">
        <x:v>PTM</x:v>
      </x:c>
      <x:c r="B46" t="str">
        <x:v>NMOS</x:v>
      </x:c>
      <x:c r="C46" s="97" t="n">
        <x:v>45</x:v>
      </x:c>
      <x:c r="D46" s="97" t="str">
        <x:v>HP</x:v>
      </x:c>
      <x:c r="E46" s="99" t="n">
        <x:v>1</x:v>
      </x:c>
      <x:c r="F46" s="99" t="n">
        <x:v>0.045</x:v>
      </x:c>
      <x:c r="G46" s="99" t="n">
        <x:v>25</x:v>
      </x:c>
      <x:c r="H46" s="99" t="n">
        <x:v>0.05</x:v>
      </x:c>
      <x:c r="I46" s="99" t="n">
        <x:v>0.0200000000000001</x:v>
      </x:c>
      <x:c r="J46" s="98" t="n">
        <x:v>8.797122366812358e-10</x:v>
      </x:c>
      <x:c r="K46" t="str">
        <x:v>low_vds</x:v>
      </x:c>
      <x:c r="L46" t="str">
        <x:v>low_drain_bias</x:v>
      </x:c>
      <x:c r="M46" t="n">
        <x:v>1</x:v>
      </x:c>
      <x:c r="N46" t="str">
        <x:v>simulation</x:v>
      </x:c>
      <x:c r="O46" t="str">
        <x:v>ngspice</x:v>
      </x:c>
      <x:c r="P46" t="str">
        <x:v>c9ed2e513523c57a76912a35b2860cb85e4aaa3402b69757d84efa9cc2fb8410</x:v>
      </x:c>
      <x:c r="Q46" t="str">
        <x:v>data/raw/ptm45_hp_vds_0p05v_raw.txt</x:v>
      </x:c>
    </x:row>
    <x:row r="47">
      <x:c r="A47" t="str">
        <x:v>PTM</x:v>
      </x:c>
      <x:c r="B47" t="str">
        <x:v>NMOS</x:v>
      </x:c>
      <x:c r="C47" s="97" t="n">
        <x:v>45</x:v>
      </x:c>
      <x:c r="D47" s="97" t="str">
        <x:v>HP</x:v>
      </x:c>
      <x:c r="E47" s="99" t="n">
        <x:v>1</x:v>
      </x:c>
      <x:c r="F47" s="99" t="n">
        <x:v>0.045</x:v>
      </x:c>
      <x:c r="G47" s="99" t="n">
        <x:v>25</x:v>
      </x:c>
      <x:c r="H47" s="99" t="n">
        <x:v>0.05</x:v>
      </x:c>
      <x:c r="I47" s="99" t="n">
        <x:v>0.0250000000000001</x:v>
      </x:c>
      <x:c r="J47" s="98" t="n">
        <x:v>1.006400256814e-9</x:v>
      </x:c>
      <x:c r="K47" t="str">
        <x:v>low_vds</x:v>
      </x:c>
      <x:c r="L47" t="str">
        <x:v>low_drain_bias</x:v>
      </x:c>
      <x:c r="M47" t="n">
        <x:v>1</x:v>
      </x:c>
      <x:c r="N47" t="str">
        <x:v>simulation</x:v>
      </x:c>
      <x:c r="O47" t="str">
        <x:v>ngspice</x:v>
      </x:c>
      <x:c r="P47" t="str">
        <x:v>c9ed2e513523c57a76912a35b2860cb85e4aaa3402b69757d84efa9cc2fb8410</x:v>
      </x:c>
      <x:c r="Q47" t="str">
        <x:v>data/raw/ptm45_hp_vds_0p05v_raw.txt</x:v>
      </x:c>
    </x:row>
    <x:row r="48">
      <x:c r="A48" t="str">
        <x:v>PTM</x:v>
      </x:c>
      <x:c r="B48" t="str">
        <x:v>NMOS</x:v>
      </x:c>
      <x:c r="C48" s="97" t="n">
        <x:v>45</x:v>
      </x:c>
      <x:c r="D48" s="97" t="str">
        <x:v>HP</x:v>
      </x:c>
      <x:c r="E48" s="99" t="n">
        <x:v>1</x:v>
      </x:c>
      <x:c r="F48" s="99" t="n">
        <x:v>0.045</x:v>
      </x:c>
      <x:c r="G48" s="99" t="n">
        <x:v>25</x:v>
      </x:c>
      <x:c r="H48" s="99" t="n">
        <x:v>0.05</x:v>
      </x:c>
      <x:c r="I48" s="99" t="n">
        <x:v>0.0300000000000001</x:v>
      </x:c>
      <x:c r="J48" s="98" t="n">
        <x:v>1.151296566002834e-9</x:v>
      </x:c>
      <x:c r="K48" t="str">
        <x:v>low_vds</x:v>
      </x:c>
      <x:c r="L48" t="str">
        <x:v>low_drain_bias</x:v>
      </x:c>
      <x:c r="M48" t="n">
        <x:v>1</x:v>
      </x:c>
      <x:c r="N48" t="str">
        <x:v>simulation</x:v>
      </x:c>
      <x:c r="O48" t="str">
        <x:v>ngspice</x:v>
      </x:c>
      <x:c r="P48" t="str">
        <x:v>c9ed2e513523c57a76912a35b2860cb85e4aaa3402b69757d84efa9cc2fb8410</x:v>
      </x:c>
      <x:c r="Q48" t="str">
        <x:v>data/raw/ptm45_hp_vds_0p05v_raw.txt</x:v>
      </x:c>
    </x:row>
    <x:row r="49">
      <x:c r="A49" t="str">
        <x:v>PTM</x:v>
      </x:c>
      <x:c r="B49" t="str">
        <x:v>NMOS</x:v>
      </x:c>
      <x:c r="C49" s="97" t="n">
        <x:v>45</x:v>
      </x:c>
      <x:c r="D49" s="97" t="str">
        <x:v>HP</x:v>
      </x:c>
      <x:c r="E49" s="99" t="n">
        <x:v>1</x:v>
      </x:c>
      <x:c r="F49" s="99" t="n">
        <x:v>0.045</x:v>
      </x:c>
      <x:c r="G49" s="99" t="n">
        <x:v>25</x:v>
      </x:c>
      <x:c r="H49" s="99" t="n">
        <x:v>0.05</x:v>
      </x:c>
      <x:c r="I49" s="99" t="n">
        <x:v>0.0350000000000001</x:v>
      </x:c>
      <x:c r="J49" s="98" t="n">
        <x:v>1.317007543167646e-9</x:v>
      </x:c>
      <x:c r="K49" t="str">
        <x:v>low_vds</x:v>
      </x:c>
      <x:c r="L49" t="str">
        <x:v>low_drain_bias</x:v>
      </x:c>
      <x:c r="M49" t="n">
        <x:v>1</x:v>
      </x:c>
      <x:c r="N49" t="str">
        <x:v>simulation</x:v>
      </x:c>
      <x:c r="O49" t="str">
        <x:v>ngspice</x:v>
      </x:c>
      <x:c r="P49" t="str">
        <x:v>c9ed2e513523c57a76912a35b2860cb85e4aaa3402b69757d84efa9cc2fb8410</x:v>
      </x:c>
      <x:c r="Q49" t="str">
        <x:v>data/raw/ptm45_hp_vds_0p05v_raw.txt</x:v>
      </x:c>
    </x:row>
    <x:row r="50">
      <x:c r="A50" t="str">
        <x:v>PTM</x:v>
      </x:c>
      <x:c r="B50" t="str">
        <x:v>NMOS</x:v>
      </x:c>
      <x:c r="C50" s="97" t="n">
        <x:v>45</x:v>
      </x:c>
      <x:c r="D50" s="97" t="str">
        <x:v>HP</x:v>
      </x:c>
      <x:c r="E50" s="99" t="n">
        <x:v>1</x:v>
      </x:c>
      <x:c r="F50" s="99" t="n">
        <x:v>0.045</x:v>
      </x:c>
      <x:c r="G50" s="99" t="n">
        <x:v>25</x:v>
      </x:c>
      <x:c r="H50" s="99" t="n">
        <x:v>0.05</x:v>
      </x:c>
      <x:c r="I50" s="99" t="n">
        <x:v>0.0400000000000001</x:v>
      </x:c>
      <x:c r="J50" s="98" t="n">
        <x:v>1.506510496705877e-9</x:v>
      </x:c>
      <x:c r="K50" t="str">
        <x:v>low_vds</x:v>
      </x:c>
      <x:c r="L50" t="str">
        <x:v>low_drain_bias</x:v>
      </x:c>
      <x:c r="M50" t="n">
        <x:v>1</x:v>
      </x:c>
      <x:c r="N50" t="str">
        <x:v>simulation</x:v>
      </x:c>
      <x:c r="O50" t="str">
        <x:v>ngspice</x:v>
      </x:c>
      <x:c r="P50" t="str">
        <x:v>c9ed2e513523c57a76912a35b2860cb85e4aaa3402b69757d84efa9cc2fb8410</x:v>
      </x:c>
      <x:c r="Q50" t="str">
        <x:v>data/raw/ptm45_hp_vds_0p05v_raw.txt</x:v>
      </x:c>
    </x:row>
    <x:row r="51">
      <x:c r="A51" t="str">
        <x:v>PTM</x:v>
      </x:c>
      <x:c r="B51" t="str">
        <x:v>NMOS</x:v>
      </x:c>
      <x:c r="C51" s="97" t="n">
        <x:v>45</x:v>
      </x:c>
      <x:c r="D51" s="97" t="str">
        <x:v>HP</x:v>
      </x:c>
      <x:c r="E51" s="99" t="n">
        <x:v>1</x:v>
      </x:c>
      <x:c r="F51" s="99" t="n">
        <x:v>0.045</x:v>
      </x:c>
      <x:c r="G51" s="99" t="n">
        <x:v>25</x:v>
      </x:c>
      <x:c r="H51" s="99" t="n">
        <x:v>0.05</x:v>
      </x:c>
      <x:c r="I51" s="99" t="n">
        <x:v>0.0450000000000001</x:v>
      </x:c>
      <x:c r="J51" s="98" t="n">
        <x:v>1.723205973422344e-9</x:v>
      </x:c>
      <x:c r="K51" t="str">
        <x:v>low_vds</x:v>
      </x:c>
      <x:c r="L51" t="str">
        <x:v>low_drain_bias</x:v>
      </x:c>
      <x:c r="M51" t="n">
        <x:v>1</x:v>
      </x:c>
      <x:c r="N51" t="str">
        <x:v>simulation</x:v>
      </x:c>
      <x:c r="O51" t="str">
        <x:v>ngspice</x:v>
      </x:c>
      <x:c r="P51" t="str">
        <x:v>c9ed2e513523c57a76912a35b2860cb85e4aaa3402b69757d84efa9cc2fb8410</x:v>
      </x:c>
      <x:c r="Q51" t="str">
        <x:v>data/raw/ptm45_hp_vds_0p05v_raw.txt</x:v>
      </x:c>
    </x:row>
    <x:row r="52">
      <x:c r="A52" t="str">
        <x:v>PTM</x:v>
      </x:c>
      <x:c r="B52" t="str">
        <x:v>NMOS</x:v>
      </x:c>
      <x:c r="C52" s="97" t="n">
        <x:v>45</x:v>
      </x:c>
      <x:c r="D52" s="97" t="str">
        <x:v>HP</x:v>
      </x:c>
      <x:c r="E52" s="99" t="n">
        <x:v>1</x:v>
      </x:c>
      <x:c r="F52" s="99" t="n">
        <x:v>0.045</x:v>
      </x:c>
      <x:c r="G52" s="99" t="n">
        <x:v>25</x:v>
      </x:c>
      <x:c r="H52" s="99" t="n">
        <x:v>0.05</x:v>
      </x:c>
      <x:c r="I52" s="99" t="n">
        <x:v>0.05000000000000009</x:v>
      </x:c>
      <x:c r="J52" s="98" t="n">
        <x:v>1.970977339405866e-9</x:v>
      </x:c>
      <x:c r="K52" t="str">
        <x:v>low_vds</x:v>
      </x:c>
      <x:c r="L52" t="str">
        <x:v>low_drain_bias</x:v>
      </x:c>
      <x:c r="M52" t="n">
        <x:v>1</x:v>
      </x:c>
      <x:c r="N52" t="str">
        <x:v>simulation</x:v>
      </x:c>
      <x:c r="O52" t="str">
        <x:v>ngspice</x:v>
      </x:c>
      <x:c r="P52" t="str">
        <x:v>c9ed2e513523c57a76912a35b2860cb85e4aaa3402b69757d84efa9cc2fb8410</x:v>
      </x:c>
      <x:c r="Q52" t="str">
        <x:v>data/raw/ptm45_hp_vds_0p05v_raw.txt</x:v>
      </x:c>
    </x:row>
    <x:row r="53">
      <x:c r="A53" t="str">
        <x:v>PTM</x:v>
      </x:c>
      <x:c r="B53" t="str">
        <x:v>NMOS</x:v>
      </x:c>
      <x:c r="C53" s="97" t="n">
        <x:v>45</x:v>
      </x:c>
      <x:c r="D53" s="97" t="str">
        <x:v>HP</x:v>
      </x:c>
      <x:c r="E53" s="99" t="n">
        <x:v>1</x:v>
      </x:c>
      <x:c r="F53" s="99" t="n">
        <x:v>0.045</x:v>
      </x:c>
      <x:c r="G53" s="99" t="n">
        <x:v>25</x:v>
      </x:c>
      <x:c r="H53" s="99" t="n">
        <x:v>0.05</x:v>
      </x:c>
      <x:c r="I53" s="99" t="n">
        <x:v>0.05500000000000009</x:v>
      </x:c>
      <x:c r="J53" s="98" t="n">
        <x:v>2.254258621026137e-9</x:v>
      </x:c>
      <x:c r="K53" t="str">
        <x:v>low_vds</x:v>
      </x:c>
      <x:c r="L53" t="str">
        <x:v>low_drain_bias</x:v>
      </x:c>
      <x:c r="M53" t="n">
        <x:v>1</x:v>
      </x:c>
      <x:c r="N53" t="str">
        <x:v>simulation</x:v>
      </x:c>
      <x:c r="O53" t="str">
        <x:v>ngspice</x:v>
      </x:c>
      <x:c r="P53" t="str">
        <x:v>c9ed2e513523c57a76912a35b2860cb85e4aaa3402b69757d84efa9cc2fb8410</x:v>
      </x:c>
      <x:c r="Q53" t="str">
        <x:v>data/raw/ptm45_hp_vds_0p05v_raw.txt</x:v>
      </x:c>
    </x:row>
    <x:row r="54">
      <x:c r="A54" t="str">
        <x:v>PTM</x:v>
      </x:c>
      <x:c r="B54" t="str">
        <x:v>NMOS</x:v>
      </x:c>
      <x:c r="C54" s="97" t="n">
        <x:v>45</x:v>
      </x:c>
      <x:c r="D54" s="97" t="str">
        <x:v>HP</x:v>
      </x:c>
      <x:c r="E54" s="99" t="n">
        <x:v>1</x:v>
      </x:c>
      <x:c r="F54" s="99" t="n">
        <x:v>0.045</x:v>
      </x:c>
      <x:c r="G54" s="99" t="n">
        <x:v>25</x:v>
      </x:c>
      <x:c r="H54" s="99" t="n">
        <x:v>0.05</x:v>
      </x:c>
      <x:c r="I54" s="99" t="n">
        <x:v>0.06000000000000009</x:v>
      </x:c>
      <x:c r="J54" s="98" t="n">
        <x:v>2.578111723571851e-9</x:v>
      </x:c>
      <x:c r="K54" t="str">
        <x:v>low_vds</x:v>
      </x:c>
      <x:c r="L54" t="str">
        <x:v>low_drain_bias</x:v>
      </x:c>
      <x:c r="M54" t="n">
        <x:v>1</x:v>
      </x:c>
      <x:c r="N54" t="str">
        <x:v>simulation</x:v>
      </x:c>
      <x:c r="O54" t="str">
        <x:v>ngspice</x:v>
      </x:c>
      <x:c r="P54" t="str">
        <x:v>c9ed2e513523c57a76912a35b2860cb85e4aaa3402b69757d84efa9cc2fb8410</x:v>
      </x:c>
      <x:c r="Q54" t="str">
        <x:v>data/raw/ptm45_hp_vds_0p05v_raw.txt</x:v>
      </x:c>
    </x:row>
    <x:row r="55">
      <x:c r="A55" t="str">
        <x:v>PTM</x:v>
      </x:c>
      <x:c r="B55" t="str">
        <x:v>NMOS</x:v>
      </x:c>
      <x:c r="C55" s="97" t="n">
        <x:v>45</x:v>
      </x:c>
      <x:c r="D55" s="97" t="str">
        <x:v>HP</x:v>
      </x:c>
      <x:c r="E55" s="99" t="n">
        <x:v>1</x:v>
      </x:c>
      <x:c r="F55" s="99" t="n">
        <x:v>0.045</x:v>
      </x:c>
      <x:c r="G55" s="99" t="n">
        <x:v>25</x:v>
      </x:c>
      <x:c r="H55" s="99" t="n">
        <x:v>0.05</x:v>
      </x:c>
      <x:c r="I55" s="99" t="n">
        <x:v>0.06500000000000009</x:v>
      </x:c>
      <x:c r="J55" s="98" t="n">
        <x:v>2.94831429028592e-9</x:v>
      </x:c>
      <x:c r="K55" t="str">
        <x:v>low_vds</x:v>
      </x:c>
      <x:c r="L55" t="str">
        <x:v>low_drain_bias</x:v>
      </x:c>
      <x:c r="M55" t="n">
        <x:v>1</x:v>
      </x:c>
      <x:c r="N55" t="str">
        <x:v>simulation</x:v>
      </x:c>
      <x:c r="O55" t="str">
        <x:v>ngspice</x:v>
      </x:c>
      <x:c r="P55" t="str">
        <x:v>c9ed2e513523c57a76912a35b2860cb85e4aaa3402b69757d84efa9cc2fb8410</x:v>
      </x:c>
      <x:c r="Q55" t="str">
        <x:v>data/raw/ptm45_hp_vds_0p05v_raw.txt</x:v>
      </x:c>
    </x:row>
    <x:row r="56">
      <x:c r="A56" t="str">
        <x:v>PTM</x:v>
      </x:c>
      <x:c r="B56" t="str">
        <x:v>NMOS</x:v>
      </x:c>
      <x:c r="C56" s="97" t="n">
        <x:v>45</x:v>
      </x:c>
      <x:c r="D56" s="97" t="str">
        <x:v>HP</x:v>
      </x:c>
      <x:c r="E56" s="99" t="n">
        <x:v>1</x:v>
      </x:c>
      <x:c r="F56" s="99" t="n">
        <x:v>0.045</x:v>
      </x:c>
      <x:c r="G56" s="99" t="n">
        <x:v>25</x:v>
      </x:c>
      <x:c r="H56" s="99" t="n">
        <x:v>0.05</x:v>
      </x:c>
      <x:c r="I56" s="99" t="n">
        <x:v>0.07000000000000009</x:v>
      </x:c>
      <x:c r="J56" s="98" t="n">
        <x:v>3.371459627362289e-9</x:v>
      </x:c>
      <x:c r="K56" t="str">
        <x:v>low_vds</x:v>
      </x:c>
      <x:c r="L56" t="str">
        <x:v>low_drain_bias</x:v>
      </x:c>
      <x:c r="M56" t="n">
        <x:v>1</x:v>
      </x:c>
      <x:c r="N56" t="str">
        <x:v>simulation</x:v>
      </x:c>
      <x:c r="O56" t="str">
        <x:v>ngspice</x:v>
      </x:c>
      <x:c r="P56" t="str">
        <x:v>c9ed2e513523c57a76912a35b2860cb85e4aaa3402b69757d84efa9cc2fb8410</x:v>
      </x:c>
      <x:c r="Q56" t="str">
        <x:v>data/raw/ptm45_hp_vds_0p05v_raw.txt</x:v>
      </x:c>
    </x:row>
    <x:row r="57">
      <x:c r="A57" t="str">
        <x:v>PTM</x:v>
      </x:c>
      <x:c r="B57" t="str">
        <x:v>NMOS</x:v>
      </x:c>
      <x:c r="C57" s="97" t="n">
        <x:v>45</x:v>
      </x:c>
      <x:c r="D57" s="97" t="str">
        <x:v>HP</x:v>
      </x:c>
      <x:c r="E57" s="99" t="n">
        <x:v>1</x:v>
      </x:c>
      <x:c r="F57" s="99" t="n">
        <x:v>0.045</x:v>
      </x:c>
      <x:c r="G57" s="99" t="n">
        <x:v>25</x:v>
      </x:c>
      <x:c r="H57" s="99" t="n">
        <x:v>0.05</x:v>
      </x:c>
      <x:c r="I57" s="99" t="n">
        <x:v>0.0750000000000001</x:v>
      </x:c>
      <x:c r="J57" s="98" t="n">
        <x:v>3.855070302738995e-9</x:v>
      </x:c>
      <x:c r="K57" t="str">
        <x:v>low_vds</x:v>
      </x:c>
      <x:c r="L57" t="str">
        <x:v>low_drain_bias</x:v>
      </x:c>
      <x:c r="M57" t="n">
        <x:v>1</x:v>
      </x:c>
      <x:c r="N57" t="str">
        <x:v>simulation</x:v>
      </x:c>
      <x:c r="O57" t="str">
        <x:v>ngspice</x:v>
      </x:c>
      <x:c r="P57" t="str">
        <x:v>c9ed2e513523c57a76912a35b2860cb85e4aaa3402b69757d84efa9cc2fb8410</x:v>
      </x:c>
      <x:c r="Q57" t="str">
        <x:v>data/raw/ptm45_hp_vds_0p05v_raw.txt</x:v>
      </x:c>
    </x:row>
    <x:row r="58">
      <x:c r="A58" t="str">
        <x:v>PTM</x:v>
      </x:c>
      <x:c r="B58" t="str">
        <x:v>NMOS</x:v>
      </x:c>
      <x:c r="C58" s="97" t="n">
        <x:v>45</x:v>
      </x:c>
      <x:c r="D58" s="97" t="str">
        <x:v>HP</x:v>
      </x:c>
      <x:c r="E58" s="99" t="n">
        <x:v>1</x:v>
      </x:c>
      <x:c r="F58" s="99" t="n">
        <x:v>0.045</x:v>
      </x:c>
      <x:c r="G58" s="99" t="n">
        <x:v>25</x:v>
      </x:c>
      <x:c r="H58" s="99" t="n">
        <x:v>0.05</x:v>
      </x:c>
      <x:c r="I58" s="99" t="n">
        <x:v>0.0800000000000001</x:v>
      </x:c>
      <x:c r="J58" s="98" t="n">
        <x:v>4.407727230213791e-9</x:v>
      </x:c>
      <x:c r="K58" t="str">
        <x:v>low_vds</x:v>
      </x:c>
      <x:c r="L58" t="str">
        <x:v>low_drain_bias</x:v>
      </x:c>
      <x:c r="M58" t="n">
        <x:v>1</x:v>
      </x:c>
      <x:c r="N58" t="str">
        <x:v>simulation</x:v>
      </x:c>
      <x:c r="O58" t="str">
        <x:v>ngspice</x:v>
      </x:c>
      <x:c r="P58" t="str">
        <x:v>c9ed2e513523c57a76912a35b2860cb85e4aaa3402b69757d84efa9cc2fb8410</x:v>
      </x:c>
      <x:c r="Q58" t="str">
        <x:v>data/raw/ptm45_hp_vds_0p05v_raw.txt</x:v>
      </x:c>
    </x:row>
    <x:row r="59">
      <x:c r="A59" t="str">
        <x:v>PTM</x:v>
      </x:c>
      <x:c r="B59" t="str">
        <x:v>NMOS</x:v>
      </x:c>
      <x:c r="C59" s="97" t="n">
        <x:v>45</x:v>
      </x:c>
      <x:c r="D59" s="97" t="str">
        <x:v>HP</x:v>
      </x:c>
      <x:c r="E59" s="99" t="n">
        <x:v>1</x:v>
      </x:c>
      <x:c r="F59" s="99" t="n">
        <x:v>0.045</x:v>
      </x:c>
      <x:c r="G59" s="99" t="n">
        <x:v>25</x:v>
      </x:c>
      <x:c r="H59" s="99" t="n">
        <x:v>0.05</x:v>
      </x:c>
      <x:c r="I59" s="99" t="n">
        <x:v>0.0850000000000001</x:v>
      </x:c>
      <x:c r="J59" s="98" t="n">
        <x:v>5.039216277667099e-9</x:v>
      </x:c>
      <x:c r="K59" t="str">
        <x:v>low_vds</x:v>
      </x:c>
      <x:c r="L59" t="str">
        <x:v>low_drain_bias</x:v>
      </x:c>
      <x:c r="M59" t="n">
        <x:v>1</x:v>
      </x:c>
      <x:c r="N59" t="str">
        <x:v>simulation</x:v>
      </x:c>
      <x:c r="O59" t="str">
        <x:v>ngspice</x:v>
      </x:c>
      <x:c r="P59" t="str">
        <x:v>c9ed2e513523c57a76912a35b2860cb85e4aaa3402b69757d84efa9cc2fb8410</x:v>
      </x:c>
      <x:c r="Q59" t="str">
        <x:v>data/raw/ptm45_hp_vds_0p05v_raw.txt</x:v>
      </x:c>
    </x:row>
    <x:row r="60">
      <x:c r="A60" t="str">
        <x:v>PTM</x:v>
      </x:c>
      <x:c r="B60" t="str">
        <x:v>NMOS</x:v>
      </x:c>
      <x:c r="C60" s="97" t="n">
        <x:v>45</x:v>
      </x:c>
      <x:c r="D60" s="97" t="str">
        <x:v>HP</x:v>
      </x:c>
      <x:c r="E60" s="99" t="n">
        <x:v>1</x:v>
      </x:c>
      <x:c r="F60" s="99" t="n">
        <x:v>0.045</x:v>
      </x:c>
      <x:c r="G60" s="99" t="n">
        <x:v>25</x:v>
      </x:c>
      <x:c r="H60" s="99" t="n">
        <x:v>0.05</x:v>
      </x:c>
      <x:c r="I60" s="99" t="n">
        <x:v>0.09000000000000011</x:v>
      </x:c>
      <x:c r="J60" s="98" t="n">
        <x:v>5.760694691229241e-9</x:v>
      </x:c>
      <x:c r="K60" t="str">
        <x:v>low_vds</x:v>
      </x:c>
      <x:c r="L60" t="str">
        <x:v>low_drain_bias</x:v>
      </x:c>
      <x:c r="M60" t="n">
        <x:v>1</x:v>
      </x:c>
      <x:c r="N60" t="str">
        <x:v>simulation</x:v>
      </x:c>
      <x:c r="O60" t="str">
        <x:v>ngspice</x:v>
      </x:c>
      <x:c r="P60" t="str">
        <x:v>c9ed2e513523c57a76912a35b2860cb85e4aaa3402b69757d84efa9cc2fb8410</x:v>
      </x:c>
      <x:c r="Q60" t="str">
        <x:v>data/raw/ptm45_hp_vds_0p05v_raw.txt</x:v>
      </x:c>
    </x:row>
    <x:row r="61">
      <x:c r="A61" t="str">
        <x:v>PTM</x:v>
      </x:c>
      <x:c r="B61" t="str">
        <x:v>NMOS</x:v>
      </x:c>
      <x:c r="C61" s="97" t="n">
        <x:v>45</x:v>
      </x:c>
      <x:c r="D61" s="97" t="str">
        <x:v>HP</x:v>
      </x:c>
      <x:c r="E61" s="99" t="n">
        <x:v>1</x:v>
      </x:c>
      <x:c r="F61" s="99" t="n">
        <x:v>0.045</x:v>
      </x:c>
      <x:c r="G61" s="99" t="n">
        <x:v>25</x:v>
      </x:c>
      <x:c r="H61" s="99" t="n">
        <x:v>0.05</x:v>
      </x:c>
      <x:c r="I61" s="99" t="n">
        <x:v>0.09500000000000011</x:v>
      </x:c>
      <x:c r="J61" s="98" t="n">
        <x:v>6.584879908434141e-9</x:v>
      </x:c>
      <x:c r="K61" t="str">
        <x:v>low_vds</x:v>
      </x:c>
      <x:c r="L61" t="str">
        <x:v>low_drain_bias</x:v>
      </x:c>
      <x:c r="M61" t="n">
        <x:v>1</x:v>
      </x:c>
      <x:c r="N61" t="str">
        <x:v>simulation</x:v>
      </x:c>
      <x:c r="O61" t="str">
        <x:v>ngspice</x:v>
      </x:c>
      <x:c r="P61" t="str">
        <x:v>c9ed2e513523c57a76912a35b2860cb85e4aaa3402b69757d84efa9cc2fb8410</x:v>
      </x:c>
      <x:c r="Q61" t="str">
        <x:v>data/raw/ptm45_hp_vds_0p05v_raw.txt</x:v>
      </x:c>
    </x:row>
    <x:row r="62">
      <x:c r="A62" t="str">
        <x:v>PTM</x:v>
      </x:c>
      <x:c r="B62" t="str">
        <x:v>NMOS</x:v>
      </x:c>
      <x:c r="C62" s="97" t="n">
        <x:v>45</x:v>
      </x:c>
      <x:c r="D62" s="97" t="str">
        <x:v>HP</x:v>
      </x:c>
      <x:c r="E62" s="99" t="n">
        <x:v>1</x:v>
      </x:c>
      <x:c r="F62" s="99" t="n">
        <x:v>0.045</x:v>
      </x:c>
      <x:c r="G62" s="99" t="n">
        <x:v>25</x:v>
      </x:c>
      <x:c r="H62" s="99" t="n">
        <x:v>0.05</x:v>
      </x:c>
      <x:c r="I62" s="99" t="n">
        <x:v>0.1000000000000001</x:v>
      </x:c>
      <x:c r="J62" s="98" t="n">
        <x:v>7.526263645198408e-9</x:v>
      </x:c>
      <x:c r="K62" t="str">
        <x:v>low_vds</x:v>
      </x:c>
      <x:c r="L62" t="str">
        <x:v>low_drain_bias</x:v>
      </x:c>
      <x:c r="M62" t="n">
        <x:v>1</x:v>
      </x:c>
      <x:c r="N62" t="str">
        <x:v>simulation</x:v>
      </x:c>
      <x:c r="O62" t="str">
        <x:v>ngspice</x:v>
      </x:c>
      <x:c r="P62" t="str">
        <x:v>c9ed2e513523c57a76912a35b2860cb85e4aaa3402b69757d84efa9cc2fb8410</x:v>
      </x:c>
      <x:c r="Q62" t="str">
        <x:v>data/raw/ptm45_hp_vds_0p05v_raw.txt</x:v>
      </x:c>
    </x:row>
    <x:row r="63">
      <x:c r="A63" t="str">
        <x:v>PTM</x:v>
      </x:c>
      <x:c r="B63" t="str">
        <x:v>NMOS</x:v>
      </x:c>
      <x:c r="C63" s="97" t="n">
        <x:v>45</x:v>
      </x:c>
      <x:c r="D63" s="97" t="str">
        <x:v>HP</x:v>
      </x:c>
      <x:c r="E63" s="99" t="n">
        <x:v>1</x:v>
      </x:c>
      <x:c r="F63" s="99" t="n">
        <x:v>0.045</x:v>
      </x:c>
      <x:c r="G63" s="99" t="n">
        <x:v>25</x:v>
      </x:c>
      <x:c r="H63" s="99" t="n">
        <x:v>0.05</x:v>
      </x:c>
      <x:c r="I63" s="99" t="n">
        <x:v>0.1050000000000001</x:v>
      </x:c>
      <x:c r="J63" s="98" t="n">
        <x:v>8.601354486345744e-9</x:v>
      </x:c>
      <x:c r="K63" t="str">
        <x:v>low_vds</x:v>
      </x:c>
      <x:c r="L63" t="str">
        <x:v>low_drain_bias</x:v>
      </x:c>
      <x:c r="M63" t="n">
        <x:v>1</x:v>
      </x:c>
      <x:c r="N63" t="str">
        <x:v>simulation</x:v>
      </x:c>
      <x:c r="O63" t="str">
        <x:v>ngspice</x:v>
      </x:c>
      <x:c r="P63" t="str">
        <x:v>c9ed2e513523c57a76912a35b2860cb85e4aaa3402b69757d84efa9cc2fb8410</x:v>
      </x:c>
      <x:c r="Q63" t="str">
        <x:v>data/raw/ptm45_hp_vds_0p05v_raw.txt</x:v>
      </x:c>
    </x:row>
    <x:row r="64">
      <x:c r="A64" t="str">
        <x:v>PTM</x:v>
      </x:c>
      <x:c r="B64" t="str">
        <x:v>NMOS</x:v>
      </x:c>
      <x:c r="C64" s="97" t="n">
        <x:v>45</x:v>
      </x:c>
      <x:c r="D64" s="97" t="str">
        <x:v>HP</x:v>
      </x:c>
      <x:c r="E64" s="99" t="n">
        <x:v>1</x:v>
      </x:c>
      <x:c r="F64" s="99" t="n">
        <x:v>0.045</x:v>
      </x:c>
      <x:c r="G64" s="99" t="n">
        <x:v>25</x:v>
      </x:c>
      <x:c r="H64" s="99" t="n">
        <x:v>0.05</x:v>
      </x:c>
      <x:c r="I64" s="99" t="n">
        <x:v>0.1100000000000001</x:v>
      </x:c>
      <x:c r="J64" s="98" t="n">
        <x:v>9.8289525898808e-9</x:v>
      </x:c>
      <x:c r="K64" t="str">
        <x:v>low_vds</x:v>
      </x:c>
      <x:c r="L64" t="str">
        <x:v>low_drain_bias</x:v>
      </x:c>
      <x:c r="M64" t="n">
        <x:v>1</x:v>
      </x:c>
      <x:c r="N64" t="str">
        <x:v>simulation</x:v>
      </x:c>
      <x:c r="O64" t="str">
        <x:v>ngspice</x:v>
      </x:c>
      <x:c r="P64" t="str">
        <x:v>c9ed2e513523c57a76912a35b2860cb85e4aaa3402b69757d84efa9cc2fb8410</x:v>
      </x:c>
      <x:c r="Q64" t="str">
        <x:v>data/raw/ptm45_hp_vds_0p05v_raw.txt</x:v>
      </x:c>
    </x:row>
    <x:row r="65">
      <x:c r="A65" t="str">
        <x:v>PTM</x:v>
      </x:c>
      <x:c r="B65" t="str">
        <x:v>NMOS</x:v>
      </x:c>
      <x:c r="C65" s="97" t="n">
        <x:v>45</x:v>
      </x:c>
      <x:c r="D65" s="97" t="str">
        <x:v>HP</x:v>
      </x:c>
      <x:c r="E65" s="99" t="n">
        <x:v>1</x:v>
      </x:c>
      <x:c r="F65" s="99" t="n">
        <x:v>0.045</x:v>
      </x:c>
      <x:c r="G65" s="99" t="n">
        <x:v>25</x:v>
      </x:c>
      <x:c r="H65" s="99" t="n">
        <x:v>0.05</x:v>
      </x:c>
      <x:c r="I65" s="99" t="n">
        <x:v>0.1150000000000001</x:v>
      </x:c>
      <x:c r="J65" s="98" t="n">
        <x:v>1.123046053380302e-8</x:v>
      </x:c>
      <x:c r="K65" t="str">
        <x:v>low_vds</x:v>
      </x:c>
      <x:c r="L65" t="str">
        <x:v>low_drain_bias</x:v>
      </x:c>
      <x:c r="M65" t="n">
        <x:v>1</x:v>
      </x:c>
      <x:c r="N65" t="str">
        <x:v>simulation</x:v>
      </x:c>
      <x:c r="O65" t="str">
        <x:v>ngspice</x:v>
      </x:c>
      <x:c r="P65" t="str">
        <x:v>c9ed2e513523c57a76912a35b2860cb85e4aaa3402b69757d84efa9cc2fb8410</x:v>
      </x:c>
      <x:c r="Q65" t="str">
        <x:v>data/raw/ptm45_hp_vds_0p05v_raw.txt</x:v>
      </x:c>
    </x:row>
    <x:row r="66">
      <x:c r="A66" t="str">
        <x:v>PTM</x:v>
      </x:c>
      <x:c r="B66" t="str">
        <x:v>NMOS</x:v>
      </x:c>
      <x:c r="C66" s="97" t="n">
        <x:v>45</x:v>
      </x:c>
      <x:c r="D66" s="97" t="str">
        <x:v>HP</x:v>
      </x:c>
      <x:c r="E66" s="99" t="n">
        <x:v>1</x:v>
      </x:c>
      <x:c r="F66" s="99" t="n">
        <x:v>0.045</x:v>
      </x:c>
      <x:c r="G66" s="99" t="n">
        <x:v>25</x:v>
      </x:c>
      <x:c r="H66" s="99" t="n">
        <x:v>0.05</x:v>
      </x:c>
      <x:c r="I66" s="99" t="n">
        <x:v>0.1200000000000001</x:v>
      </x:c>
      <x:c r="J66" s="98" t="n">
        <x:v>1.2830234793304e-8</x:v>
      </x:c>
      <x:c r="K66" t="str">
        <x:v>low_vds</x:v>
      </x:c>
      <x:c r="L66" t="str">
        <x:v>low_drain_bias</x:v>
      </x:c>
      <x:c r="M66" t="n">
        <x:v>1</x:v>
      </x:c>
      <x:c r="N66" t="str">
        <x:v>simulation</x:v>
      </x:c>
      <x:c r="O66" t="str">
        <x:v>ngspice</x:v>
      </x:c>
      <x:c r="P66" t="str">
        <x:v>c9ed2e513523c57a76912a35b2860cb85e4aaa3402b69757d84efa9cc2fb8410</x:v>
      </x:c>
      <x:c r="Q66" t="str">
        <x:v>data/raw/ptm45_hp_vds_0p05v_raw.txt</x:v>
      </x:c>
    </x:row>
    <x:row r="67">
      <x:c r="A67" t="str">
        <x:v>PTM</x:v>
      </x:c>
      <x:c r="B67" t="str">
        <x:v>NMOS</x:v>
      </x:c>
      <x:c r="C67" s="97" t="n">
        <x:v>45</x:v>
      </x:c>
      <x:c r="D67" s="97" t="str">
        <x:v>HP</x:v>
      </x:c>
      <x:c r="E67" s="99" t="n">
        <x:v>1</x:v>
      </x:c>
      <x:c r="F67" s="99" t="n">
        <x:v>0.045</x:v>
      </x:c>
      <x:c r="G67" s="99" t="n">
        <x:v>25</x:v>
      </x:c>
      <x:c r="H67" s="99" t="n">
        <x:v>0.05</x:v>
      </x:c>
      <x:c r="I67" s="99" t="n">
        <x:v>0.1250000000000001</x:v>
      </x:c>
      <x:c r="J67" s="98" t="n">
        <x:v>1.465598283798012e-8</x:v>
      </x:c>
      <x:c r="K67" t="str">
        <x:v>low_vds</x:v>
      </x:c>
      <x:c r="L67" t="str">
        <x:v>low_drain_bias</x:v>
      </x:c>
      <x:c r="M67" t="n">
        <x:v>1</x:v>
      </x:c>
      <x:c r="N67" t="str">
        <x:v>simulation</x:v>
      </x:c>
      <x:c r="O67" t="str">
        <x:v>ngspice</x:v>
      </x:c>
      <x:c r="P67" t="str">
        <x:v>c9ed2e513523c57a76912a35b2860cb85e4aaa3402b69757d84efa9cc2fb8410</x:v>
      </x:c>
      <x:c r="Q67" t="str">
        <x:v>data/raw/ptm45_hp_vds_0p05v_raw.txt</x:v>
      </x:c>
    </x:row>
    <x:row r="68">
      <x:c r="A68" t="str">
        <x:v>PTM</x:v>
      </x:c>
      <x:c r="B68" t="str">
        <x:v>NMOS</x:v>
      </x:c>
      <x:c r="C68" s="97" t="n">
        <x:v>45</x:v>
      </x:c>
      <x:c r="D68" s="97" t="str">
        <x:v>HP</x:v>
      </x:c>
      <x:c r="E68" s="99" t="n">
        <x:v>1</x:v>
      </x:c>
      <x:c r="F68" s="99" t="n">
        <x:v>0.045</x:v>
      </x:c>
      <x:c r="G68" s="99" t="n">
        <x:v>25</x:v>
      </x:c>
      <x:c r="H68" s="99" t="n">
        <x:v>0.05</x:v>
      </x:c>
      <x:c r="I68" s="99" t="n">
        <x:v>0.1300000000000001</x:v>
      </x:c>
      <x:c r="J68" s="98" t="n">
        <x:v>1.673921138513451e-8</x:v>
      </x:c>
      <x:c r="K68" t="str">
        <x:v>low_vds</x:v>
      </x:c>
      <x:c r="L68" t="str">
        <x:v>low_drain_bias</x:v>
      </x:c>
      <x:c r="M68" t="n">
        <x:v>1</x:v>
      </x:c>
      <x:c r="N68" t="str">
        <x:v>simulation</x:v>
      </x:c>
      <x:c r="O68" t="str">
        <x:v>ngspice</x:v>
      </x:c>
      <x:c r="P68" t="str">
        <x:v>c9ed2e513523c57a76912a35b2860cb85e4aaa3402b69757d84efa9cc2fb8410</x:v>
      </x:c>
      <x:c r="Q68" t="str">
        <x:v>data/raw/ptm45_hp_vds_0p05v_raw.txt</x:v>
      </x:c>
    </x:row>
    <x:row r="69">
      <x:c r="A69" t="str">
        <x:v>PTM</x:v>
      </x:c>
      <x:c r="B69" t="str">
        <x:v>NMOS</x:v>
      </x:c>
      <x:c r="C69" s="97" t="n">
        <x:v>45</x:v>
      </x:c>
      <x:c r="D69" s="97" t="str">
        <x:v>HP</x:v>
      </x:c>
      <x:c r="E69" s="99" t="n">
        <x:v>1</x:v>
      </x:c>
      <x:c r="F69" s="99" t="n">
        <x:v>0.045</x:v>
      </x:c>
      <x:c r="G69" s="99" t="n">
        <x:v>25</x:v>
      </x:c>
      <x:c r="H69" s="99" t="n">
        <x:v>0.05</x:v>
      </x:c>
      <x:c r="I69" s="99" t="n">
        <x:v>0.1350000000000001</x:v>
      </x:c>
      <x:c r="J69" s="98" t="n">
        <x:v>1.911573193794266e-8</x:v>
      </x:c>
      <x:c r="K69" t="str">
        <x:v>low_vds</x:v>
      </x:c>
      <x:c r="L69" t="str">
        <x:v>low_drain_bias</x:v>
      </x:c>
      <x:c r="M69" t="n">
        <x:v>1</x:v>
      </x:c>
      <x:c r="N69" t="str">
        <x:v>simulation</x:v>
      </x:c>
      <x:c r="O69" t="str">
        <x:v>ngspice</x:v>
      </x:c>
      <x:c r="P69" t="str">
        <x:v>c9ed2e513523c57a76912a35b2860cb85e4aaa3402b69757d84efa9cc2fb8410</x:v>
      </x:c>
      <x:c r="Q69" t="str">
        <x:v>data/raw/ptm45_hp_vds_0p05v_raw.txt</x:v>
      </x:c>
    </x:row>
    <x:row r="70">
      <x:c r="A70" t="str">
        <x:v>PTM</x:v>
      </x:c>
      <x:c r="B70" t="str">
        <x:v>NMOS</x:v>
      </x:c>
      <x:c r="C70" s="97" t="n">
        <x:v>45</x:v>
      </x:c>
      <x:c r="D70" s="97" t="str">
        <x:v>HP</x:v>
      </x:c>
      <x:c r="E70" s="99" t="n">
        <x:v>1</x:v>
      </x:c>
      <x:c r="F70" s="99" t="n">
        <x:v>0.045</x:v>
      </x:c>
      <x:c r="G70" s="99" t="n">
        <x:v>25</x:v>
      </x:c>
      <x:c r="H70" s="99" t="n">
        <x:v>0.05</x:v>
      </x:c>
      <x:c r="I70" s="99" t="n">
        <x:v>0.1400000000000002</x:v>
      </x:c>
      <x:c r="J70" s="98" t="n">
        <x:v>2.18262303772961e-8</x:v>
      </x:c>
      <x:c r="K70" t="str">
        <x:v>low_vds</x:v>
      </x:c>
      <x:c r="L70" t="str">
        <x:v>low_drain_bias</x:v>
      </x:c>
      <x:c r="M70" t="n">
        <x:v>1</x:v>
      </x:c>
      <x:c r="N70" t="str">
        <x:v>simulation</x:v>
      </x:c>
      <x:c r="O70" t="str">
        <x:v>ngspice</x:v>
      </x:c>
      <x:c r="P70" t="str">
        <x:v>c9ed2e513523c57a76912a35b2860cb85e4aaa3402b69757d84efa9cc2fb8410</x:v>
      </x:c>
      <x:c r="Q70" t="str">
        <x:v>data/raw/ptm45_hp_vds_0p05v_raw.txt</x:v>
      </x:c>
    </x:row>
    <x:row r="71">
      <x:c r="A71" t="str">
        <x:v>PTM</x:v>
      </x:c>
      <x:c r="B71" t="str">
        <x:v>NMOS</x:v>
      </x:c>
      <x:c r="C71" s="97" t="n">
        <x:v>45</x:v>
      </x:c>
      <x:c r="D71" s="97" t="str">
        <x:v>HP</x:v>
      </x:c>
      <x:c r="E71" s="99" t="n">
        <x:v>1</x:v>
      </x:c>
      <x:c r="F71" s="99" t="n">
        <x:v>0.045</x:v>
      </x:c>
      <x:c r="G71" s="99" t="n">
        <x:v>25</x:v>
      </x:c>
      <x:c r="H71" s="99" t="n">
        <x:v>0.05</x:v>
      </x:c>
      <x:c r="I71" s="99" t="n">
        <x:v>0.1450000000000002</x:v>
      </x:c>
      <x:c r="J71" s="98" t="n">
        <x:v>2.491690806388446e-8</x:v>
      </x:c>
      <x:c r="K71" t="str">
        <x:v>low_vds</x:v>
      </x:c>
      <x:c r="L71" t="str">
        <x:v>low_drain_bias</x:v>
      </x:c>
      <x:c r="M71" t="n">
        <x:v>1</x:v>
      </x:c>
      <x:c r="N71" t="str">
        <x:v>simulation</x:v>
      </x:c>
      <x:c r="O71" t="str">
        <x:v>ngspice</x:v>
      </x:c>
      <x:c r="P71" t="str">
        <x:v>c9ed2e513523c57a76912a35b2860cb85e4aaa3402b69757d84efa9cc2fb8410</x:v>
      </x:c>
      <x:c r="Q71" t="str">
        <x:v>data/raw/ptm45_hp_vds_0p05v_raw.txt</x:v>
      </x:c>
    </x:row>
    <x:row r="72">
      <x:c r="A72" t="str">
        <x:v>PTM</x:v>
      </x:c>
      <x:c r="B72" t="str">
        <x:v>NMOS</x:v>
      </x:c>
      <x:c r="C72" s="97" t="n">
        <x:v>45</x:v>
      </x:c>
      <x:c r="D72" s="97" t="str">
        <x:v>HP</x:v>
      </x:c>
      <x:c r="E72" s="99" t="n">
        <x:v>1</x:v>
      </x:c>
      <x:c r="F72" s="99" t="n">
        <x:v>0.045</x:v>
      </x:c>
      <x:c r="G72" s="99" t="n">
        <x:v>25</x:v>
      </x:c>
      <x:c r="H72" s="99" t="n">
        <x:v>0.05</x:v>
      </x:c>
      <x:c r="I72" s="99" t="n">
        <x:v>0.1500000000000002</x:v>
      </x:c>
      <x:c r="J72" s="98" t="n">
        <x:v>2.844020264214844e-8</x:v>
      </x:c>
      <x:c r="K72" t="str">
        <x:v>low_vds</x:v>
      </x:c>
      <x:c r="L72" t="str">
        <x:v>low_drain_bias</x:v>
      </x:c>
      <x:c r="M72" t="n">
        <x:v>1</x:v>
      </x:c>
      <x:c r="N72" t="str">
        <x:v>simulation</x:v>
      </x:c>
      <x:c r="O72" t="str">
        <x:v>ngspice</x:v>
      </x:c>
      <x:c r="P72" t="str">
        <x:v>c9ed2e513523c57a76912a35b2860cb85e4aaa3402b69757d84efa9cc2fb8410</x:v>
      </x:c>
      <x:c r="Q72" t="str">
        <x:v>data/raw/ptm45_hp_vds_0p05v_raw.txt</x:v>
      </x:c>
    </x:row>
    <x:row r="73">
      <x:c r="A73" t="str">
        <x:v>PTM</x:v>
      </x:c>
      <x:c r="B73" t="str">
        <x:v>NMOS</x:v>
      </x:c>
      <x:c r="C73" s="97" t="n">
        <x:v>45</x:v>
      </x:c>
      <x:c r="D73" s="97" t="str">
        <x:v>HP</x:v>
      </x:c>
      <x:c r="E73" s="99" t="n">
        <x:v>1</x:v>
      </x:c>
      <x:c r="F73" s="99" t="n">
        <x:v>0.045</x:v>
      </x:c>
      <x:c r="G73" s="99" t="n">
        <x:v>25</x:v>
      </x:c>
      <x:c r="H73" s="99" t="n">
        <x:v>0.05</x:v>
      </x:c>
      <x:c r="I73" s="99" t="n">
        <x:v>0.1550000000000002</x:v>
      </x:c>
      <x:c r="J73" s="98" t="n">
        <x:v>3.245559751860601e-8</x:v>
      </x:c>
      <x:c r="K73" t="str">
        <x:v>low_vds</x:v>
      </x:c>
      <x:c r="L73" t="str">
        <x:v>low_drain_bias</x:v>
      </x:c>
      <x:c r="M73" t="n">
        <x:v>1</x:v>
      </x:c>
      <x:c r="N73" t="str">
        <x:v>simulation</x:v>
      </x:c>
      <x:c r="O73" t="str">
        <x:v>ngspice</x:v>
      </x:c>
      <x:c r="P73" t="str">
        <x:v>c9ed2e513523c57a76912a35b2860cb85e4aaa3402b69757d84efa9cc2fb8410</x:v>
      </x:c>
      <x:c r="Q73" t="str">
        <x:v>data/raw/ptm45_hp_vds_0p05v_raw.txt</x:v>
      </x:c>
    </x:row>
    <x:row r="74">
      <x:c r="A74" t="str">
        <x:v>PTM</x:v>
      </x:c>
      <x:c r="B74" t="str">
        <x:v>NMOS</x:v>
      </x:c>
      <x:c r="C74" s="97" t="n">
        <x:v>45</x:v>
      </x:c>
      <x:c r="D74" s="97" t="str">
        <x:v>HP</x:v>
      </x:c>
      <x:c r="E74" s="99" t="n">
        <x:v>1</x:v>
      </x:c>
      <x:c r="F74" s="99" t="n">
        <x:v>0.045</x:v>
      </x:c>
      <x:c r="G74" s="99" t="n">
        <x:v>25</x:v>
      </x:c>
      <x:c r="H74" s="99" t="n">
        <x:v>0.05</x:v>
      </x:c>
      <x:c r="I74" s="99" t="n">
        <x:v>0.1600000000000002</x:v>
      </x:c>
      <x:c r="J74" s="98" t="n">
        <x:v>3.703052981102655e-8</x:v>
      </x:c>
      <x:c r="K74" t="str">
        <x:v>low_vds</x:v>
      </x:c>
      <x:c r="L74" t="str">
        <x:v>low_drain_bias</x:v>
      </x:c>
      <x:c r="M74" t="n">
        <x:v>1</x:v>
      </x:c>
      <x:c r="N74" t="str">
        <x:v>simulation</x:v>
      </x:c>
      <x:c r="O74" t="str">
        <x:v>ngspice</x:v>
      </x:c>
      <x:c r="P74" t="str">
        <x:v>c9ed2e513523c57a76912a35b2860cb85e4aaa3402b69757d84efa9cc2fb8410</x:v>
      </x:c>
      <x:c r="Q74" t="str">
        <x:v>data/raw/ptm45_hp_vds_0p05v_raw.txt</x:v>
      </x:c>
    </x:row>
    <x:row r="75">
      <x:c r="A75" t="str">
        <x:v>PTM</x:v>
      </x:c>
      <x:c r="B75" t="str">
        <x:v>NMOS</x:v>
      </x:c>
      <x:c r="C75" s="97" t="n">
        <x:v>45</x:v>
      </x:c>
      <x:c r="D75" s="97" t="str">
        <x:v>HP</x:v>
      </x:c>
      <x:c r="E75" s="99" t="n">
        <x:v>1</x:v>
      </x:c>
      <x:c r="F75" s="99" t="n">
        <x:v>0.045</x:v>
      </x:c>
      <x:c r="G75" s="99" t="n">
        <x:v>25</x:v>
      </x:c>
      <x:c r="H75" s="99" t="n">
        <x:v>0.05</x:v>
      </x:c>
      <x:c r="I75" s="99" t="n">
        <x:v>0.1650000000000002</x:v>
      </x:c>
      <x:c r="J75" s="98" t="n">
        <x:v>4.224140742771773e-8</x:v>
      </x:c>
      <x:c r="K75" t="str">
        <x:v>low_vds</x:v>
      </x:c>
      <x:c r="L75" t="str">
        <x:v>low_drain_bias</x:v>
      </x:c>
      <x:c r="M75" t="n">
        <x:v>1</x:v>
      </x:c>
      <x:c r="N75" t="str">
        <x:v>simulation</x:v>
      </x:c>
      <x:c r="O75" t="str">
        <x:v>ngspice</x:v>
      </x:c>
      <x:c r="P75" t="str">
        <x:v>c9ed2e513523c57a76912a35b2860cb85e4aaa3402b69757d84efa9cc2fb8410</x:v>
      </x:c>
      <x:c r="Q75" t="str">
        <x:v>data/raw/ptm45_hp_vds_0p05v_raw.txt</x:v>
      </x:c>
    </x:row>
    <x:row r="76">
      <x:c r="A76" t="str">
        <x:v>PTM</x:v>
      </x:c>
      <x:c r="B76" t="str">
        <x:v>NMOS</x:v>
      </x:c>
      <x:c r="C76" s="97" t="n">
        <x:v>45</x:v>
      </x:c>
      <x:c r="D76" s="97" t="str">
        <x:v>HP</x:v>
      </x:c>
      <x:c r="E76" s="99" t="n">
        <x:v>1</x:v>
      </x:c>
      <x:c r="F76" s="99" t="n">
        <x:v>0.045</x:v>
      </x:c>
      <x:c r="G76" s="99" t="n">
        <x:v>25</x:v>
      </x:c>
      <x:c r="H76" s="99" t="n">
        <x:v>0.05</x:v>
      </x:c>
      <x:c r="I76" s="99" t="n">
        <x:v>0.1700000000000002</x:v>
      </x:c>
      <x:c r="J76" s="98" t="n">
        <x:v>4.81747468318556e-8</x:v>
      </x:c>
      <x:c r="K76" t="str">
        <x:v>low_vds</x:v>
      </x:c>
      <x:c r="L76" t="str">
        <x:v>low_drain_bias</x:v>
      </x:c>
      <x:c r="M76" t="n">
        <x:v>1</x:v>
      </x:c>
      <x:c r="N76" t="str">
        <x:v>simulation</x:v>
      </x:c>
      <x:c r="O76" t="str">
        <x:v>ngspice</x:v>
      </x:c>
      <x:c r="P76" t="str">
        <x:v>c9ed2e513523c57a76912a35b2860cb85e4aaa3402b69757d84efa9cc2fb8410</x:v>
      </x:c>
      <x:c r="Q76" t="str">
        <x:v>data/raw/ptm45_hp_vds_0p05v_raw.txt</x:v>
      </x:c>
    </x:row>
    <x:row r="77">
      <x:c r="A77" t="str">
        <x:v>PTM</x:v>
      </x:c>
      <x:c r="B77" t="str">
        <x:v>NMOS</x:v>
      </x:c>
      <x:c r="C77" s="97" t="n">
        <x:v>45</x:v>
      </x:c>
      <x:c r="D77" s="97" t="str">
        <x:v>HP</x:v>
      </x:c>
      <x:c r="E77" s="99" t="n">
        <x:v>1</x:v>
      </x:c>
      <x:c r="F77" s="99" t="n">
        <x:v>0.045</x:v>
      </x:c>
      <x:c r="G77" s="99" t="n">
        <x:v>25</x:v>
      </x:c>
      <x:c r="H77" s="99" t="n">
        <x:v>0.05</x:v>
      </x:c>
      <x:c r="I77" s="99" t="n">
        <x:v>0.1750000000000002</x:v>
      </x:c>
      <x:c r="J77" s="98" t="n">
        <x:v>5.492844396617376e-8</x:v>
      </x:c>
      <x:c r="K77" t="str">
        <x:v>low_vds</x:v>
      </x:c>
      <x:c r="L77" t="str">
        <x:v>low_drain_bias</x:v>
      </x:c>
      <x:c r="M77" t="n">
        <x:v>1</x:v>
      </x:c>
      <x:c r="N77" t="str">
        <x:v>simulation</x:v>
      </x:c>
      <x:c r="O77" t="str">
        <x:v>ngspice</x:v>
      </x:c>
      <x:c r="P77" t="str">
        <x:v>c9ed2e513523c57a76912a35b2860cb85e4aaa3402b69757d84efa9cc2fb8410</x:v>
      </x:c>
      <x:c r="Q77" t="str">
        <x:v>data/raw/ptm45_hp_vds_0p05v_raw.txt</x:v>
      </x:c>
    </x:row>
    <x:row r="78">
      <x:c r="A78" t="str">
        <x:v>PTM</x:v>
      </x:c>
      <x:c r="B78" t="str">
        <x:v>NMOS</x:v>
      </x:c>
      <x:c r="C78" s="97" t="n">
        <x:v>45</x:v>
      </x:c>
      <x:c r="D78" s="97" t="str">
        <x:v>HP</x:v>
      </x:c>
      <x:c r="E78" s="99" t="n">
        <x:v>1</x:v>
      </x:c>
      <x:c r="F78" s="99" t="n">
        <x:v>0.045</x:v>
      </x:c>
      <x:c r="G78" s="99" t="n">
        <x:v>25</x:v>
      </x:c>
      <x:c r="H78" s="99" t="n">
        <x:v>0.05</x:v>
      </x:c>
      <x:c r="I78" s="99" t="n">
        <x:v>0.1800000000000002</x:v>
      </x:c>
      <x:c r="J78" s="98" t="n">
        <x:v>6.261319174817831e-8</x:v>
      </x:c>
      <x:c r="K78" t="str">
        <x:v>low_vds</x:v>
      </x:c>
      <x:c r="L78" t="str">
        <x:v>low_drain_bias</x:v>
      </x:c>
      <x:c r="M78" t="n">
        <x:v>1</x:v>
      </x:c>
      <x:c r="N78" t="str">
        <x:v>simulation</x:v>
      </x:c>
      <x:c r="O78" t="str">
        <x:v>ngspice</x:v>
      </x:c>
      <x:c r="P78" t="str">
        <x:v>c9ed2e513523c57a76912a35b2860cb85e4aaa3402b69757d84efa9cc2fb8410</x:v>
      </x:c>
      <x:c r="Q78" t="str">
        <x:v>data/raw/ptm45_hp_vds_0p05v_raw.txt</x:v>
      </x:c>
    </x:row>
    <x:row r="79">
      <x:c r="A79" t="str">
        <x:v>PTM</x:v>
      </x:c>
      <x:c r="B79" t="str">
        <x:v>NMOS</x:v>
      </x:c>
      <x:c r="C79" s="97" t="n">
        <x:v>45</x:v>
      </x:c>
      <x:c r="D79" s="97" t="str">
        <x:v>HP</x:v>
      </x:c>
      <x:c r="E79" s="99" t="n">
        <x:v>1</x:v>
      </x:c>
      <x:c r="F79" s="99" t="n">
        <x:v>0.045</x:v>
      </x:c>
      <x:c r="G79" s="99" t="n">
        <x:v>25</x:v>
      </x:c>
      <x:c r="H79" s="99" t="n">
        <x:v>0.05</x:v>
      </x:c>
      <x:c r="I79" s="99" t="n">
        <x:v>0.1850000000000002</x:v>
      </x:c>
      <x:c r="J79" s="98" t="n">
        <x:v>7.13540584820546e-8</x:v>
      </x:c>
      <x:c r="K79" t="str">
        <x:v>low_vds</x:v>
      </x:c>
      <x:c r="L79" t="str">
        <x:v>low_drain_bias</x:v>
      </x:c>
      <x:c r="M79" t="n">
        <x:v>1</x:v>
      </x:c>
      <x:c r="N79" t="str">
        <x:v>simulation</x:v>
      </x:c>
      <x:c r="O79" t="str">
        <x:v>ngspice</x:v>
      </x:c>
      <x:c r="P79" t="str">
        <x:v>c9ed2e513523c57a76912a35b2860cb85e4aaa3402b69757d84efa9cc2fb8410</x:v>
      </x:c>
      <x:c r="Q79" t="str">
        <x:v>data/raw/ptm45_hp_vds_0p05v_raw.txt</x:v>
      </x:c>
    </x:row>
    <x:row r="80">
      <x:c r="A80" t="str">
        <x:v>PTM</x:v>
      </x:c>
      <x:c r="B80" t="str">
        <x:v>NMOS</x:v>
      </x:c>
      <x:c r="C80" s="97" t="n">
        <x:v>45</x:v>
      </x:c>
      <x:c r="D80" s="97" t="str">
        <x:v>HP</x:v>
      </x:c>
      <x:c r="E80" s="99" t="n">
        <x:v>1</x:v>
      </x:c>
      <x:c r="F80" s="99" t="n">
        <x:v>0.045</x:v>
      </x:c>
      <x:c r="G80" s="99" t="n">
        <x:v>25</x:v>
      </x:c>
      <x:c r="H80" s="99" t="n">
        <x:v>0.05</x:v>
      </x:c>
      <x:c r="I80" s="99" t="n">
        <x:v>0.1900000000000002</x:v>
      </x:c>
      <x:c r="J80" s="98" t="n">
        <x:v>8.129224245400565e-8</x:v>
      </x:c>
      <x:c r="K80" t="str">
        <x:v>low_vds</x:v>
      </x:c>
      <x:c r="L80" t="str">
        <x:v>low_drain_bias</x:v>
      </x:c>
      <x:c r="M80" t="n">
        <x:v>1</x:v>
      </x:c>
      <x:c r="N80" t="str">
        <x:v>simulation</x:v>
      </x:c>
      <x:c r="O80" t="str">
        <x:v>ngspice</x:v>
      </x:c>
      <x:c r="P80" t="str">
        <x:v>c9ed2e513523c57a76912a35b2860cb85e4aaa3402b69757d84efa9cc2fb8410</x:v>
      </x:c>
      <x:c r="Q80" t="str">
        <x:v>data/raw/ptm45_hp_vds_0p05v_raw.txt</x:v>
      </x:c>
    </x:row>
    <x:row r="81">
      <x:c r="A81" t="str">
        <x:v>PTM</x:v>
      </x:c>
      <x:c r="B81" t="str">
        <x:v>NMOS</x:v>
      </x:c>
      <x:c r="C81" s="97" t="n">
        <x:v>45</x:v>
      </x:c>
      <x:c r="D81" s="97" t="str">
        <x:v>HP</x:v>
      </x:c>
      <x:c r="E81" s="99" t="n">
        <x:v>1</x:v>
      </x:c>
      <x:c r="F81" s="99" t="n">
        <x:v>0.045</x:v>
      </x:c>
      <x:c r="G81" s="99" t="n">
        <x:v>25</x:v>
      </x:c>
      <x:c r="H81" s="99" t="n">
        <x:v>0.05</x:v>
      </x:c>
      <x:c r="I81" s="99" t="n">
        <x:v>0.1950000000000002</x:v>
      </x:c>
      <x:c r="J81" s="98" t="n">
        <x:v>9.258701886107595e-8</x:v>
      </x:c>
      <x:c r="K81" t="str">
        <x:v>low_vds</x:v>
      </x:c>
      <x:c r="L81" t="str">
        <x:v>low_drain_bias</x:v>
      </x:c>
      <x:c r="M81" t="n">
        <x:v>1</x:v>
      </x:c>
      <x:c r="N81" t="str">
        <x:v>simulation</x:v>
      </x:c>
      <x:c r="O81" t="str">
        <x:v>ngspice</x:v>
      </x:c>
      <x:c r="P81" t="str">
        <x:v>c9ed2e513523c57a76912a35b2860cb85e4aaa3402b69757d84efa9cc2fb8410</x:v>
      </x:c>
      <x:c r="Q81" t="str">
        <x:v>data/raw/ptm45_hp_vds_0p05v_raw.txt</x:v>
      </x:c>
    </x:row>
    <x:row r="82">
      <x:c r="A82" t="str">
        <x:v>PTM</x:v>
      </x:c>
      <x:c r="B82" t="str">
        <x:v>NMOS</x:v>
      </x:c>
      <x:c r="C82" s="97" t="n">
        <x:v>45</x:v>
      </x:c>
      <x:c r="D82" s="97" t="str">
        <x:v>HP</x:v>
      </x:c>
      <x:c r="E82" s="99" t="n">
        <x:v>1</x:v>
      </x:c>
      <x:c r="F82" s="99" t="n">
        <x:v>0.045</x:v>
      </x:c>
      <x:c r="G82" s="99" t="n">
        <x:v>25</x:v>
      </x:c>
      <x:c r="H82" s="99" t="n">
        <x:v>0.05</x:v>
      </x:c>
      <x:c r="I82" s="99" t="n">
        <x:v>0.2000000000000002</x:v>
      </x:c>
      <x:c r="J82" s="98" t="n">
        <x:v>1.054178960395562e-7</x:v>
      </x:c>
      <x:c r="K82" t="str">
        <x:v>low_vds</x:v>
      </x:c>
      <x:c r="L82" t="str">
        <x:v>low_drain_bias</x:v>
      </x:c>
      <x:c r="M82" t="n">
        <x:v>1</x:v>
      </x:c>
      <x:c r="N82" t="str">
        <x:v>simulation</x:v>
      </x:c>
      <x:c r="O82" t="str">
        <x:v>ngspice</x:v>
      </x:c>
      <x:c r="P82" t="str">
        <x:v>c9ed2e513523c57a76912a35b2860cb85e4aaa3402b69757d84efa9cc2fb8410</x:v>
      </x:c>
      <x:c r="Q82" t="str">
        <x:v>data/raw/ptm45_hp_vds_0p05v_raw.txt</x:v>
      </x:c>
    </x:row>
    <x:row r="83">
      <x:c r="A83" t="str">
        <x:v>PTM</x:v>
      </x:c>
      <x:c r="B83" t="str">
        <x:v>NMOS</x:v>
      </x:c>
      <x:c r="C83" s="97" t="n">
        <x:v>45</x:v>
      </x:c>
      <x:c r="D83" s="97" t="str">
        <x:v>HP</x:v>
      </x:c>
      <x:c r="E83" s="99" t="n">
        <x:v>1</x:v>
      </x:c>
      <x:c r="F83" s="99" t="n">
        <x:v>0.045</x:v>
      </x:c>
      <x:c r="G83" s="99" t="n">
        <x:v>25</x:v>
      </x:c>
      <x:c r="H83" s="99" t="n">
        <x:v>0.05</x:v>
      </x:c>
      <x:c r="I83" s="99" t="n">
        <x:v>0.2050000000000002</x:v>
      </x:c>
      <x:c r="J83" s="98" t="n">
        <x:v>1.199869986779013e-7</x:v>
      </x:c>
      <x:c r="K83" t="str">
        <x:v>low_vds</x:v>
      </x:c>
      <x:c r="L83" t="str">
        <x:v>low_drain_bias</x:v>
      </x:c>
      <x:c r="M83" t="n">
        <x:v>1</x:v>
      </x:c>
      <x:c r="N83" t="str">
        <x:v>simulation</x:v>
      </x:c>
      <x:c r="O83" t="str">
        <x:v>ngspice</x:v>
      </x:c>
      <x:c r="P83" t="str">
        <x:v>c9ed2e513523c57a76912a35b2860cb85e4aaa3402b69757d84efa9cc2fb8410</x:v>
      </x:c>
      <x:c r="Q83" t="str">
        <x:v>data/raw/ptm45_hp_vds_0p05v_raw.txt</x:v>
      </x:c>
    </x:row>
    <x:row r="84">
      <x:c r="A84" t="str">
        <x:v>PTM</x:v>
      </x:c>
      <x:c r="B84" t="str">
        <x:v>NMOS</x:v>
      </x:c>
      <x:c r="C84" s="97" t="n">
        <x:v>45</x:v>
      </x:c>
      <x:c r="D84" s="97" t="str">
        <x:v>HP</x:v>
      </x:c>
      <x:c r="E84" s="99" t="n">
        <x:v>1</x:v>
      </x:c>
      <x:c r="F84" s="99" t="n">
        <x:v>0.045</x:v>
      </x:c>
      <x:c r="G84" s="99" t="n">
        <x:v>25</x:v>
      </x:c>
      <x:c r="H84" s="99" t="n">
        <x:v>0.05</x:v>
      </x:c>
      <x:c r="I84" s="99" t="n">
        <x:v>0.2100000000000002</x:v>
      </x:c>
      <x:c r="J84" s="98" t="n">
        <x:v>1.365216964815946e-7</x:v>
      </x:c>
      <x:c r="K84" t="str">
        <x:v>low_vds</x:v>
      </x:c>
      <x:c r="L84" t="str">
        <x:v>low_drain_bias</x:v>
      </x:c>
      <x:c r="M84" t="n">
        <x:v>1</x:v>
      </x:c>
      <x:c r="N84" t="str">
        <x:v>simulation</x:v>
      </x:c>
      <x:c r="O84" t="str">
        <x:v>ngspice</x:v>
      </x:c>
      <x:c r="P84" t="str">
        <x:v>c9ed2e513523c57a76912a35b2860cb85e4aaa3402b69757d84efa9cc2fb8410</x:v>
      </x:c>
      <x:c r="Q84" t="str">
        <x:v>data/raw/ptm45_hp_vds_0p05v_raw.txt</x:v>
      </x:c>
    </x:row>
    <x:row r="85">
      <x:c r="A85" t="str">
        <x:v>PTM</x:v>
      </x:c>
      <x:c r="B85" t="str">
        <x:v>NMOS</x:v>
      </x:c>
      <x:c r="C85" s="97" t="n">
        <x:v>45</x:v>
      </x:c>
      <x:c r="D85" s="97" t="str">
        <x:v>HP</x:v>
      </x:c>
      <x:c r="E85" s="99" t="n">
        <x:v>1</x:v>
      </x:c>
      <x:c r="F85" s="99" t="n">
        <x:v>0.045</x:v>
      </x:c>
      <x:c r="G85" s="99" t="n">
        <x:v>25</x:v>
      </x:c>
      <x:c r="H85" s="99" t="n">
        <x:v>0.05</x:v>
      </x:c>
      <x:c r="I85" s="99" t="n">
        <x:v>0.2150000000000002</x:v>
      </x:c>
      <x:c r="J85" s="98" t="n">
        <x:v>1.552774982531361e-7</x:v>
      </x:c>
      <x:c r="K85" t="str">
        <x:v>low_vds</x:v>
      </x:c>
      <x:c r="L85" t="str">
        <x:v>low_drain_bias</x:v>
      </x:c>
      <x:c r="M85" t="n">
        <x:v>1</x:v>
      </x:c>
      <x:c r="N85" t="str">
        <x:v>simulation</x:v>
      </x:c>
      <x:c r="O85" t="str">
        <x:v>ngspice</x:v>
      </x:c>
      <x:c r="P85" t="str">
        <x:v>c9ed2e513523c57a76912a35b2860cb85e4aaa3402b69757d84efa9cc2fb8410</x:v>
      </x:c>
      <x:c r="Q85" t="str">
        <x:v>data/raw/ptm45_hp_vds_0p05v_raw.txt</x:v>
      </x:c>
    </x:row>
    <x:row r="86">
      <x:c r="A86" t="str">
        <x:v>PTM</x:v>
      </x:c>
      <x:c r="B86" t="str">
        <x:v>NMOS</x:v>
      </x:c>
      <x:c r="C86" s="97" t="n">
        <x:v>45</x:v>
      </x:c>
      <x:c r="D86" s="97" t="str">
        <x:v>HP</x:v>
      </x:c>
      <x:c r="E86" s="99" t="n">
        <x:v>1</x:v>
      </x:c>
      <x:c r="F86" s="99" t="n">
        <x:v>0.045</x:v>
      </x:c>
      <x:c r="G86" s="99" t="n">
        <x:v>25</x:v>
      </x:c>
      <x:c r="H86" s="99" t="n">
        <x:v>0.05</x:v>
      </x:c>
      <x:c r="I86" s="99" t="n">
        <x:v>0.2200000000000002</x:v>
      </x:c>
      <x:c r="J86" s="98" t="n">
        <x:v>1.765412306591291e-7</x:v>
      </x:c>
      <x:c r="K86" t="str">
        <x:v>low_vds</x:v>
      </x:c>
      <x:c r="L86" t="str">
        <x:v>low_drain_bias</x:v>
      </x:c>
      <x:c r="M86" t="n">
        <x:v>1</x:v>
      </x:c>
      <x:c r="N86" t="str">
        <x:v>simulation</x:v>
      </x:c>
      <x:c r="O86" t="str">
        <x:v>ngspice</x:v>
      </x:c>
      <x:c r="P86" t="str">
        <x:v>c9ed2e513523c57a76912a35b2860cb85e4aaa3402b69757d84efa9cc2fb8410</x:v>
      </x:c>
      <x:c r="Q86" t="str">
        <x:v>data/raw/ptm45_hp_vds_0p05v_raw.txt</x:v>
      </x:c>
    </x:row>
    <x:row r="87">
      <x:c r="A87" t="str">
        <x:v>PTM</x:v>
      </x:c>
      <x:c r="B87" t="str">
        <x:v>NMOS</x:v>
      </x:c>
      <x:c r="C87" s="97" t="n">
        <x:v>45</x:v>
      </x:c>
      <x:c r="D87" s="97" t="str">
        <x:v>HP</x:v>
      </x:c>
      <x:c r="E87" s="99" t="n">
        <x:v>1</x:v>
      </x:c>
      <x:c r="F87" s="99" t="n">
        <x:v>0.045</x:v>
      </x:c>
      <x:c r="G87" s="99" t="n">
        <x:v>25</x:v>
      </x:c>
      <x:c r="H87" s="99" t="n">
        <x:v>0.05</x:v>
      </x:c>
      <x:c r="I87" s="99" t="n">
        <x:v>0.2250000000000002</x:v>
      </x:c>
      <x:c r="J87" s="98" t="n">
        <x:v>2.006345175655628e-7</x:v>
      </x:c>
      <x:c r="K87" t="str">
        <x:v>low_vds</x:v>
      </x:c>
      <x:c r="L87" t="str">
        <x:v>low_drain_bias</x:v>
      </x:c>
      <x:c r="M87" t="n">
        <x:v>1</x:v>
      </x:c>
      <x:c r="N87" t="str">
        <x:v>simulation</x:v>
      </x:c>
      <x:c r="O87" t="str">
        <x:v>ngspice</x:v>
      </x:c>
      <x:c r="P87" t="str">
        <x:v>c9ed2e513523c57a76912a35b2860cb85e4aaa3402b69757d84efa9cc2fb8410</x:v>
      </x:c>
      <x:c r="Q87" t="str">
        <x:v>data/raw/ptm45_hp_vds_0p05v_raw.txt</x:v>
      </x:c>
    </x:row>
    <x:row r="88">
      <x:c r="A88" t="str">
        <x:v>PTM</x:v>
      </x:c>
      <x:c r="B88" t="str">
        <x:v>NMOS</x:v>
      </x:c>
      <x:c r="C88" s="97" t="n">
        <x:v>45</x:v>
      </x:c>
      <x:c r="D88" s="97" t="str">
        <x:v>HP</x:v>
      </x:c>
      <x:c r="E88" s="99" t="n">
        <x:v>1</x:v>
      </x:c>
      <x:c r="F88" s="99" t="n">
        <x:v>0.045</x:v>
      </x:c>
      <x:c r="G88" s="99" t="n">
        <x:v>25</x:v>
      </x:c>
      <x:c r="H88" s="99" t="n">
        <x:v>0.05</x:v>
      </x:c>
      <x:c r="I88" s="99" t="n">
        <x:v>0.2300000000000002</x:v>
      </x:c>
      <x:c r="J88" s="98" t="n">
        <x:v>2.279175812799406e-7</x:v>
      </x:c>
      <x:c r="K88" t="str">
        <x:v>low_vds</x:v>
      </x:c>
      <x:c r="L88" t="str">
        <x:v>low_drain_bias</x:v>
      </x:c>
      <x:c r="M88" t="n">
        <x:v>1</x:v>
      </x:c>
      <x:c r="N88" t="str">
        <x:v>simulation</x:v>
      </x:c>
      <x:c r="O88" t="str">
        <x:v>ngspice</x:v>
      </x:c>
      <x:c r="P88" t="str">
        <x:v>c9ed2e513523c57a76912a35b2860cb85e4aaa3402b69757d84efa9cc2fb8410</x:v>
      </x:c>
      <x:c r="Q88" t="str">
        <x:v>data/raw/ptm45_hp_vds_0p05v_raw.txt</x:v>
      </x:c>
    </x:row>
    <x:row r="89">
      <x:c r="A89" t="str">
        <x:v>PTM</x:v>
      </x:c>
      <x:c r="B89" t="str">
        <x:v>NMOS</x:v>
      </x:c>
      <x:c r="C89" s="97" t="n">
        <x:v>45</x:v>
      </x:c>
      <x:c r="D89" s="97" t="str">
        <x:v>HP</x:v>
      </x:c>
      <x:c r="E89" s="99" t="n">
        <x:v>1</x:v>
      </x:c>
      <x:c r="F89" s="99" t="n">
        <x:v>0.045</x:v>
      </x:c>
      <x:c r="G89" s="99" t="n">
        <x:v>25</x:v>
      </x:c>
      <x:c r="H89" s="99" t="n">
        <x:v>0.05</x:v>
      </x:c>
      <x:c r="I89" s="99" t="n">
        <x:v>0.2350000000000002</x:v>
      </x:c>
      <x:c r="J89" s="98" t="n">
        <x:v>2.587933862780763e-7</x:v>
      </x:c>
      <x:c r="K89" t="str">
        <x:v>low_vds</x:v>
      </x:c>
      <x:c r="L89" t="str">
        <x:v>low_drain_bias</x:v>
      </x:c>
      <x:c r="M89" t="n">
        <x:v>1</x:v>
      </x:c>
      <x:c r="N89" t="str">
        <x:v>simulation</x:v>
      </x:c>
      <x:c r="O89" t="str">
        <x:v>ngspice</x:v>
      </x:c>
      <x:c r="P89" t="str">
        <x:v>c9ed2e513523c57a76912a35b2860cb85e4aaa3402b69757d84efa9cc2fb8410</x:v>
      </x:c>
      <x:c r="Q89" t="str">
        <x:v>data/raw/ptm45_hp_vds_0p05v_raw.txt</x:v>
      </x:c>
    </x:row>
    <x:row r="90">
      <x:c r="A90" t="str">
        <x:v>PTM</x:v>
      </x:c>
      <x:c r="B90" t="str">
        <x:v>NMOS</x:v>
      </x:c>
      <x:c r="C90" s="97" t="n">
        <x:v>45</x:v>
      </x:c>
      <x:c r="D90" s="97" t="str">
        <x:v>HP</x:v>
      </x:c>
      <x:c r="E90" s="99" t="n">
        <x:v>1</x:v>
      </x:c>
      <x:c r="F90" s="99" t="n">
        <x:v>0.045</x:v>
      </x:c>
      <x:c r="G90" s="99" t="n">
        <x:v>25</x:v>
      </x:c>
      <x:c r="H90" s="99" t="n">
        <x:v>0.05</x:v>
      </x:c>
      <x:c r="I90" s="99" t="n">
        <x:v>0.2400000000000002</x:v>
      </x:c>
      <x:c r="J90" s="98" t="n">
        <x:v>2.937121423373582e-7</x:v>
      </x:c>
      <x:c r="K90" t="str">
        <x:v>low_vds</x:v>
      </x:c>
      <x:c r="L90" t="str">
        <x:v>low_drain_bias</x:v>
      </x:c>
      <x:c r="M90" t="n">
        <x:v>1</x:v>
      </x:c>
      <x:c r="N90" t="str">
        <x:v>simulation</x:v>
      </x:c>
      <x:c r="O90" t="str">
        <x:v>ngspice</x:v>
      </x:c>
      <x:c r="P90" t="str">
        <x:v>c9ed2e513523c57a76912a35b2860cb85e4aaa3402b69757d84efa9cc2fb8410</x:v>
      </x:c>
      <x:c r="Q90" t="str">
        <x:v>data/raw/ptm45_hp_vds_0p05v_raw.txt</x:v>
      </x:c>
    </x:row>
    <x:row r="91">
      <x:c r="A91" t="str">
        <x:v>PTM</x:v>
      </x:c>
      <x:c r="B91" t="str">
        <x:v>NMOS</x:v>
      </x:c>
      <x:c r="C91" s="97" t="n">
        <x:v>45</x:v>
      </x:c>
      <x:c r="D91" s="97" t="str">
        <x:v>HP</x:v>
      </x:c>
      <x:c r="E91" s="99" t="n">
        <x:v>1</x:v>
      </x:c>
      <x:c r="F91" s="99" t="n">
        <x:v>0.045</x:v>
      </x:c>
      <x:c r="G91" s="99" t="n">
        <x:v>25</x:v>
      </x:c>
      <x:c r="H91" s="99" t="n">
        <x:v>0.05</x:v>
      </x:c>
      <x:c r="I91" s="99" t="n">
        <x:v>0.2450000000000002</x:v>
      </x:c>
      <x:c r="J91" s="98" t="n">
        <x:v>3.331761836467949e-7</x:v>
      </x:c>
      <x:c r="K91" t="str">
        <x:v>low_vds</x:v>
      </x:c>
      <x:c r="L91" t="str">
        <x:v>low_drain_bias</x:v>
      </x:c>
      <x:c r="M91" t="n">
        <x:v>1</x:v>
      </x:c>
      <x:c r="N91" t="str">
        <x:v>simulation</x:v>
      </x:c>
      <x:c r="O91" t="str">
        <x:v>ngspice</x:v>
      </x:c>
      <x:c r="P91" t="str">
        <x:v>c9ed2e513523c57a76912a35b2860cb85e4aaa3402b69757d84efa9cc2fb8410</x:v>
      </x:c>
      <x:c r="Q91" t="str">
        <x:v>data/raw/ptm45_hp_vds_0p05v_raw.txt</x:v>
      </x:c>
    </x:row>
    <x:row r="92">
      <x:c r="A92" t="str">
        <x:v>PTM</x:v>
      </x:c>
      <x:c r="B92" t="str">
        <x:v>NMOS</x:v>
      </x:c>
      <x:c r="C92" s="97" t="n">
        <x:v>45</x:v>
      </x:c>
      <x:c r="D92" s="97" t="str">
        <x:v>HP</x:v>
      </x:c>
      <x:c r="E92" s="99" t="n">
        <x:v>1</x:v>
      </x:c>
      <x:c r="F92" s="99" t="n">
        <x:v>0.045</x:v>
      </x:c>
      <x:c r="G92" s="99" t="n">
        <x:v>25</x:v>
      </x:c>
      <x:c r="H92" s="99" t="n">
        <x:v>0.05</x:v>
      </x:c>
      <x:c r="I92" s="99" t="n">
        <x:v>0.2500000000000002</x:v>
      </x:c>
      <x:c r="J92" s="98" t="n">
        <x:v>3.777452391631503e-7</x:v>
      </x:c>
      <x:c r="K92" t="str">
        <x:v>low_vds</x:v>
      </x:c>
      <x:c r="L92" t="str">
        <x:v>low_drain_bias</x:v>
      </x:c>
      <x:c r="M92" t="n">
        <x:v>1</x:v>
      </x:c>
      <x:c r="N92" t="str">
        <x:v>simulation</x:v>
      </x:c>
      <x:c r="O92" t="str">
        <x:v>ngspice</x:v>
      </x:c>
      <x:c r="P92" t="str">
        <x:v>c9ed2e513523c57a76912a35b2860cb85e4aaa3402b69757d84efa9cc2fb8410</x:v>
      </x:c>
      <x:c r="Q92" t="str">
        <x:v>data/raw/ptm45_hp_vds_0p05v_raw.txt</x:v>
      </x:c>
    </x:row>
    <x:row r="93">
      <x:c r="A93" t="str">
        <x:v>PTM</x:v>
      </x:c>
      <x:c r="B93" t="str">
        <x:v>NMOS</x:v>
      </x:c>
      <x:c r="C93" s="97" t="n">
        <x:v>45</x:v>
      </x:c>
      <x:c r="D93" s="97" t="str">
        <x:v>HP</x:v>
      </x:c>
      <x:c r="E93" s="99" t="n">
        <x:v>1</x:v>
      </x:c>
      <x:c r="F93" s="99" t="n">
        <x:v>0.045</x:v>
      </x:c>
      <x:c r="G93" s="99" t="n">
        <x:v>25</x:v>
      </x:c>
      <x:c r="H93" s="99" t="n">
        <x:v>0.05</x:v>
      </x:c>
      <x:c r="I93" s="99" t="n">
        <x:v>0.2550000000000002</x:v>
      </x:c>
      <x:c r="J93" s="98" t="n">
        <x:v>4.280421072831196e-7</x:v>
      </x:c>
      <x:c r="K93" t="str">
        <x:v>low_vds</x:v>
      </x:c>
      <x:c r="L93" t="str">
        <x:v>low_drain_bias</x:v>
      </x:c>
      <x:c r="M93" t="n">
        <x:v>1</x:v>
      </x:c>
      <x:c r="N93" t="str">
        <x:v>simulation</x:v>
      </x:c>
      <x:c r="O93" t="str">
        <x:v>ngspice</x:v>
      </x:c>
      <x:c r="P93" t="str">
        <x:v>c9ed2e513523c57a76912a35b2860cb85e4aaa3402b69757d84efa9cc2fb8410</x:v>
      </x:c>
      <x:c r="Q93" t="str">
        <x:v>data/raw/ptm45_hp_vds_0p05v_raw.txt</x:v>
      </x:c>
    </x:row>
    <x:row r="94">
      <x:c r="A94" t="str">
        <x:v>PTM</x:v>
      </x:c>
      <x:c r="B94" t="str">
        <x:v>NMOS</x:v>
      </x:c>
      <x:c r="C94" s="97" t="n">
        <x:v>45</x:v>
      </x:c>
      <x:c r="D94" s="97" t="str">
        <x:v>HP</x:v>
      </x:c>
      <x:c r="E94" s="99" t="n">
        <x:v>1</x:v>
      </x:c>
      <x:c r="F94" s="99" t="n">
        <x:v>0.045</x:v>
      </x:c>
      <x:c r="G94" s="99" t="n">
        <x:v>25</x:v>
      </x:c>
      <x:c r="H94" s="99" t="n">
        <x:v>0.05</x:v>
      </x:c>
      <x:c r="I94" s="99" t="n">
        <x:v>0.2600000000000002</x:v>
      </x:c>
      <x:c r="J94" s="98" t="n">
        <x:v>4.847587450672441e-7</x:v>
      </x:c>
      <x:c r="K94" t="str">
        <x:v>low_vds</x:v>
      </x:c>
      <x:c r="L94" t="str">
        <x:v>low_drain_bias</x:v>
      </x:c>
      <x:c r="M94" t="n">
        <x:v>1</x:v>
      </x:c>
      <x:c r="N94" t="str">
        <x:v>simulation</x:v>
      </x:c>
      <x:c r="O94" t="str">
        <x:v>ngspice</x:v>
      </x:c>
      <x:c r="P94" t="str">
        <x:v>c9ed2e513523c57a76912a35b2860cb85e4aaa3402b69757d84efa9cc2fb8410</x:v>
      </x:c>
      <x:c r="Q94" t="str">
        <x:v>data/raw/ptm45_hp_vds_0p05v_raw.txt</x:v>
      </x:c>
    </x:row>
    <x:row r="95">
      <x:c r="A95" t="str">
        <x:v>PTM</x:v>
      </x:c>
      <x:c r="B95" t="str">
        <x:v>NMOS</x:v>
      </x:c>
      <x:c r="C95" s="97" t="n">
        <x:v>45</x:v>
      </x:c>
      <x:c r="D95" s="97" t="str">
        <x:v>HP</x:v>
      </x:c>
      <x:c r="E95" s="99" t="n">
        <x:v>1</x:v>
      </x:c>
      <x:c r="F95" s="99" t="n">
        <x:v>0.045</x:v>
      </x:c>
      <x:c r="G95" s="99" t="n">
        <x:v>25</x:v>
      </x:c>
      <x:c r="H95" s="99" t="n">
        <x:v>0.05</x:v>
      </x:c>
      <x:c r="I95" s="99" t="n">
        <x:v>0.2650000000000002</x:v>
      </x:c>
      <x:c r="J95" s="98" t="n">
        <x:v>5.48662778699769e-7</x:v>
      </x:c>
      <x:c r="K95" t="str">
        <x:v>low_vds</x:v>
      </x:c>
      <x:c r="L95" t="str">
        <x:v>low_drain_bias</x:v>
      </x:c>
      <x:c r="M95" t="n">
        <x:v>1</x:v>
      </x:c>
      <x:c r="N95" t="str">
        <x:v>simulation</x:v>
      </x:c>
      <x:c r="O95" t="str">
        <x:v>ngspice</x:v>
      </x:c>
      <x:c r="P95" t="str">
        <x:v>c9ed2e513523c57a76912a35b2860cb85e4aaa3402b69757d84efa9cc2fb8410</x:v>
      </x:c>
      <x:c r="Q95" t="str">
        <x:v>data/raw/ptm45_hp_vds_0p05v_raw.txt</x:v>
      </x:c>
    </x:row>
    <x:row r="96">
      <x:c r="A96" t="str">
        <x:v>PTM</x:v>
      </x:c>
      <x:c r="B96" t="str">
        <x:v>NMOS</x:v>
      </x:c>
      <x:c r="C96" s="97" t="n">
        <x:v>45</x:v>
      </x:c>
      <x:c r="D96" s="97" t="str">
        <x:v>HP</x:v>
      </x:c>
      <x:c r="E96" s="99" t="n">
        <x:v>1</x:v>
      </x:c>
      <x:c r="F96" s="99" t="n">
        <x:v>0.045</x:v>
      </x:c>
      <x:c r="G96" s="99" t="n">
        <x:v>25</x:v>
      </x:c>
      <x:c r="H96" s="99" t="n">
        <x:v>0.05</x:v>
      </x:c>
      <x:c r="I96" s="99" t="n">
        <x:v>0.2700000000000002</x:v>
      </x:c>
      <x:c r="J96" s="98" t="n">
        <x:v>6.206044374595788e-7</x:v>
      </x:c>
      <x:c r="K96" t="str">
        <x:v>low_vds</x:v>
      </x:c>
      <x:c r="L96" t="str">
        <x:v>low_drain_bias</x:v>
      </x:c>
      <x:c r="M96" t="n">
        <x:v>1</x:v>
      </x:c>
      <x:c r="N96" t="str">
        <x:v>simulation</x:v>
      </x:c>
      <x:c r="O96" t="str">
        <x:v>ngspice</x:v>
      </x:c>
      <x:c r="P96" t="str">
        <x:v>c9ed2e513523c57a76912a35b2860cb85e4aaa3402b69757d84efa9cc2fb8410</x:v>
      </x:c>
      <x:c r="Q96" t="str">
        <x:v>data/raw/ptm45_hp_vds_0p05v_raw.txt</x:v>
      </x:c>
    </x:row>
    <x:row r="97">
      <x:c r="A97" t="str">
        <x:v>PTM</x:v>
      </x:c>
      <x:c r="B97" t="str">
        <x:v>NMOS</x:v>
      </x:c>
      <x:c r="C97" s="97" t="n">
        <x:v>45</x:v>
      </x:c>
      <x:c r="D97" s="97" t="str">
        <x:v>HP</x:v>
      </x:c>
      <x:c r="E97" s="99" t="n">
        <x:v>1</x:v>
      </x:c>
      <x:c r="F97" s="99" t="n">
        <x:v>0.045</x:v>
      </x:c>
      <x:c r="G97" s="99" t="n">
        <x:v>25</x:v>
      </x:c>
      <x:c r="H97" s="99" t="n">
        <x:v>0.05</x:v>
      </x:c>
      <x:c r="I97" s="99" t="n">
        <x:v>0.2750000000000002</x:v>
      </x:c>
      <x:c r="J97" s="98" t="n">
        <x:v>7.01523908035942e-7</x:v>
      </x:c>
      <x:c r="K97" t="str">
        <x:v>low_vds</x:v>
      </x:c>
      <x:c r="L97" t="str">
        <x:v>low_drain_bias</x:v>
      </x:c>
      <x:c r="M97" t="n">
        <x:v>1</x:v>
      </x:c>
      <x:c r="N97" t="str">
        <x:v>simulation</x:v>
      </x:c>
      <x:c r="O97" t="str">
        <x:v>ngspice</x:v>
      </x:c>
      <x:c r="P97" t="str">
        <x:v>c9ed2e513523c57a76912a35b2860cb85e4aaa3402b69757d84efa9cc2fb8410</x:v>
      </x:c>
      <x:c r="Q97" t="str">
        <x:v>data/raw/ptm45_hp_vds_0p05v_raw.txt</x:v>
      </x:c>
    </x:row>
    <x:row r="98">
      <x:c r="A98" t="str">
        <x:v>PTM</x:v>
      </x:c>
      <x:c r="B98" t="str">
        <x:v>NMOS</x:v>
      </x:c>
      <x:c r="C98" s="97" t="n">
        <x:v>45</x:v>
      </x:c>
      <x:c r="D98" s="97" t="str">
        <x:v>HP</x:v>
      </x:c>
      <x:c r="E98" s="99" t="n">
        <x:v>1</x:v>
      </x:c>
      <x:c r="F98" s="99" t="n">
        <x:v>0.045</x:v>
      </x:c>
      <x:c r="G98" s="99" t="n">
        <x:v>25</x:v>
      </x:c>
      <x:c r="H98" s="99" t="n">
        <x:v>0.05</x:v>
      </x:c>
      <x:c r="I98" s="99" t="n">
        <x:v>0.2800000000000002</x:v>
      </x:c>
      <x:c r="J98" s="98" t="n">
        <x:v>7.924590993285468e-7</x:v>
      </x:c>
      <x:c r="K98" t="str">
        <x:v>low_vds</x:v>
      </x:c>
      <x:c r="L98" t="str">
        <x:v>low_drain_bias</x:v>
      </x:c>
      <x:c r="M98" t="n">
        <x:v>1</x:v>
      </x:c>
      <x:c r="N98" t="str">
        <x:v>simulation</x:v>
      </x:c>
      <x:c r="O98" t="str">
        <x:v>ngspice</x:v>
      </x:c>
      <x:c r="P98" t="str">
        <x:v>c9ed2e513523c57a76912a35b2860cb85e4aaa3402b69757d84efa9cc2fb8410</x:v>
      </x:c>
      <x:c r="Q98" t="str">
        <x:v>data/raw/ptm45_hp_vds_0p05v_raw.txt</x:v>
      </x:c>
    </x:row>
    <x:row r="99">
      <x:c r="A99" t="str">
        <x:v>PTM</x:v>
      </x:c>
      <x:c r="B99" t="str">
        <x:v>NMOS</x:v>
      </x:c>
      <x:c r="C99" s="97" t="n">
        <x:v>45</x:v>
      </x:c>
      <x:c r="D99" s="97" t="str">
        <x:v>HP</x:v>
      </x:c>
      <x:c r="E99" s="99" t="n">
        <x:v>1</x:v>
      </x:c>
      <x:c r="F99" s="99" t="n">
        <x:v>0.045</x:v>
      </x:c>
      <x:c r="G99" s="99" t="n">
        <x:v>25</x:v>
      </x:c>
      <x:c r="H99" s="99" t="n">
        <x:v>0.05</x:v>
      </x:c>
      <x:c r="I99" s="99" t="n">
        <x:v>0.2850000000000003</x:v>
      </x:c>
      <x:c r="J99" s="98" t="n">
        <x:v>8.945537996408587e-7</x:v>
      </x:c>
      <x:c r="K99" t="str">
        <x:v>low_vds</x:v>
      </x:c>
      <x:c r="L99" t="str">
        <x:v>low_drain_bias</x:v>
      </x:c>
      <x:c r="M99" t="n">
        <x:v>1</x:v>
      </x:c>
      <x:c r="N99" t="str">
        <x:v>simulation</x:v>
      </x:c>
      <x:c r="O99" t="str">
        <x:v>ngspice</x:v>
      </x:c>
      <x:c r="P99" t="str">
        <x:v>c9ed2e513523c57a76912a35b2860cb85e4aaa3402b69757d84efa9cc2fb8410</x:v>
      </x:c>
      <x:c r="Q99" t="str">
        <x:v>data/raw/ptm45_hp_vds_0p05v_raw.txt</x:v>
      </x:c>
    </x:row>
    <x:row r="100">
      <x:c r="A100" t="str">
        <x:v>PTM</x:v>
      </x:c>
      <x:c r="B100" t="str">
        <x:v>NMOS</x:v>
      </x:c>
      <x:c r="C100" s="97" t="n">
        <x:v>45</x:v>
      </x:c>
      <x:c r="D100" s="97" t="str">
        <x:v>HP</x:v>
      </x:c>
      <x:c r="E100" s="99" t="n">
        <x:v>1</x:v>
      </x:c>
      <x:c r="F100" s="99" t="n">
        <x:v>0.045</x:v>
      </x:c>
      <x:c r="G100" s="99" t="n">
        <x:v>25</x:v>
      </x:c>
      <x:c r="H100" s="99" t="n">
        <x:v>0.05</x:v>
      </x:c>
      <x:c r="I100" s="99" t="n">
        <x:v>0.2900000000000003</x:v>
      </x:c>
      <x:c r="J100" s="98" t="n">
        <x:v>0.00000100906619804963</x:v>
      </x:c>
      <x:c r="K100" t="str">
        <x:v>low_vds</x:v>
      </x:c>
      <x:c r="L100" t="str">
        <x:v>low_drain_bias</x:v>
      </x:c>
      <x:c r="M100" t="n">
        <x:v>1</x:v>
      </x:c>
      <x:c r="N100" t="str">
        <x:v>simulation</x:v>
      </x:c>
      <x:c r="O100" t="str">
        <x:v>ngspice</x:v>
      </x:c>
      <x:c r="P100" t="str">
        <x:v>c9ed2e513523c57a76912a35b2860cb85e4aaa3402b69757d84efa9cc2fb8410</x:v>
      </x:c>
      <x:c r="Q100" t="str">
        <x:v>data/raw/ptm45_hp_vds_0p05v_raw.txt</x:v>
      </x:c>
    </x:row>
    <x:row r="101">
      <x:c r="A101" t="str">
        <x:v>PTM</x:v>
      </x:c>
      <x:c r="B101" t="str">
        <x:v>NMOS</x:v>
      </x:c>
      <x:c r="C101" s="97" t="n">
        <x:v>45</x:v>
      </x:c>
      <x:c r="D101" s="97" t="str">
        <x:v>HP</x:v>
      </x:c>
      <x:c r="E101" s="99" t="n">
        <x:v>1</x:v>
      </x:c>
      <x:c r="F101" s="99" t="n">
        <x:v>0.045</x:v>
      </x:c>
      <x:c r="G101" s="99" t="n">
        <x:v>25</x:v>
      </x:c>
      <x:c r="H101" s="99" t="n">
        <x:v>0.05</x:v>
      </x:c>
      <x:c r="I101" s="99" t="n">
        <x:v>0.2950000000000003</x:v>
      </x:c>
      <x:c r="J101" s="98" t="n">
        <x:v>0.000001137377729260765</x:v>
      </x:c>
      <x:c r="K101" t="str">
        <x:v>low_vds</x:v>
      </x:c>
      <x:c r="L101" t="str">
        <x:v>low_drain_bias</x:v>
      </x:c>
      <x:c r="M101" t="n">
        <x:v>1</x:v>
      </x:c>
      <x:c r="N101" t="str">
        <x:v>simulation</x:v>
      </x:c>
      <x:c r="O101" t="str">
        <x:v>ngspice</x:v>
      </x:c>
      <x:c r="P101" t="str">
        <x:v>c9ed2e513523c57a76912a35b2860cb85e4aaa3402b69757d84efa9cc2fb8410</x:v>
      </x:c>
      <x:c r="Q101" t="str">
        <x:v>data/raw/ptm45_hp_vds_0p05v_raw.txt</x:v>
      </x:c>
    </x:row>
    <x:row r="102">
      <x:c r="A102" t="str">
        <x:v>PTM</x:v>
      </x:c>
      <x:c r="B102" t="str">
        <x:v>NMOS</x:v>
      </x:c>
      <x:c r="C102" s="97" t="n">
        <x:v>45</x:v>
      </x:c>
      <x:c r="D102" s="97" t="str">
        <x:v>HP</x:v>
      </x:c>
      <x:c r="E102" s="99" t="n">
        <x:v>1</x:v>
      </x:c>
      <x:c r="F102" s="99" t="n">
        <x:v>0.045</x:v>
      </x:c>
      <x:c r="G102" s="99" t="n">
        <x:v>25</x:v>
      </x:c>
      <x:c r="H102" s="99" t="n">
        <x:v>0.05</x:v>
      </x:c>
      <x:c r="I102" s="99" t="n">
        <x:v>0.3000000000000003</x:v>
      </x:c>
      <x:c r="J102" s="98" t="n">
        <x:v>0.000001281002185890742</x:v>
      </x:c>
      <x:c r="K102" t="str">
        <x:v>low_vds</x:v>
      </x:c>
      <x:c r="L102" t="str">
        <x:v>low_drain_bias</x:v>
      </x:c>
      <x:c r="M102" t="n">
        <x:v>1</x:v>
      </x:c>
      <x:c r="N102" t="str">
        <x:v>simulation</x:v>
      </x:c>
      <x:c r="O102" t="str">
        <x:v>ngspice</x:v>
      </x:c>
      <x:c r="P102" t="str">
        <x:v>c9ed2e513523c57a76912a35b2860cb85e4aaa3402b69757d84efa9cc2fb8410</x:v>
      </x:c>
      <x:c r="Q102" t="str">
        <x:v>data/raw/ptm45_hp_vds_0p05v_raw.txt</x:v>
      </x:c>
    </x:row>
    <x:row r="103">
      <x:c r="A103" t="str">
        <x:v>PTM</x:v>
      </x:c>
      <x:c r="B103" t="str">
        <x:v>NMOS</x:v>
      </x:c>
      <x:c r="C103" s="97" t="n">
        <x:v>45</x:v>
      </x:c>
      <x:c r="D103" s="97" t="str">
        <x:v>HP</x:v>
      </x:c>
      <x:c r="E103" s="99" t="n">
        <x:v>1</x:v>
      </x:c>
      <x:c r="F103" s="99" t="n">
        <x:v>0.045</x:v>
      </x:c>
      <x:c r="G103" s="99" t="n">
        <x:v>25</x:v>
      </x:c>
      <x:c r="H103" s="99" t="n">
        <x:v>0.05</x:v>
      </x:c>
      <x:c r="I103" s="99" t="n">
        <x:v>0.3050000000000003</x:v>
      </x:c>
      <x:c r="J103" s="98" t="n">
        <x:v>0.000001441595023185789</x:v>
      </x:c>
      <x:c r="K103" t="str">
        <x:v>low_vds</x:v>
      </x:c>
      <x:c r="L103" t="str">
        <x:v>low_drain_bias</x:v>
      </x:c>
      <x:c r="M103" t="n">
        <x:v>1</x:v>
      </x:c>
      <x:c r="N103" t="str">
        <x:v>simulation</x:v>
      </x:c>
      <x:c r="O103" t="str">
        <x:v>ngspice</x:v>
      </x:c>
      <x:c r="P103" t="str">
        <x:v>c9ed2e513523c57a76912a35b2860cb85e4aaa3402b69757d84efa9cc2fb8410</x:v>
      </x:c>
      <x:c r="Q103" t="str">
        <x:v>data/raw/ptm45_hp_vds_0p05v_raw.txt</x:v>
      </x:c>
    </x:row>
    <x:row r="104">
      <x:c r="A104" t="str">
        <x:v>PTM</x:v>
      </x:c>
      <x:c r="B104" t="str">
        <x:v>NMOS</x:v>
      </x:c>
      <x:c r="C104" s="97" t="n">
        <x:v>45</x:v>
      </x:c>
      <x:c r="D104" s="97" t="str">
        <x:v>HP</x:v>
      </x:c>
      <x:c r="E104" s="99" t="n">
        <x:v>1</x:v>
      </x:c>
      <x:c r="F104" s="99" t="n">
        <x:v>0.045</x:v>
      </x:c>
      <x:c r="G104" s="99" t="n">
        <x:v>25</x:v>
      </x:c>
      <x:c r="H104" s="99" t="n">
        <x:v>0.05</x:v>
      </x:c>
      <x:c r="I104" s="99" t="n">
        <x:v>0.3100000000000003</x:v>
      </x:c>
      <x:c r="J104" s="98" t="n">
        <x:v>0.000001620962757951348</x:v>
      </x:c>
      <x:c r="K104" t="str">
        <x:v>low_vds</x:v>
      </x:c>
      <x:c r="L104" t="str">
        <x:v>low_drain_bias</x:v>
      </x:c>
      <x:c r="M104" t="n">
        <x:v>1</x:v>
      </x:c>
      <x:c r="N104" t="str">
        <x:v>simulation</x:v>
      </x:c>
      <x:c r="O104" t="str">
        <x:v>ngspice</x:v>
      </x:c>
      <x:c r="P104" t="str">
        <x:v>c9ed2e513523c57a76912a35b2860cb85e4aaa3402b69757d84efa9cc2fb8410</x:v>
      </x:c>
      <x:c r="Q104" t="str">
        <x:v>data/raw/ptm45_hp_vds_0p05v_raw.txt</x:v>
      </x:c>
    </x:row>
    <x:row r="105">
      <x:c r="A105" t="str">
        <x:v>PTM</x:v>
      </x:c>
      <x:c r="B105" t="str">
        <x:v>NMOS</x:v>
      </x:c>
      <x:c r="C105" s="97" t="n">
        <x:v>45</x:v>
      </x:c>
      <x:c r="D105" s="97" t="str">
        <x:v>HP</x:v>
      </x:c>
      <x:c r="E105" s="99" t="n">
        <x:v>1</x:v>
      </x:c>
      <x:c r="F105" s="99" t="n">
        <x:v>0.045</x:v>
      </x:c>
      <x:c r="G105" s="99" t="n">
        <x:v>25</x:v>
      </x:c>
      <x:c r="H105" s="99" t="n">
        <x:v>0.05</x:v>
      </x:c>
      <x:c r="I105" s="99" t="n">
        <x:v>0.3150000000000003</x:v>
      </x:c>
      <x:c r="J105" s="98" t="n">
        <x:v>0.000001821072335079729</x:v>
      </x:c>
      <x:c r="K105" t="str">
        <x:v>low_vds</x:v>
      </x:c>
      <x:c r="L105" t="str">
        <x:v>low_drain_bias</x:v>
      </x:c>
      <x:c r="M105" t="n">
        <x:v>1</x:v>
      </x:c>
      <x:c r="N105" t="str">
        <x:v>simulation</x:v>
      </x:c>
      <x:c r="O105" t="str">
        <x:v>ngspice</x:v>
      </x:c>
      <x:c r="P105" t="str">
        <x:v>c9ed2e513523c57a76912a35b2860cb85e4aaa3402b69757d84efa9cc2fb8410</x:v>
      </x:c>
      <x:c r="Q105" t="str">
        <x:v>data/raw/ptm45_hp_vds_0p05v_raw.txt</x:v>
      </x:c>
    </x:row>
    <x:row r="106">
      <x:c r="A106" t="str">
        <x:v>PTM</x:v>
      </x:c>
      <x:c r="B106" t="str">
        <x:v>NMOS</x:v>
      </x:c>
      <x:c r="C106" s="97" t="n">
        <x:v>45</x:v>
      </x:c>
      <x:c r="D106" s="97" t="str">
        <x:v>HP</x:v>
      </x:c>
      <x:c r="E106" s="99" t="n">
        <x:v>1</x:v>
      </x:c>
      <x:c r="F106" s="99" t="n">
        <x:v>0.045</x:v>
      </x:c>
      <x:c r="G106" s="99" t="n">
        <x:v>25</x:v>
      </x:c>
      <x:c r="H106" s="99" t="n">
        <x:v>0.05</x:v>
      </x:c>
      <x:c r="I106" s="99" t="n">
        <x:v>0.3200000000000003</x:v>
      </x:c>
      <x:c r="J106" s="98" t="n">
        <x:v>0.000002044060300672396</x:v>
      </x:c>
      <x:c r="K106" t="str">
        <x:v>low_vds</x:v>
      </x:c>
      <x:c r="L106" t="str">
        <x:v>low_drain_bias</x:v>
      </x:c>
      <x:c r="M106" t="n">
        <x:v>1</x:v>
      </x:c>
      <x:c r="N106" t="str">
        <x:v>simulation</x:v>
      </x:c>
      <x:c r="O106" t="str">
        <x:v>ngspice</x:v>
      </x:c>
      <x:c r="P106" t="str">
        <x:v>c9ed2e513523c57a76912a35b2860cb85e4aaa3402b69757d84efa9cc2fb8410</x:v>
      </x:c>
      <x:c r="Q106" t="str">
        <x:v>data/raw/ptm45_hp_vds_0p05v_raw.txt</x:v>
      </x:c>
    </x:row>
    <x:row r="107">
      <x:c r="A107" t="str">
        <x:v>PTM</x:v>
      </x:c>
      <x:c r="B107" t="str">
        <x:v>NMOS</x:v>
      </x:c>
      <x:c r="C107" s="97" t="n">
        <x:v>45</x:v>
      </x:c>
      <x:c r="D107" s="97" t="str">
        <x:v>HP</x:v>
      </x:c>
      <x:c r="E107" s="99" t="n">
        <x:v>1</x:v>
      </x:c>
      <x:c r="F107" s="99" t="n">
        <x:v>0.045</x:v>
      </x:c>
      <x:c r="G107" s="99" t="n">
        <x:v>25</x:v>
      </x:c>
      <x:c r="H107" s="99" t="n">
        <x:v>0.05</x:v>
      </x:c>
      <x:c r="I107" s="99" t="n">
        <x:v>0.3250000000000003</x:v>
      </x:c>
      <x:c r="J107" s="98" t="n">
        <x:v>0.000002292241579538364</x:v>
      </x:c>
      <x:c r="K107" t="str">
        <x:v>low_vds</x:v>
      </x:c>
      <x:c r="L107" t="str">
        <x:v>low_drain_bias</x:v>
      </x:c>
      <x:c r="M107" t="n">
        <x:v>1</x:v>
      </x:c>
      <x:c r="N107" t="str">
        <x:v>simulation</x:v>
      </x:c>
      <x:c r="O107" t="str">
        <x:v>ngspice</x:v>
      </x:c>
      <x:c r="P107" t="str">
        <x:v>c9ed2e513523c57a76912a35b2860cb85e4aaa3402b69757d84efa9cc2fb8410</x:v>
      </x:c>
      <x:c r="Q107" t="str">
        <x:v>data/raw/ptm45_hp_vds_0p05v_raw.txt</x:v>
      </x:c>
    </x:row>
    <x:row r="108">
      <x:c r="A108" t="str">
        <x:v>PTM</x:v>
      </x:c>
      <x:c r="B108" t="str">
        <x:v>NMOS</x:v>
      </x:c>
      <x:c r="C108" s="97" t="n">
        <x:v>45</x:v>
      </x:c>
      <x:c r="D108" s="97" t="str">
        <x:v>HP</x:v>
      </x:c>
      <x:c r="E108" s="99" t="n">
        <x:v>1</x:v>
      </x:c>
      <x:c r="F108" s="99" t="n">
        <x:v>0.045</x:v>
      </x:c>
      <x:c r="G108" s="99" t="n">
        <x:v>25</x:v>
      </x:c>
      <x:c r="H108" s="99" t="n">
        <x:v>0.05</x:v>
      </x:c>
      <x:c r="I108" s="99" t="n">
        <x:v>0.3300000000000003</x:v>
      </x:c>
      <x:c r="J108" s="98" t="n">
        <x:v>0.000002568117606153702</x:v>
      </x:c>
      <x:c r="K108" t="str">
        <x:v>low_vds</x:v>
      </x:c>
      <x:c r="L108" t="str">
        <x:v>low_drain_bias</x:v>
      </x:c>
      <x:c r="M108" t="n">
        <x:v>1</x:v>
      </x:c>
      <x:c r="N108" t="str">
        <x:v>simulation</x:v>
      </x:c>
      <x:c r="O108" t="str">
        <x:v>ngspice</x:v>
      </x:c>
      <x:c r="P108" t="str">
        <x:v>c9ed2e513523c57a76912a35b2860cb85e4aaa3402b69757d84efa9cc2fb8410</x:v>
      </x:c>
      <x:c r="Q108" t="str">
        <x:v>data/raw/ptm45_hp_vds_0p05v_raw.txt</x:v>
      </x:c>
    </x:row>
    <x:row r="109">
      <x:c r="A109" t="str">
        <x:v>PTM</x:v>
      </x:c>
      <x:c r="B109" t="str">
        <x:v>NMOS</x:v>
      </x:c>
      <x:c r="C109" s="97" t="n">
        <x:v>45</x:v>
      </x:c>
      <x:c r="D109" s="97" t="str">
        <x:v>HP</x:v>
      </x:c>
      <x:c r="E109" s="99" t="n">
        <x:v>1</x:v>
      </x:c>
      <x:c r="F109" s="99" t="n">
        <x:v>0.045</x:v>
      </x:c>
      <x:c r="G109" s="99" t="n">
        <x:v>25</x:v>
      </x:c>
      <x:c r="H109" s="99" t="n">
        <x:v>0.05</x:v>
      </x:c>
      <x:c r="I109" s="99" t="n">
        <x:v>0.3350000000000003</x:v>
      </x:c>
      <x:c r="J109" s="98" t="n">
        <x:v>0.000002874383501637691</x:v>
      </x:c>
      <x:c r="K109" t="str">
        <x:v>low_vds</x:v>
      </x:c>
      <x:c r="L109" t="str">
        <x:v>low_drain_bias</x:v>
      </x:c>
      <x:c r="M109" t="n">
        <x:v>1</x:v>
      </x:c>
      <x:c r="N109" t="str">
        <x:v>simulation</x:v>
      </x:c>
      <x:c r="O109" t="str">
        <x:v>ngspice</x:v>
      </x:c>
      <x:c r="P109" t="str">
        <x:v>c9ed2e513523c57a76912a35b2860cb85e4aaa3402b69757d84efa9cc2fb8410</x:v>
      </x:c>
      <x:c r="Q109" t="str">
        <x:v>data/raw/ptm45_hp_vds_0p05v_raw.txt</x:v>
      </x:c>
    </x:row>
    <x:row r="110">
      <x:c r="A110" t="str">
        <x:v>PTM</x:v>
      </x:c>
      <x:c r="B110" t="str">
        <x:v>NMOS</x:v>
      </x:c>
      <x:c r="C110" s="97" t="n">
        <x:v>45</x:v>
      </x:c>
      <x:c r="D110" s="97" t="str">
        <x:v>HP</x:v>
      </x:c>
      <x:c r="E110" s="99" t="n">
        <x:v>1</x:v>
      </x:c>
      <x:c r="F110" s="99" t="n">
        <x:v>0.045</x:v>
      </x:c>
      <x:c r="G110" s="99" t="n">
        <x:v>25</x:v>
      </x:c>
      <x:c r="H110" s="99" t="n">
        <x:v>0.05</x:v>
      </x:c>
      <x:c r="I110" s="99" t="n">
        <x:v>0.3400000000000003</x:v>
      </x:c>
      <x:c r="J110" s="98" t="n">
        <x:v>0.000003213933925093163</x:v>
      </x:c>
      <x:c r="K110" t="str">
        <x:v>low_vds</x:v>
      </x:c>
      <x:c r="L110" t="str">
        <x:v>low_drain_bias</x:v>
      </x:c>
      <x:c r="M110" t="n">
        <x:v>1</x:v>
      </x:c>
      <x:c r="N110" t="str">
        <x:v>simulation</x:v>
      </x:c>
      <x:c r="O110" t="str">
        <x:v>ngspice</x:v>
      </x:c>
      <x:c r="P110" t="str">
        <x:v>c9ed2e513523c57a76912a35b2860cb85e4aaa3402b69757d84efa9cc2fb8410</x:v>
      </x:c>
      <x:c r="Q110" t="str">
        <x:v>data/raw/ptm45_hp_vds_0p05v_raw.txt</x:v>
      </x:c>
    </x:row>
    <x:row r="111">
      <x:c r="A111" t="str">
        <x:v>PTM</x:v>
      </x:c>
      <x:c r="B111" t="str">
        <x:v>NMOS</x:v>
      </x:c>
      <x:c r="C111" s="97" t="n">
        <x:v>45</x:v>
      </x:c>
      <x:c r="D111" s="97" t="str">
        <x:v>HP</x:v>
      </x:c>
      <x:c r="E111" s="99" t="n">
        <x:v>1</x:v>
      </x:c>
      <x:c r="F111" s="99" t="n">
        <x:v>0.045</x:v>
      </x:c>
      <x:c r="G111" s="99" t="n">
        <x:v>25</x:v>
      </x:c>
      <x:c r="H111" s="99" t="n">
        <x:v>0.05</x:v>
      </x:c>
      <x:c r="I111" s="99" t="n">
        <x:v>0.3450000000000003</x:v>
      </x:c>
      <x:c r="J111" s="98" t="n">
        <x:v>0.000003589867156657014</x:v>
      </x:c>
      <x:c r="K111" t="str">
        <x:v>low_vds</x:v>
      </x:c>
      <x:c r="L111" t="str">
        <x:v>low_drain_bias</x:v>
      </x:c>
      <x:c r="M111" t="n">
        <x:v>1</x:v>
      </x:c>
      <x:c r="N111" t="str">
        <x:v>simulation</x:v>
      </x:c>
      <x:c r="O111" t="str">
        <x:v>ngspice</x:v>
      </x:c>
      <x:c r="P111" t="str">
        <x:v>c9ed2e513523c57a76912a35b2860cb85e4aaa3402b69757d84efa9cc2fb8410</x:v>
      </x:c>
      <x:c r="Q111" t="str">
        <x:v>data/raw/ptm45_hp_vds_0p05v_raw.txt</x:v>
      </x:c>
    </x:row>
    <x:row r="112">
      <x:c r="A112" t="str">
        <x:v>PTM</x:v>
      </x:c>
      <x:c r="B112" t="str">
        <x:v>NMOS</x:v>
      </x:c>
      <x:c r="C112" s="97" t="n">
        <x:v>45</x:v>
      </x:c>
      <x:c r="D112" s="97" t="str">
        <x:v>HP</x:v>
      </x:c>
      <x:c r="E112" s="99" t="n">
        <x:v>1</x:v>
      </x:c>
      <x:c r="F112" s="99" t="n">
        <x:v>0.045</x:v>
      </x:c>
      <x:c r="G112" s="99" t="n">
        <x:v>25</x:v>
      </x:c>
      <x:c r="H112" s="99" t="n">
        <x:v>0.05</x:v>
      </x:c>
      <x:c r="I112" s="99" t="n">
        <x:v>0.3500000000000003</x:v>
      </x:c>
      <x:c r="J112" s="98" t="n">
        <x:v>0.000004005486746345318</x:v>
      </x:c>
      <x:c r="K112" t="str">
        <x:v>low_vds</x:v>
      </x:c>
      <x:c r="L112" t="str">
        <x:v>low_drain_bias</x:v>
      </x:c>
      <x:c r="M112" t="n">
        <x:v>1</x:v>
      </x:c>
      <x:c r="N112" t="str">
        <x:v>simulation</x:v>
      </x:c>
      <x:c r="O112" t="str">
        <x:v>ngspice</x:v>
      </x:c>
      <x:c r="P112" t="str">
        <x:v>c9ed2e513523c57a76912a35b2860cb85e4aaa3402b69757d84efa9cc2fb8410</x:v>
      </x:c>
      <x:c r="Q112" t="str">
        <x:v>data/raw/ptm45_hp_vds_0p05v_raw.txt</x:v>
      </x:c>
    </x:row>
    <x:row r="113">
      <x:c r="A113" t="str">
        <x:v>PTM</x:v>
      </x:c>
      <x:c r="B113" t="str">
        <x:v>NMOS</x:v>
      </x:c>
      <x:c r="C113" s="97" t="n">
        <x:v>45</x:v>
      </x:c>
      <x:c r="D113" s="97" t="str">
        <x:v>HP</x:v>
      </x:c>
      <x:c r="E113" s="99" t="n">
        <x:v>1</x:v>
      </x:c>
      <x:c r="F113" s="99" t="n">
        <x:v>0.045</x:v>
      </x:c>
      <x:c r="G113" s="99" t="n">
        <x:v>25</x:v>
      </x:c>
      <x:c r="H113" s="99" t="n">
        <x:v>0.05</x:v>
      </x:c>
      <x:c r="I113" s="99" t="n">
        <x:v>0.3550000000000003</x:v>
      </x:c>
      <x:c r="J113" s="98" t="n">
        <x:v>0.000004464299884379594</x:v>
      </x:c>
      <x:c r="K113" t="str">
        <x:v>low_vds</x:v>
      </x:c>
      <x:c r="L113" t="str">
        <x:v>low_drain_bias</x:v>
      </x:c>
      <x:c r="M113" t="n">
        <x:v>1</x:v>
      </x:c>
      <x:c r="N113" t="str">
        <x:v>simulation</x:v>
      </x:c>
      <x:c r="O113" t="str">
        <x:v>ngspice</x:v>
      </x:c>
      <x:c r="P113" t="str">
        <x:v>c9ed2e513523c57a76912a35b2860cb85e4aaa3402b69757d84efa9cc2fb8410</x:v>
      </x:c>
      <x:c r="Q113" t="str">
        <x:v>data/raw/ptm45_hp_vds_0p05v_raw.txt</x:v>
      </x:c>
    </x:row>
    <x:row r="114">
      <x:c r="A114" t="str">
        <x:v>PTM</x:v>
      </x:c>
      <x:c r="B114" t="str">
        <x:v>NMOS</x:v>
      </x:c>
      <x:c r="C114" s="97" t="n">
        <x:v>45</x:v>
      </x:c>
      <x:c r="D114" s="97" t="str">
        <x:v>HP</x:v>
      </x:c>
      <x:c r="E114" s="99" t="n">
        <x:v>1</x:v>
      </x:c>
      <x:c r="F114" s="99" t="n">
        <x:v>0.045</x:v>
      </x:c>
      <x:c r="G114" s="99" t="n">
        <x:v>25</x:v>
      </x:c>
      <x:c r="H114" s="99" t="n">
        <x:v>0.05</x:v>
      </x:c>
      <x:c r="I114" s="99" t="n">
        <x:v>0.3600000000000003</x:v>
      </x:c>
      <x:c r="J114" s="98" t="n">
        <x:v>0.000004970013877354044</x:v>
      </x:c>
      <x:c r="K114" t="str">
        <x:v>low_vds</x:v>
      </x:c>
      <x:c r="L114" t="str">
        <x:v>low_drain_bias</x:v>
      </x:c>
      <x:c r="M114" t="n">
        <x:v>1</x:v>
      </x:c>
      <x:c r="N114" t="str">
        <x:v>simulation</x:v>
      </x:c>
      <x:c r="O114" t="str">
        <x:v>ngspice</x:v>
      </x:c>
      <x:c r="P114" t="str">
        <x:v>c9ed2e513523c57a76912a35b2860cb85e4aaa3402b69757d84efa9cc2fb8410</x:v>
      </x:c>
      <x:c r="Q114" t="str">
        <x:v>data/raw/ptm45_hp_vds_0p05v_raw.txt</x:v>
      </x:c>
    </x:row>
    <x:row r="115">
      <x:c r="A115" t="str">
        <x:v>PTM</x:v>
      </x:c>
      <x:c r="B115" t="str">
        <x:v>NMOS</x:v>
      </x:c>
      <x:c r="C115" s="97" t="n">
        <x:v>45</x:v>
      </x:c>
      <x:c r="D115" s="97" t="str">
        <x:v>HP</x:v>
      </x:c>
      <x:c r="E115" s="99" t="n">
        <x:v>1</x:v>
      </x:c>
      <x:c r="F115" s="99" t="n">
        <x:v>0.045</x:v>
      </x:c>
      <x:c r="G115" s="99" t="n">
        <x:v>25</x:v>
      </x:c>
      <x:c r="H115" s="99" t="n">
        <x:v>0.05</x:v>
      </x:c>
      <x:c r="I115" s="99" t="n">
        <x:v>0.3650000000000003</x:v>
      </x:c>
      <x:c r="J115" s="98" t="n">
        <x:v>0.000005526526822895607</x:v>
      </x:c>
      <x:c r="K115" t="str">
        <x:v>low_vds</x:v>
      </x:c>
      <x:c r="L115" t="str">
        <x:v>low_drain_bias</x:v>
      </x:c>
      <x:c r="M115" t="n">
        <x:v>1</x:v>
      </x:c>
      <x:c r="N115" t="str">
        <x:v>simulation</x:v>
      </x:c>
      <x:c r="O115" t="str">
        <x:v>ngspice</x:v>
      </x:c>
      <x:c r="P115" t="str">
        <x:v>c9ed2e513523c57a76912a35b2860cb85e4aaa3402b69757d84efa9cc2fb8410</x:v>
      </x:c>
      <x:c r="Q115" t="str">
        <x:v>data/raw/ptm45_hp_vds_0p05v_raw.txt</x:v>
      </x:c>
    </x:row>
    <x:row r="116">
      <x:c r="A116" t="str">
        <x:v>PTM</x:v>
      </x:c>
      <x:c r="B116" t="str">
        <x:v>NMOS</x:v>
      </x:c>
      <x:c r="C116" s="97" t="n">
        <x:v>45</x:v>
      </x:c>
      <x:c r="D116" s="97" t="str">
        <x:v>HP</x:v>
      </x:c>
      <x:c r="E116" s="99" t="n">
        <x:v>1</x:v>
      </x:c>
      <x:c r="F116" s="99" t="n">
        <x:v>0.045</x:v>
      </x:c>
      <x:c r="G116" s="99" t="n">
        <x:v>25</x:v>
      </x:c>
      <x:c r="H116" s="99" t="n">
        <x:v>0.05</x:v>
      </x:c>
      <x:c r="I116" s="99" t="n">
        <x:v>0.3700000000000003</x:v>
      </x:c>
      <x:c r="J116" s="98" t="n">
        <x:v>0.000006137913511454419</x:v>
      </x:c>
      <x:c r="K116" t="str">
        <x:v>low_vds</x:v>
      </x:c>
      <x:c r="L116" t="str">
        <x:v>low_drain_bias</x:v>
      </x:c>
      <x:c r="M116" t="n">
        <x:v>1</x:v>
      </x:c>
      <x:c r="N116" t="str">
        <x:v>simulation</x:v>
      </x:c>
      <x:c r="O116" t="str">
        <x:v>ngspice</x:v>
      </x:c>
      <x:c r="P116" t="str">
        <x:v>c9ed2e513523c57a76912a35b2860cb85e4aaa3402b69757d84efa9cc2fb8410</x:v>
      </x:c>
      <x:c r="Q116" t="str">
        <x:v>data/raw/ptm45_hp_vds_0p05v_raw.txt</x:v>
      </x:c>
    </x:row>
    <x:row r="117">
      <x:c r="A117" t="str">
        <x:v>PTM</x:v>
      </x:c>
      <x:c r="B117" t="str">
        <x:v>NMOS</x:v>
      </x:c>
      <x:c r="C117" s="97" t="n">
        <x:v>45</x:v>
      </x:c>
      <x:c r="D117" s="97" t="str">
        <x:v>HP</x:v>
      </x:c>
      <x:c r="E117" s="99" t="n">
        <x:v>1</x:v>
      </x:c>
      <x:c r="F117" s="99" t="n">
        <x:v>0.045</x:v>
      </x:c>
      <x:c r="G117" s="99" t="n">
        <x:v>25</x:v>
      </x:c>
      <x:c r="H117" s="99" t="n">
        <x:v>0.05</x:v>
      </x:c>
      <x:c r="I117" s="99" t="n">
        <x:v>0.3750000000000003</x:v>
      </x:c>
      <x:c r="J117" s="98" t="n">
        <x:v>0.000006808405532977283</x:v>
      </x:c>
      <x:c r="K117" t="str">
        <x:v>low_vds</x:v>
      </x:c>
      <x:c r="L117" t="str">
        <x:v>low_drain_bias</x:v>
      </x:c>
      <x:c r="M117" t="n">
        <x:v>1</x:v>
      </x:c>
      <x:c r="N117" t="str">
        <x:v>simulation</x:v>
      </x:c>
      <x:c r="O117" t="str">
        <x:v>ngspice</x:v>
      </x:c>
      <x:c r="P117" t="str">
        <x:v>c9ed2e513523c57a76912a35b2860cb85e4aaa3402b69757d84efa9cc2fb8410</x:v>
      </x:c>
      <x:c r="Q117" t="str">
        <x:v>data/raw/ptm45_hp_vds_0p05v_raw.txt</x:v>
      </x:c>
    </x:row>
    <x:row r="118">
      <x:c r="A118" t="str">
        <x:v>PTM</x:v>
      </x:c>
      <x:c r="B118" t="str">
        <x:v>NMOS</x:v>
      </x:c>
      <x:c r="C118" s="97" t="n">
        <x:v>45</x:v>
      </x:c>
      <x:c r="D118" s="97" t="str">
        <x:v>HP</x:v>
      </x:c>
      <x:c r="E118" s="99" t="n">
        <x:v>1</x:v>
      </x:c>
      <x:c r="F118" s="99" t="n">
        <x:v>0.045</x:v>
      </x:c>
      <x:c r="G118" s="99" t="n">
        <x:v>25</x:v>
      </x:c>
      <x:c r="H118" s="99" t="n">
        <x:v>0.05</x:v>
      </x:c>
      <x:c r="I118" s="99" t="n">
        <x:v>0.3800000000000003</x:v>
      </x:c>
      <x:c r="J118" s="98" t="n">
        <x:v>0.000007542364712209429</x:v>
      </x:c>
      <x:c r="K118" t="str">
        <x:v>low_vds</x:v>
      </x:c>
      <x:c r="L118" t="str">
        <x:v>low_drain_bias</x:v>
      </x:c>
      <x:c r="M118" t="n">
        <x:v>1</x:v>
      </x:c>
      <x:c r="N118" t="str">
        <x:v>simulation</x:v>
      </x:c>
      <x:c r="O118" t="str">
        <x:v>ngspice</x:v>
      </x:c>
      <x:c r="P118" t="str">
        <x:v>c9ed2e513523c57a76912a35b2860cb85e4aaa3402b69757d84efa9cc2fb8410</x:v>
      </x:c>
      <x:c r="Q118" t="str">
        <x:v>data/raw/ptm45_hp_vds_0p05v_raw.txt</x:v>
      </x:c>
    </x:row>
    <x:row r="119">
      <x:c r="A119" t="str">
        <x:v>PTM</x:v>
      </x:c>
      <x:c r="B119" t="str">
        <x:v>NMOS</x:v>
      </x:c>
      <x:c r="C119" s="97" t="n">
        <x:v>45</x:v>
      </x:c>
      <x:c r="D119" s="97" t="str">
        <x:v>HP</x:v>
      </x:c>
      <x:c r="E119" s="99" t="n">
        <x:v>1</x:v>
      </x:c>
      <x:c r="F119" s="99" t="n">
        <x:v>0.045</x:v>
      </x:c>
      <x:c r="G119" s="99" t="n">
        <x:v>25</x:v>
      </x:c>
      <x:c r="H119" s="99" t="n">
        <x:v>0.05</x:v>
      </x:c>
      <x:c r="I119" s="99" t="n">
        <x:v>0.3850000000000003</x:v>
      </x:c>
      <x:c r="J119" s="98" t="n">
        <x:v>0.000008344249149020456</x:v>
      </x:c>
      <x:c r="K119" t="str">
        <x:v>low_vds</x:v>
      </x:c>
      <x:c r="L119" t="str">
        <x:v>low_drain_bias</x:v>
      </x:c>
      <x:c r="M119" t="n">
        <x:v>1</x:v>
      </x:c>
      <x:c r="N119" t="str">
        <x:v>simulation</x:v>
      </x:c>
      <x:c r="O119" t="str">
        <x:v>ngspice</x:v>
      </x:c>
      <x:c r="P119" t="str">
        <x:v>c9ed2e513523c57a76912a35b2860cb85e4aaa3402b69757d84efa9cc2fb8410</x:v>
      </x:c>
      <x:c r="Q119" t="str">
        <x:v>data/raw/ptm45_hp_vds_0p05v_raw.txt</x:v>
      </x:c>
    </x:row>
    <x:row r="120">
      <x:c r="A120" t="str">
        <x:v>PTM</x:v>
      </x:c>
      <x:c r="B120" t="str">
        <x:v>NMOS</x:v>
      </x:c>
      <x:c r="C120" s="97" t="n">
        <x:v>45</x:v>
      </x:c>
      <x:c r="D120" s="97" t="str">
        <x:v>HP</x:v>
      </x:c>
      <x:c r="E120" s="99" t="n">
        <x:v>1</x:v>
      </x:c>
      <x:c r="F120" s="99" t="n">
        <x:v>0.045</x:v>
      </x:c>
      <x:c r="G120" s="99" t="n">
        <x:v>25</x:v>
      </x:c>
      <x:c r="H120" s="99" t="n">
        <x:v>0.05</x:v>
      </x:c>
      <x:c r="I120" s="99" t="n">
        <x:v>0.3900000000000003</x:v>
      </x:c>
      <x:c r="J120" s="98" t="n">
        <x:v>0.000009218571267058842</x:v>
      </x:c>
      <x:c r="K120" t="str">
        <x:v>low_vds</x:v>
      </x:c>
      <x:c r="L120" t="str">
        <x:v>low_drain_bias</x:v>
      </x:c>
      <x:c r="M120" t="n">
        <x:v>1</x:v>
      </x:c>
      <x:c r="N120" t="str">
        <x:v>simulation</x:v>
      </x:c>
      <x:c r="O120" t="str">
        <x:v>ngspice</x:v>
      </x:c>
      <x:c r="P120" t="str">
        <x:v>c9ed2e513523c57a76912a35b2860cb85e4aaa3402b69757d84efa9cc2fb8410</x:v>
      </x:c>
      <x:c r="Q120" t="str">
        <x:v>data/raw/ptm45_hp_vds_0p05v_raw.txt</x:v>
      </x:c>
    </x:row>
    <x:row r="121">
      <x:c r="A121" t="str">
        <x:v>PTM</x:v>
      </x:c>
      <x:c r="B121" t="str">
        <x:v>NMOS</x:v>
      </x:c>
      <x:c r="C121" s="97" t="n">
        <x:v>45</x:v>
      </x:c>
      <x:c r="D121" s="97" t="str">
        <x:v>HP</x:v>
      </x:c>
      <x:c r="E121" s="99" t="n">
        <x:v>1</x:v>
      </x:c>
      <x:c r="F121" s="99" t="n">
        <x:v>0.045</x:v>
      </x:c>
      <x:c r="G121" s="99" t="n">
        <x:v>25</x:v>
      </x:c>
      <x:c r="H121" s="99" t="n">
        <x:v>0.05</x:v>
      </x:c>
      <x:c r="I121" s="99" t="n">
        <x:v>0.3950000000000004</x:v>
      </x:c>
      <x:c r="J121" s="98" t="n">
        <x:v>0.00001016984747146978</x:v>
      </x:c>
      <x:c r="K121" t="str">
        <x:v>low_vds</x:v>
      </x:c>
      <x:c r="L121" t="str">
        <x:v>low_drain_bias</x:v>
      </x:c>
      <x:c r="M121" t="n">
        <x:v>1</x:v>
      </x:c>
      <x:c r="N121" t="str">
        <x:v>simulation</x:v>
      </x:c>
      <x:c r="O121" t="str">
        <x:v>ngspice</x:v>
      </x:c>
      <x:c r="P121" t="str">
        <x:v>c9ed2e513523c57a76912a35b2860cb85e4aaa3402b69757d84efa9cc2fb8410</x:v>
      </x:c>
      <x:c r="Q121" t="str">
        <x:v>data/raw/ptm45_hp_vds_0p05v_raw.txt</x:v>
      </x:c>
    </x:row>
    <x:row r="122">
      <x:c r="A122" t="str">
        <x:v>PTM</x:v>
      </x:c>
      <x:c r="B122" t="str">
        <x:v>NMOS</x:v>
      </x:c>
      <x:c r="C122" s="97" t="n">
        <x:v>45</x:v>
      </x:c>
      <x:c r="D122" s="97" t="str">
        <x:v>HP</x:v>
      </x:c>
      <x:c r="E122" s="99" t="n">
        <x:v>1</x:v>
      </x:c>
      <x:c r="F122" s="99" t="n">
        <x:v>0.045</x:v>
      </x:c>
      <x:c r="G122" s="99" t="n">
        <x:v>25</x:v>
      </x:c>
      <x:c r="H122" s="99" t="n">
        <x:v>0.05</x:v>
      </x:c>
      <x:c r="I122" s="99" t="n">
        <x:v>0.4000000000000004</x:v>
      </x:c>
      <x:c r="J122" s="98" t="n">
        <x:v>0.00001120253929089014</x:v>
      </x:c>
      <x:c r="K122" t="str">
        <x:v>low_vds</x:v>
      </x:c>
      <x:c r="L122" t="str">
        <x:v>low_drain_bias</x:v>
      </x:c>
      <x:c r="M122" t="n">
        <x:v>1</x:v>
      </x:c>
      <x:c r="N122" t="str">
        <x:v>simulation</x:v>
      </x:c>
      <x:c r="O122" t="str">
        <x:v>ngspice</x:v>
      </x:c>
      <x:c r="P122" t="str">
        <x:v>c9ed2e513523c57a76912a35b2860cb85e4aaa3402b69757d84efa9cc2fb8410</x:v>
      </x:c>
      <x:c r="Q122" t="str">
        <x:v>data/raw/ptm45_hp_vds_0p05v_raw.txt</x:v>
      </x:c>
    </x:row>
    <x:row r="123">
      <x:c r="A123" t="str">
        <x:v>PTM</x:v>
      </x:c>
      <x:c r="B123" t="str">
        <x:v>NMOS</x:v>
      </x:c>
      <x:c r="C123" s="97" t="n">
        <x:v>45</x:v>
      </x:c>
      <x:c r="D123" s="97" t="str">
        <x:v>HP</x:v>
      </x:c>
      <x:c r="E123" s="99" t="n">
        <x:v>1</x:v>
      </x:c>
      <x:c r="F123" s="99" t="n">
        <x:v>0.045</x:v>
      </x:c>
      <x:c r="G123" s="99" t="n">
        <x:v>25</x:v>
      </x:c>
      <x:c r="H123" s="99" t="n">
        <x:v>0.05</x:v>
      </x:c>
      <x:c r="I123" s="99" t="n">
        <x:v>0.4050000000000004</x:v>
      </x:c>
      <x:c r="J123" s="98" t="n">
        <x:v>0.00001232098623203814</x:v>
      </x:c>
      <x:c r="K123" t="str">
        <x:v>low_vds</x:v>
      </x:c>
      <x:c r="L123" t="str">
        <x:v>low_drain_bias</x:v>
      </x:c>
      <x:c r="M123" t="n">
        <x:v>1</x:v>
      </x:c>
      <x:c r="N123" t="str">
        <x:v>simulation</x:v>
      </x:c>
      <x:c r="O123" t="str">
        <x:v>ngspice</x:v>
      </x:c>
      <x:c r="P123" t="str">
        <x:v>c9ed2e513523c57a76912a35b2860cb85e4aaa3402b69757d84efa9cc2fb8410</x:v>
      </x:c>
      <x:c r="Q123" t="str">
        <x:v>data/raw/ptm45_hp_vds_0p05v_raw.txt</x:v>
      </x:c>
    </x:row>
    <x:row r="124">
      <x:c r="A124" t="str">
        <x:v>PTM</x:v>
      </x:c>
      <x:c r="B124" t="str">
        <x:v>NMOS</x:v>
      </x:c>
      <x:c r="C124" s="97" t="n">
        <x:v>45</x:v>
      </x:c>
      <x:c r="D124" s="97" t="str">
        <x:v>HP</x:v>
      </x:c>
      <x:c r="E124" s="99" t="n">
        <x:v>1</x:v>
      </x:c>
      <x:c r="F124" s="99" t="n">
        <x:v>0.045</x:v>
      </x:c>
      <x:c r="G124" s="99" t="n">
        <x:v>25</x:v>
      </x:c>
      <x:c r="H124" s="99" t="n">
        <x:v>0.05</x:v>
      </x:c>
      <x:c r="I124" s="99" t="n">
        <x:v>0.4100000000000004</x:v>
      </x:c>
      <x:c r="J124" s="98" t="n">
        <x:v>0.00001352933100182617</x:v>
      </x:c>
      <x:c r="K124" t="str">
        <x:v>low_vds</x:v>
      </x:c>
      <x:c r="L124" t="str">
        <x:v>low_drain_bias</x:v>
      </x:c>
      <x:c r="M124" t="n">
        <x:v>1</x:v>
      </x:c>
      <x:c r="N124" t="str">
        <x:v>simulation</x:v>
      </x:c>
      <x:c r="O124" t="str">
        <x:v>ngspice</x:v>
      </x:c>
      <x:c r="P124" t="str">
        <x:v>c9ed2e513523c57a76912a35b2860cb85e4aaa3402b69757d84efa9cc2fb8410</x:v>
      </x:c>
      <x:c r="Q124" t="str">
        <x:v>data/raw/ptm45_hp_vds_0p05v_raw.txt</x:v>
      </x:c>
    </x:row>
    <x:row r="125">
      <x:c r="A125" t="str">
        <x:v>PTM</x:v>
      </x:c>
      <x:c r="B125" t="str">
        <x:v>NMOS</x:v>
      </x:c>
      <x:c r="C125" s="97" t="n">
        <x:v>45</x:v>
      </x:c>
      <x:c r="D125" s="97" t="str">
        <x:v>HP</x:v>
      </x:c>
      <x:c r="E125" s="99" t="n">
        <x:v>1</x:v>
      </x:c>
      <x:c r="F125" s="99" t="n">
        <x:v>0.045</x:v>
      </x:c>
      <x:c r="G125" s="99" t="n">
        <x:v>25</x:v>
      </x:c>
      <x:c r="H125" s="99" t="n">
        <x:v>0.05</x:v>
      </x:c>
      <x:c r="I125" s="99" t="n">
        <x:v>0.4150000000000004</x:v>
      </x:c>
      <x:c r="J125" s="98" t="n">
        <x:v>0.00001483143823862635</x:v>
      </x:c>
      <x:c r="K125" t="str">
        <x:v>low_vds</x:v>
      </x:c>
      <x:c r="L125" t="str">
        <x:v>low_drain_bias</x:v>
      </x:c>
      <x:c r="M125" t="n">
        <x:v>1</x:v>
      </x:c>
      <x:c r="N125" t="str">
        <x:v>simulation</x:v>
      </x:c>
      <x:c r="O125" t="str">
        <x:v>ngspice</x:v>
      </x:c>
      <x:c r="P125" t="str">
        <x:v>c9ed2e513523c57a76912a35b2860cb85e4aaa3402b69757d84efa9cc2fb8410</x:v>
      </x:c>
      <x:c r="Q125" t="str">
        <x:v>data/raw/ptm45_hp_vds_0p05v_raw.txt</x:v>
      </x:c>
    </x:row>
    <x:row r="126">
      <x:c r="A126" t="str">
        <x:v>PTM</x:v>
      </x:c>
      <x:c r="B126" t="str">
        <x:v>NMOS</x:v>
      </x:c>
      <x:c r="C126" s="97" t="n">
        <x:v>45</x:v>
      </x:c>
      <x:c r="D126" s="97" t="str">
        <x:v>HP</x:v>
      </x:c>
      <x:c r="E126" s="99" t="n">
        <x:v>1</x:v>
      </x:c>
      <x:c r="F126" s="99" t="n">
        <x:v>0.045</x:v>
      </x:c>
      <x:c r="G126" s="99" t="n">
        <x:v>25</x:v>
      </x:c>
      <x:c r="H126" s="99" t="n">
        <x:v>0.05</x:v>
      </x:c>
      <x:c r="I126" s="99" t="n">
        <x:v>0.4200000000000004</x:v>
      </x:c>
      <x:c r="J126" s="98" t="n">
        <x:v>0.00001623080841842988</x:v>
      </x:c>
      <x:c r="K126" t="str">
        <x:v>low_vds</x:v>
      </x:c>
      <x:c r="L126" t="str">
        <x:v>low_drain_bias</x:v>
      </x:c>
      <x:c r="M126" t="n">
        <x:v>1</x:v>
      </x:c>
      <x:c r="N126" t="str">
        <x:v>simulation</x:v>
      </x:c>
      <x:c r="O126" t="str">
        <x:v>ngspice</x:v>
      </x:c>
      <x:c r="P126" t="str">
        <x:v>c9ed2e513523c57a76912a35b2860cb85e4aaa3402b69757d84efa9cc2fb8410</x:v>
      </x:c>
      <x:c r="Q126" t="str">
        <x:v>data/raw/ptm45_hp_vds_0p05v_raw.txt</x:v>
      </x:c>
    </x:row>
    <x:row r="127">
      <x:c r="A127" t="str">
        <x:v>PTM</x:v>
      </x:c>
      <x:c r="B127" t="str">
        <x:v>NMOS</x:v>
      </x:c>
      <x:c r="C127" s="97" t="n">
        <x:v>45</x:v>
      </x:c>
      <x:c r="D127" s="97" t="str">
        <x:v>HP</x:v>
      </x:c>
      <x:c r="E127" s="99" t="n">
        <x:v>1</x:v>
      </x:c>
      <x:c r="F127" s="99" t="n">
        <x:v>0.045</x:v>
      </x:c>
      <x:c r="G127" s="99" t="n">
        <x:v>25</x:v>
      </x:c>
      <x:c r="H127" s="99" t="n">
        <x:v>0.05</x:v>
      </x:c>
      <x:c r="I127" s="99" t="n">
        <x:v>0.4250000000000004</x:v>
      </x:c>
      <x:c r="J127" s="98" t="n">
        <x:v>0.00001773048913094278</x:v>
      </x:c>
      <x:c r="K127" t="str">
        <x:v>low_vds</x:v>
      </x:c>
      <x:c r="L127" t="str">
        <x:v>low_drain_bias</x:v>
      </x:c>
      <x:c r="M127" t="n">
        <x:v>1</x:v>
      </x:c>
      <x:c r="N127" t="str">
        <x:v>simulation</x:v>
      </x:c>
      <x:c r="O127" t="str">
        <x:v>ngspice</x:v>
      </x:c>
      <x:c r="P127" t="str">
        <x:v>c9ed2e513523c57a76912a35b2860cb85e4aaa3402b69757d84efa9cc2fb8410</x:v>
      </x:c>
      <x:c r="Q127" t="str">
        <x:v>data/raw/ptm45_hp_vds_0p05v_raw.txt</x:v>
      </x:c>
    </x:row>
    <x:row r="128">
      <x:c r="A128" t="str">
        <x:v>PTM</x:v>
      </x:c>
      <x:c r="B128" t="str">
        <x:v>NMOS</x:v>
      </x:c>
      <x:c r="C128" s="97" t="n">
        <x:v>45</x:v>
      </x:c>
      <x:c r="D128" s="97" t="str">
        <x:v>HP</x:v>
      </x:c>
      <x:c r="E128" s="99" t="n">
        <x:v>1</x:v>
      </x:c>
      <x:c r="F128" s="99" t="n">
        <x:v>0.045</x:v>
      </x:c>
      <x:c r="G128" s="99" t="n">
        <x:v>25</x:v>
      </x:c>
      <x:c r="H128" s="99" t="n">
        <x:v>0.05</x:v>
      </x:c>
      <x:c r="I128" s="99" t="n">
        <x:v>0.4300000000000004</x:v>
      </x:c>
      <x:c r="J128" s="98" t="n">
        <x:v>0.00001933298641457274</x:v>
      </x:c>
      <x:c r="K128" t="str">
        <x:v>low_vds</x:v>
      </x:c>
      <x:c r="L128" t="str">
        <x:v>low_drain_bias</x:v>
      </x:c>
      <x:c r="M128" t="n">
        <x:v>1</x:v>
      </x:c>
      <x:c r="N128" t="str">
        <x:v>simulation</x:v>
      </x:c>
      <x:c r="O128" t="str">
        <x:v>ngspice</x:v>
      </x:c>
      <x:c r="P128" t="str">
        <x:v>c9ed2e513523c57a76912a35b2860cb85e4aaa3402b69757d84efa9cc2fb8410</x:v>
      </x:c>
      <x:c r="Q128" t="str">
        <x:v>data/raw/ptm45_hp_vds_0p05v_raw.txt</x:v>
      </x:c>
    </x:row>
    <x:row r="129">
      <x:c r="A129" t="str">
        <x:v>PTM</x:v>
      </x:c>
      <x:c r="B129" t="str">
        <x:v>NMOS</x:v>
      </x:c>
      <x:c r="C129" s="97" t="n">
        <x:v>45</x:v>
      </x:c>
      <x:c r="D129" s="97" t="str">
        <x:v>HP</x:v>
      </x:c>
      <x:c r="E129" s="99" t="n">
        <x:v>1</x:v>
      </x:c>
      <x:c r="F129" s="99" t="n">
        <x:v>0.045</x:v>
      </x:c>
      <x:c r="G129" s="99" t="n">
        <x:v>25</x:v>
      </x:c>
      <x:c r="H129" s="99" t="n">
        <x:v>0.05</x:v>
      </x:c>
      <x:c r="I129" s="99" t="n">
        <x:v>0.4350000000000004</x:v>
      </x:c>
      <x:c r="J129" s="98" t="n">
        <x:v>0.0000210401792511343</x:v>
      </x:c>
      <x:c r="K129" t="str">
        <x:v>low_vds</x:v>
      </x:c>
      <x:c r="L129" t="str">
        <x:v>low_drain_bias</x:v>
      </x:c>
      <x:c r="M129" t="n">
        <x:v>1</x:v>
      </x:c>
      <x:c r="N129" t="str">
        <x:v>simulation</x:v>
      </x:c>
      <x:c r="O129" t="str">
        <x:v>ngspice</x:v>
      </x:c>
      <x:c r="P129" t="str">
        <x:v>c9ed2e513523c57a76912a35b2860cb85e4aaa3402b69757d84efa9cc2fb8410</x:v>
      </x:c>
      <x:c r="Q129" t="str">
        <x:v>data/raw/ptm45_hp_vds_0p05v_raw.txt</x:v>
      </x:c>
    </x:row>
    <x:row r="130">
      <x:c r="A130" t="str">
        <x:v>PTM</x:v>
      </x:c>
      <x:c r="B130" t="str">
        <x:v>NMOS</x:v>
      </x:c>
      <x:c r="C130" s="97" t="n">
        <x:v>45</x:v>
      </x:c>
      <x:c r="D130" s="97" t="str">
        <x:v>HP</x:v>
      </x:c>
      <x:c r="E130" s="99" t="n">
        <x:v>1</x:v>
      </x:c>
      <x:c r="F130" s="99" t="n">
        <x:v>0.045</x:v>
      </x:c>
      <x:c r="G130" s="99" t="n">
        <x:v>25</x:v>
      </x:c>
      <x:c r="H130" s="99" t="n">
        <x:v>0.05</x:v>
      </x:c>
      <x:c r="I130" s="99" t="n">
        <x:v>0.4400000000000004</x:v>
      </x:c>
      <x:c r="J130" s="98" t="n">
        <x:v>0.00002285324060237156</x:v>
      </x:c>
      <x:c r="K130" t="str">
        <x:v>low_vds</x:v>
      </x:c>
      <x:c r="L130" t="str">
        <x:v>low_drain_bias</x:v>
      </x:c>
      <x:c r="M130" t="n">
        <x:v>1</x:v>
      </x:c>
      <x:c r="N130" t="str">
        <x:v>simulation</x:v>
      </x:c>
      <x:c r="O130" t="str">
        <x:v>ngspice</x:v>
      </x:c>
      <x:c r="P130" t="str">
        <x:v>c9ed2e513523c57a76912a35b2860cb85e4aaa3402b69757d84efa9cc2fb8410</x:v>
      </x:c>
      <x:c r="Q130" t="str">
        <x:v>data/raw/ptm45_hp_vds_0p05v_raw.txt</x:v>
      </x:c>
    </x:row>
    <x:row r="131">
      <x:c r="A131" t="str">
        <x:v>PTM</x:v>
      </x:c>
      <x:c r="B131" t="str">
        <x:v>NMOS</x:v>
      </x:c>
      <x:c r="C131" s="97" t="n">
        <x:v>45</x:v>
      </x:c>
      <x:c r="D131" s="97" t="str">
        <x:v>HP</x:v>
      </x:c>
      <x:c r="E131" s="99" t="n">
        <x:v>1</x:v>
      </x:c>
      <x:c r="F131" s="99" t="n">
        <x:v>0.045</x:v>
      </x:c>
      <x:c r="G131" s="99" t="n">
        <x:v>25</x:v>
      </x:c>
      <x:c r="H131" s="99" t="n">
        <x:v>0.05</x:v>
      </x:c>
      <x:c r="I131" s="99" t="n">
        <x:v>0.4450000000000004</x:v>
      </x:c>
      <x:c r="J131" s="98" t="n">
        <x:v>0.00002477256847584708</x:v>
      </x:c>
      <x:c r="K131" t="str">
        <x:v>low_vds</x:v>
      </x:c>
      <x:c r="L131" t="str">
        <x:v>low_drain_bias</x:v>
      </x:c>
      <x:c r="M131" t="n">
        <x:v>1</x:v>
      </x:c>
      <x:c r="N131" t="str">
        <x:v>simulation</x:v>
      </x:c>
      <x:c r="O131" t="str">
        <x:v>ngspice</x:v>
      </x:c>
      <x:c r="P131" t="str">
        <x:v>c9ed2e513523c57a76912a35b2860cb85e4aaa3402b69757d84efa9cc2fb8410</x:v>
      </x:c>
      <x:c r="Q131" t="str">
        <x:v>data/raw/ptm45_hp_vds_0p05v_raw.txt</x:v>
      </x:c>
    </x:row>
    <x:row r="132">
      <x:c r="A132" t="str">
        <x:v>PTM</x:v>
      </x:c>
      <x:c r="B132" t="str">
        <x:v>NMOS</x:v>
      </x:c>
      <x:c r="C132" s="97" t="n">
        <x:v>45</x:v>
      </x:c>
      <x:c r="D132" s="97" t="str">
        <x:v>HP</x:v>
      </x:c>
      <x:c r="E132" s="99" t="n">
        <x:v>1</x:v>
      </x:c>
      <x:c r="F132" s="99" t="n">
        <x:v>0.045</x:v>
      </x:c>
      <x:c r="G132" s="99" t="n">
        <x:v>25</x:v>
      </x:c>
      <x:c r="H132" s="99" t="n">
        <x:v>0.05</x:v>
      </x:c>
      <x:c r="I132" s="99" t="n">
        <x:v>0.4500000000000004</x:v>
      </x:c>
      <x:c r="J132" s="98" t="n">
        <x:v>0.00002679773040172558</x:v>
      </x:c>
      <x:c r="K132" t="str">
        <x:v>low_vds</x:v>
      </x:c>
      <x:c r="L132" t="str">
        <x:v>low_drain_bias</x:v>
      </x:c>
      <x:c r="M132" t="n">
        <x:v>1</x:v>
      </x:c>
      <x:c r="N132" t="str">
        <x:v>simulation</x:v>
      </x:c>
      <x:c r="O132" t="str">
        <x:v>ngspice</x:v>
      </x:c>
      <x:c r="P132" t="str">
        <x:v>c9ed2e513523c57a76912a35b2860cb85e4aaa3402b69757d84efa9cc2fb8410</x:v>
      </x:c>
      <x:c r="Q132" t="str">
        <x:v>data/raw/ptm45_hp_vds_0p05v_raw.txt</x:v>
      </x:c>
    </x:row>
    <x:row r="133">
      <x:c r="A133" t="str">
        <x:v>PTM</x:v>
      </x:c>
      <x:c r="B133" t="str">
        <x:v>NMOS</x:v>
      </x:c>
      <x:c r="C133" s="97" t="n">
        <x:v>45</x:v>
      </x:c>
      <x:c r="D133" s="97" t="str">
        <x:v>HP</x:v>
      </x:c>
      <x:c r="E133" s="99" t="n">
        <x:v>1</x:v>
      </x:c>
      <x:c r="F133" s="99" t="n">
        <x:v>0.045</x:v>
      </x:c>
      <x:c r="G133" s="99" t="n">
        <x:v>25</x:v>
      </x:c>
      <x:c r="H133" s="99" t="n">
        <x:v>0.05</x:v>
      </x:c>
      <x:c r="I133" s="99" t="n">
        <x:v>0.4550000000000004</x:v>
      </x:c>
      <x:c r="J133" s="98" t="n">
        <x:v>0.00002892742436463618</x:v>
      </x:c>
      <x:c r="K133" t="str">
        <x:v>low_vds</x:v>
      </x:c>
      <x:c r="L133" t="str">
        <x:v>low_drain_bias</x:v>
      </x:c>
      <x:c r="M133" t="n">
        <x:v>1</x:v>
      </x:c>
      <x:c r="N133" t="str">
        <x:v>simulation</x:v>
      </x:c>
      <x:c r="O133" t="str">
        <x:v>ngspice</x:v>
      </x:c>
      <x:c r="P133" t="str">
        <x:v>c9ed2e513523c57a76912a35b2860cb85e4aaa3402b69757d84efa9cc2fb8410</x:v>
      </x:c>
      <x:c r="Q133" t="str">
        <x:v>data/raw/ptm45_hp_vds_0p05v_raw.txt</x:v>
      </x:c>
    </x:row>
    <x:row r="134">
      <x:c r="A134" t="str">
        <x:v>PTM</x:v>
      </x:c>
      <x:c r="B134" t="str">
        <x:v>NMOS</x:v>
      </x:c>
      <x:c r="C134" s="97" t="n">
        <x:v>45</x:v>
      </x:c>
      <x:c r="D134" s="97" t="str">
        <x:v>HP</x:v>
      </x:c>
      <x:c r="E134" s="99" t="n">
        <x:v>1</x:v>
      </x:c>
      <x:c r="F134" s="99" t="n">
        <x:v>0.045</x:v>
      </x:c>
      <x:c r="G134" s="99" t="n">
        <x:v>25</x:v>
      </x:c>
      <x:c r="H134" s="99" t="n">
        <x:v>0.05</x:v>
      </x:c>
      <x:c r="I134" s="99" t="n">
        <x:v>0.4600000000000004</x:v>
      </x:c>
      <x:c r="J134" s="98" t="n">
        <x:v>0.00003115945866717469</x:v>
      </x:c>
      <x:c r="K134" t="str">
        <x:v>low_vds</x:v>
      </x:c>
      <x:c r="L134" t="str">
        <x:v>low_drain_bias</x:v>
      </x:c>
      <x:c r="M134" t="n">
        <x:v>1</x:v>
      </x:c>
      <x:c r="N134" t="str">
        <x:v>simulation</x:v>
      </x:c>
      <x:c r="O134" t="str">
        <x:v>ngspice</x:v>
      </x:c>
      <x:c r="P134" t="str">
        <x:v>c9ed2e513523c57a76912a35b2860cb85e4aaa3402b69757d84efa9cc2fb8410</x:v>
      </x:c>
      <x:c r="Q134" t="str">
        <x:v>data/raw/ptm45_hp_vds_0p05v_raw.txt</x:v>
      </x:c>
    </x:row>
    <x:row r="135">
      <x:c r="A135" t="str">
        <x:v>PTM</x:v>
      </x:c>
      <x:c r="B135" t="str">
        <x:v>NMOS</x:v>
      </x:c>
      <x:c r="C135" s="97" t="n">
        <x:v>45</x:v>
      </x:c>
      <x:c r="D135" s="97" t="str">
        <x:v>HP</x:v>
      </x:c>
      <x:c r="E135" s="99" t="n">
        <x:v>1</x:v>
      </x:c>
      <x:c r="F135" s="99" t="n">
        <x:v>0.045</x:v>
      </x:c>
      <x:c r="G135" s="99" t="n">
        <x:v>25</x:v>
      </x:c>
      <x:c r="H135" s="99" t="n">
        <x:v>0.05</x:v>
      </x:c>
      <x:c r="I135" s="99" t="n">
        <x:v>0.4650000000000004</x:v>
      </x:c>
      <x:c r="J135" s="98" t="n">
        <x:v>0.00003349075242864469</x:v>
      </x:c>
      <x:c r="K135" t="str">
        <x:v>low_vds</x:v>
      </x:c>
      <x:c r="L135" t="str">
        <x:v>low_drain_bias</x:v>
      </x:c>
      <x:c r="M135" t="n">
        <x:v>1</x:v>
      </x:c>
      <x:c r="N135" t="str">
        <x:v>simulation</x:v>
      </x:c>
      <x:c r="O135" t="str">
        <x:v>ngspice</x:v>
      </x:c>
      <x:c r="P135" t="str">
        <x:v>c9ed2e513523c57a76912a35b2860cb85e4aaa3402b69757d84efa9cc2fb8410</x:v>
      </x:c>
      <x:c r="Q135" t="str">
        <x:v>data/raw/ptm45_hp_vds_0p05v_raw.txt</x:v>
      </x:c>
    </x:row>
    <x:row r="136">
      <x:c r="A136" t="str">
        <x:v>PTM</x:v>
      </x:c>
      <x:c r="B136" t="str">
        <x:v>NMOS</x:v>
      </x:c>
      <x:c r="C136" s="97" t="n">
        <x:v>45</x:v>
      </x:c>
      <x:c r="D136" s="97" t="str">
        <x:v>HP</x:v>
      </x:c>
      <x:c r="E136" s="99" t="n">
        <x:v>1</x:v>
      </x:c>
      <x:c r="F136" s="99" t="n">
        <x:v>0.045</x:v>
      </x:c>
      <x:c r="G136" s="99" t="n">
        <x:v>25</x:v>
      </x:c>
      <x:c r="H136" s="99" t="n">
        <x:v>0.05</x:v>
      </x:c>
      <x:c r="I136" s="99" t="n">
        <x:v>0.4700000000000004</x:v>
      </x:c>
      <x:c r="J136" s="98" t="n">
        <x:v>0.00003591735749282214</x:v>
      </x:c>
      <x:c r="K136" t="str">
        <x:v>low_vds</x:v>
      </x:c>
      <x:c r="L136" t="str">
        <x:v>low_drain_bias</x:v>
      </x:c>
      <x:c r="M136" t="n">
        <x:v>1</x:v>
      </x:c>
      <x:c r="N136" t="str">
        <x:v>simulation</x:v>
      </x:c>
      <x:c r="O136" t="str">
        <x:v>ngspice</x:v>
      </x:c>
      <x:c r="P136" t="str">
        <x:v>c9ed2e513523c57a76912a35b2860cb85e4aaa3402b69757d84efa9cc2fb8410</x:v>
      </x:c>
      <x:c r="Q136" t="str">
        <x:v>data/raw/ptm45_hp_vds_0p05v_raw.txt</x:v>
      </x:c>
    </x:row>
    <x:row r="137">
      <x:c r="A137" t="str">
        <x:v>PTM</x:v>
      </x:c>
      <x:c r="B137" t="str">
        <x:v>NMOS</x:v>
      </x:c>
      <x:c r="C137" s="97" t="n">
        <x:v>45</x:v>
      </x:c>
      <x:c r="D137" s="97" t="str">
        <x:v>HP</x:v>
      </x:c>
      <x:c r="E137" s="99" t="n">
        <x:v>1</x:v>
      </x:c>
      <x:c r="F137" s="99" t="n">
        <x:v>0.045</x:v>
      </x:c>
      <x:c r="G137" s="99" t="n">
        <x:v>25</x:v>
      </x:c>
      <x:c r="H137" s="99" t="n">
        <x:v>0.05</x:v>
      </x:c>
      <x:c r="I137" s="99" t="n">
        <x:v>0.4750000000000004</x:v>
      </x:c>
      <x:c r="J137" s="98" t="n">
        <x:v>0.00003843450150013138</x:v>
      </x:c>
      <x:c r="K137" t="str">
        <x:v>low_vds</x:v>
      </x:c>
      <x:c r="L137" t="str">
        <x:v>low_drain_bias</x:v>
      </x:c>
      <x:c r="M137" t="n">
        <x:v>1</x:v>
      </x:c>
      <x:c r="N137" t="str">
        <x:v>simulation</x:v>
      </x:c>
      <x:c r="O137" t="str">
        <x:v>ngspice</x:v>
      </x:c>
      <x:c r="P137" t="str">
        <x:v>c9ed2e513523c57a76912a35b2860cb85e4aaa3402b69757d84efa9cc2fb8410</x:v>
      </x:c>
      <x:c r="Q137" t="str">
        <x:v>data/raw/ptm45_hp_vds_0p05v_raw.txt</x:v>
      </x:c>
    </x:row>
    <x:row r="138">
      <x:c r="A138" t="str">
        <x:v>PTM</x:v>
      </x:c>
      <x:c r="B138" t="str">
        <x:v>NMOS</x:v>
      </x:c>
      <x:c r="C138" s="97" t="n">
        <x:v>45</x:v>
      </x:c>
      <x:c r="D138" s="97" t="str">
        <x:v>HP</x:v>
      </x:c>
      <x:c r="E138" s="99" t="n">
        <x:v>1</x:v>
      </x:c>
      <x:c r="F138" s="99" t="n">
        <x:v>0.045</x:v>
      </x:c>
      <x:c r="G138" s="99" t="n">
        <x:v>25</x:v>
      </x:c>
      <x:c r="H138" s="99" t="n">
        <x:v>0.05</x:v>
      </x:c>
      <x:c r="I138" s="99" t="n">
        <x:v>0.4800000000000004</x:v>
      </x:c>
      <x:c r="J138" s="98" t="n">
        <x:v>0.00004103665085332269</x:v>
      </x:c>
      <x:c r="K138" t="str">
        <x:v>low_vds</x:v>
      </x:c>
      <x:c r="L138" t="str">
        <x:v>low_drain_bias</x:v>
      </x:c>
      <x:c r="M138" t="n">
        <x:v>1</x:v>
      </x:c>
      <x:c r="N138" t="str">
        <x:v>simulation</x:v>
      </x:c>
      <x:c r="O138" t="str">
        <x:v>ngspice</x:v>
      </x:c>
      <x:c r="P138" t="str">
        <x:v>c9ed2e513523c57a76912a35b2860cb85e4aaa3402b69757d84efa9cc2fb8410</x:v>
      </x:c>
      <x:c r="Q138" t="str">
        <x:v>data/raw/ptm45_hp_vds_0p05v_raw.txt</x:v>
      </x:c>
    </x:row>
    <x:row r="139">
      <x:c r="A139" t="str">
        <x:v>PTM</x:v>
      </x:c>
      <x:c r="B139" t="str">
        <x:v>NMOS</x:v>
      </x:c>
      <x:c r="C139" s="97" t="n">
        <x:v>45</x:v>
      </x:c>
      <x:c r="D139" s="97" t="str">
        <x:v>HP</x:v>
      </x:c>
      <x:c r="E139" s="99" t="n">
        <x:v>1</x:v>
      </x:c>
      <x:c r="F139" s="99" t="n">
        <x:v>0.045</x:v>
      </x:c>
      <x:c r="G139" s="99" t="n">
        <x:v>25</x:v>
      </x:c>
      <x:c r="H139" s="99" t="n">
        <x:v>0.05</x:v>
      </x:c>
      <x:c r="I139" s="99" t="n">
        <x:v>0.4850000000000004</x:v>
      </x:c>
      <x:c r="J139" s="98" t="n">
        <x:v>0.00004367928364404077</x:v>
      </x:c>
      <x:c r="K139" t="str">
        <x:v>low_vds</x:v>
      </x:c>
      <x:c r="L139" t="str">
        <x:v>low_drain_bias</x:v>
      </x:c>
      <x:c r="M139" t="n">
        <x:v>1</x:v>
      </x:c>
      <x:c r="N139" t="str">
        <x:v>simulation</x:v>
      </x:c>
      <x:c r="O139" t="str">
        <x:v>ngspice</x:v>
      </x:c>
      <x:c r="P139" t="str">
        <x:v>c9ed2e513523c57a76912a35b2860cb85e4aaa3402b69757d84efa9cc2fb8410</x:v>
      </x:c>
      <x:c r="Q139" t="str">
        <x:v>data/raw/ptm45_hp_vds_0p05v_raw.txt</x:v>
      </x:c>
    </x:row>
    <x:row r="140">
      <x:c r="A140" t="str">
        <x:v>PTM</x:v>
      </x:c>
      <x:c r="B140" t="str">
        <x:v>NMOS</x:v>
      </x:c>
      <x:c r="C140" s="97" t="n">
        <x:v>45</x:v>
      </x:c>
      <x:c r="D140" s="97" t="str">
        <x:v>HP</x:v>
      </x:c>
      <x:c r="E140" s="99" t="n">
        <x:v>1</x:v>
      </x:c>
      <x:c r="F140" s="99" t="n">
        <x:v>0.045</x:v>
      </x:c>
      <x:c r="G140" s="99" t="n">
        <x:v>25</x:v>
      </x:c>
      <x:c r="H140" s="99" t="n">
        <x:v>0.05</x:v>
      </x:c>
      <x:c r="I140" s="99" t="n">
        <x:v>0.4900000000000004</x:v>
      </x:c>
      <x:c r="J140" s="98" t="n">
        <x:v>0.00004643570453540612</x:v>
      </x:c>
      <x:c r="K140" t="str">
        <x:v>low_vds</x:v>
      </x:c>
      <x:c r="L140" t="str">
        <x:v>low_drain_bias</x:v>
      </x:c>
      <x:c r="M140" t="n">
        <x:v>1</x:v>
      </x:c>
      <x:c r="N140" t="str">
        <x:v>simulation</x:v>
      </x:c>
      <x:c r="O140" t="str">
        <x:v>ngspice</x:v>
      </x:c>
      <x:c r="P140" t="str">
        <x:v>c9ed2e513523c57a76912a35b2860cb85e4aaa3402b69757d84efa9cc2fb8410</x:v>
      </x:c>
      <x:c r="Q140" t="str">
        <x:v>data/raw/ptm45_hp_vds_0p05v_raw.txt</x:v>
      </x:c>
    </x:row>
    <x:row r="141">
      <x:c r="A141" t="str">
        <x:v>PTM</x:v>
      </x:c>
      <x:c r="B141" t="str">
        <x:v>NMOS</x:v>
      </x:c>
      <x:c r="C141" s="97" t="n">
        <x:v>45</x:v>
      </x:c>
      <x:c r="D141" s="97" t="str">
        <x:v>HP</x:v>
      </x:c>
      <x:c r="E141" s="99" t="n">
        <x:v>1</x:v>
      </x:c>
      <x:c r="F141" s="99" t="n">
        <x:v>0.045</x:v>
      </x:c>
      <x:c r="G141" s="99" t="n">
        <x:v>25</x:v>
      </x:c>
      <x:c r="H141" s="99" t="n">
        <x:v>0.05</x:v>
      </x:c>
      <x:c r="I141" s="99" t="n">
        <x:v>0.4950000000000004</x:v>
      </x:c>
      <x:c r="J141" s="98" t="n">
        <x:v>0.00004925705962443336</x:v>
      </x:c>
      <x:c r="K141" t="str">
        <x:v>low_vds</x:v>
      </x:c>
      <x:c r="L141" t="str">
        <x:v>low_drain_bias</x:v>
      </x:c>
      <x:c r="M141" t="n">
        <x:v>1</x:v>
      </x:c>
      <x:c r="N141" t="str">
        <x:v>simulation</x:v>
      </x:c>
      <x:c r="O141" t="str">
        <x:v>ngspice</x:v>
      </x:c>
      <x:c r="P141" t="str">
        <x:v>c9ed2e513523c57a76912a35b2860cb85e4aaa3402b69757d84efa9cc2fb8410</x:v>
      </x:c>
      <x:c r="Q141" t="str">
        <x:v>data/raw/ptm45_hp_vds_0p05v_raw.txt</x:v>
      </x:c>
    </x:row>
    <x:row r="142">
      <x:c r="A142" t="str">
        <x:v>PTM</x:v>
      </x:c>
      <x:c r="B142" t="str">
        <x:v>NMOS</x:v>
      </x:c>
      <x:c r="C142" s="97" t="n">
        <x:v>45</x:v>
      </x:c>
      <x:c r="D142" s="97" t="str">
        <x:v>HP</x:v>
      </x:c>
      <x:c r="E142" s="99" t="n">
        <x:v>1</x:v>
      </x:c>
      <x:c r="F142" s="99" t="n">
        <x:v>0.045</x:v>
      </x:c>
      <x:c r="G142" s="99" t="n">
        <x:v>25</x:v>
      </x:c>
      <x:c r="H142" s="99" t="n">
        <x:v>0.05</x:v>
      </x:c>
      <x:c r="I142" s="99" t="n">
        <x:v>0.5000000000000004</x:v>
      </x:c>
      <x:c r="J142" s="98" t="n">
        <x:v>0.00005213564732213543</x:v>
      </x:c>
      <x:c r="K142" t="str">
        <x:v>low_vds</x:v>
      </x:c>
      <x:c r="L142" t="str">
        <x:v>low_drain_bias</x:v>
      </x:c>
      <x:c r="M142" t="n">
        <x:v>1</x:v>
      </x:c>
      <x:c r="N142" t="str">
        <x:v>simulation</x:v>
      </x:c>
      <x:c r="O142" t="str">
        <x:v>ngspice</x:v>
      </x:c>
      <x:c r="P142" t="str">
        <x:v>c9ed2e513523c57a76912a35b2860cb85e4aaa3402b69757d84efa9cc2fb8410</x:v>
      </x:c>
      <x:c r="Q142" t="str">
        <x:v>data/raw/ptm45_hp_vds_0p05v_raw.txt</x:v>
      </x:c>
    </x:row>
    <x:row r="143">
      <x:c r="A143" t="str">
        <x:v>PTM</x:v>
      </x:c>
      <x:c r="B143" t="str">
        <x:v>NMOS</x:v>
      </x:c>
      <x:c r="C143" s="97" t="n">
        <x:v>45</x:v>
      </x:c>
      <x:c r="D143" s="97" t="str">
        <x:v>HP</x:v>
      </x:c>
      <x:c r="E143" s="99" t="n">
        <x:v>1</x:v>
      </x:c>
      <x:c r="F143" s="99" t="n">
        <x:v>0.045</x:v>
      </x:c>
      <x:c r="G143" s="99" t="n">
        <x:v>25</x:v>
      </x:c>
      <x:c r="H143" s="99" t="n">
        <x:v>0.05</x:v>
      </x:c>
      <x:c r="I143" s="99" t="n">
        <x:v>0.5050000000000004</x:v>
      </x:c>
      <x:c r="J143" s="98" t="n">
        <x:v>0.00005506351612430246</x:v>
      </x:c>
      <x:c r="K143" t="str">
        <x:v>low_vds</x:v>
      </x:c>
      <x:c r="L143" t="str">
        <x:v>low_drain_bias</x:v>
      </x:c>
      <x:c r="M143" t="n">
        <x:v>1</x:v>
      </x:c>
      <x:c r="N143" t="str">
        <x:v>simulation</x:v>
      </x:c>
      <x:c r="O143" t="str">
        <x:v>ngspice</x:v>
      </x:c>
      <x:c r="P143" t="str">
        <x:v>c9ed2e513523c57a76912a35b2860cb85e4aaa3402b69757d84efa9cc2fb8410</x:v>
      </x:c>
      <x:c r="Q143" t="str">
        <x:v>data/raw/ptm45_hp_vds_0p05v_raw.txt</x:v>
      </x:c>
    </x:row>
    <x:row r="144">
      <x:c r="A144" t="str">
        <x:v>PTM</x:v>
      </x:c>
      <x:c r="B144" t="str">
        <x:v>NMOS</x:v>
      </x:c>
      <x:c r="C144" s="97" t="n">
        <x:v>45</x:v>
      </x:c>
      <x:c r="D144" s="97" t="str">
        <x:v>HP</x:v>
      </x:c>
      <x:c r="E144" s="99" t="n">
        <x:v>1</x:v>
      </x:c>
      <x:c r="F144" s="99" t="n">
        <x:v>0.045</x:v>
      </x:c>
      <x:c r="G144" s="99" t="n">
        <x:v>25</x:v>
      </x:c>
      <x:c r="H144" s="99" t="n">
        <x:v>0.05</x:v>
      </x:c>
      <x:c r="I144" s="99" t="n">
        <x:v>0.5100000000000005</x:v>
      </x:c>
      <x:c r="J144" s="98" t="n">
        <x:v>0.0000580325821912292</x:v>
      </x:c>
      <x:c r="K144" t="str">
        <x:v>low_vds</x:v>
      </x:c>
      <x:c r="L144" t="str">
        <x:v>low_drain_bias</x:v>
      </x:c>
      <x:c r="M144" t="n">
        <x:v>1</x:v>
      </x:c>
      <x:c r="N144" t="str">
        <x:v>simulation</x:v>
      </x:c>
      <x:c r="O144" t="str">
        <x:v>ngspice</x:v>
      </x:c>
      <x:c r="P144" t="str">
        <x:v>c9ed2e513523c57a76912a35b2860cb85e4aaa3402b69757d84efa9cc2fb8410</x:v>
      </x:c>
      <x:c r="Q144" t="str">
        <x:v>data/raw/ptm45_hp_vds_0p05v_raw.txt</x:v>
      </x:c>
    </x:row>
    <x:row r="145">
      <x:c r="A145" t="str">
        <x:v>PTM</x:v>
      </x:c>
      <x:c r="B145" t="str">
        <x:v>NMOS</x:v>
      </x:c>
      <x:c r="C145" s="97" t="n">
        <x:v>45</x:v>
      </x:c>
      <x:c r="D145" s="97" t="str">
        <x:v>HP</x:v>
      </x:c>
      <x:c r="E145" s="99" t="n">
        <x:v>1</x:v>
      </x:c>
      <x:c r="F145" s="99" t="n">
        <x:v>0.045</x:v>
      </x:c>
      <x:c r="G145" s="99" t="n">
        <x:v>25</x:v>
      </x:c>
      <x:c r="H145" s="99" t="n">
        <x:v>0.05</x:v>
      </x:c>
      <x:c r="I145" s="99" t="n">
        <x:v>0.5150000000000005</x:v>
      </x:c>
      <x:c r="J145" s="98" t="n">
        <x:v>0.00006103474239699028</x:v>
      </x:c>
      <x:c r="K145" t="str">
        <x:v>low_vds</x:v>
      </x:c>
      <x:c r="L145" t="str">
        <x:v>low_drain_bias</x:v>
      </x:c>
      <x:c r="M145" t="n">
        <x:v>1</x:v>
      </x:c>
      <x:c r="N145" t="str">
        <x:v>simulation</x:v>
      </x:c>
      <x:c r="O145" t="str">
        <x:v>ngspice</x:v>
      </x:c>
      <x:c r="P145" t="str">
        <x:v>c9ed2e513523c57a76912a35b2860cb85e4aaa3402b69757d84efa9cc2fb8410</x:v>
      </x:c>
      <x:c r="Q145" t="str">
        <x:v>data/raw/ptm45_hp_vds_0p05v_raw.txt</x:v>
      </x:c>
    </x:row>
    <x:row r="146">
      <x:c r="A146" t="str">
        <x:v>PTM</x:v>
      </x:c>
      <x:c r="B146" t="str">
        <x:v>NMOS</x:v>
      </x:c>
      <x:c r="C146" s="97" t="n">
        <x:v>45</x:v>
      </x:c>
      <x:c r="D146" s="97" t="str">
        <x:v>HP</x:v>
      </x:c>
      <x:c r="E146" s="99" t="n">
        <x:v>1</x:v>
      </x:c>
      <x:c r="F146" s="99" t="n">
        <x:v>0.045</x:v>
      </x:c>
      <x:c r="G146" s="99" t="n">
        <x:v>25</x:v>
      </x:c>
      <x:c r="H146" s="99" t="n">
        <x:v>0.05</x:v>
      </x:c>
      <x:c r="I146" s="99" t="n">
        <x:v>0.5200000000000005</x:v>
      </x:c>
      <x:c r="J146" s="98" t="n">
        <x:v>0.00006406197978793975</x:v>
      </x:c>
      <x:c r="K146" t="str">
        <x:v>low_vds</x:v>
      </x:c>
      <x:c r="L146" t="str">
        <x:v>low_drain_bias</x:v>
      </x:c>
      <x:c r="M146" t="n">
        <x:v>1</x:v>
      </x:c>
      <x:c r="N146" t="str">
        <x:v>simulation</x:v>
      </x:c>
      <x:c r="O146" t="str">
        <x:v>ngspice</x:v>
      </x:c>
      <x:c r="P146" t="str">
        <x:v>c9ed2e513523c57a76912a35b2860cb85e4aaa3402b69757d84efa9cc2fb8410</x:v>
      </x:c>
      <x:c r="Q146" t="str">
        <x:v>data/raw/ptm45_hp_vds_0p05v_raw.txt</x:v>
      </x:c>
    </x:row>
    <x:row r="147">
      <x:c r="A147" t="str">
        <x:v>PTM</x:v>
      </x:c>
      <x:c r="B147" t="str">
        <x:v>NMOS</x:v>
      </x:c>
      <x:c r="C147" s="97" t="n">
        <x:v>45</x:v>
      </x:c>
      <x:c r="D147" s="97" t="str">
        <x:v>HP</x:v>
      </x:c>
      <x:c r="E147" s="99" t="n">
        <x:v>1</x:v>
      </x:c>
      <x:c r="F147" s="99" t="n">
        <x:v>0.045</x:v>
      </x:c>
      <x:c r="G147" s="99" t="n">
        <x:v>25</x:v>
      </x:c>
      <x:c r="H147" s="99" t="n">
        <x:v>0.05</x:v>
      </x:c>
      <x:c r="I147" s="99" t="n">
        <x:v>0.5250000000000005</x:v>
      </x:c>
      <x:c r="J147" s="98" t="n">
        <x:v>0.00006710645903596666</x:v>
      </x:c>
      <x:c r="K147" t="str">
        <x:v>low_vds</x:v>
      </x:c>
      <x:c r="L147" t="str">
        <x:v>low_drain_bias</x:v>
      </x:c>
      <x:c r="M147" t="n">
        <x:v>1</x:v>
      </x:c>
      <x:c r="N147" t="str">
        <x:v>simulation</x:v>
      </x:c>
      <x:c r="O147" t="str">
        <x:v>ngspice</x:v>
      </x:c>
      <x:c r="P147" t="str">
        <x:v>c9ed2e513523c57a76912a35b2860cb85e4aaa3402b69757d84efa9cc2fb8410</x:v>
      </x:c>
      <x:c r="Q147" t="str">
        <x:v>data/raw/ptm45_hp_vds_0p05v_raw.txt</x:v>
      </x:c>
    </x:row>
    <x:row r="148">
      <x:c r="A148" t="str">
        <x:v>PTM</x:v>
      </x:c>
      <x:c r="B148" t="str">
        <x:v>NMOS</x:v>
      </x:c>
      <x:c r="C148" s="97" t="n">
        <x:v>45</x:v>
      </x:c>
      <x:c r="D148" s="97" t="str">
        <x:v>HP</x:v>
      </x:c>
      <x:c r="E148" s="99" t="n">
        <x:v>1</x:v>
      </x:c>
      <x:c r="F148" s="99" t="n">
        <x:v>0.045</x:v>
      </x:c>
      <x:c r="G148" s="99" t="n">
        <x:v>25</x:v>
      </x:c>
      <x:c r="H148" s="99" t="n">
        <x:v>0.05</x:v>
      </x:c>
      <x:c r="I148" s="99" t="n">
        <x:v>0.5300000000000005</x:v>
      </x:c>
      <x:c r="J148" s="98" t="n">
        <x:v>0.00007016061015927888</x:v>
      </x:c>
      <x:c r="K148" t="str">
        <x:v>low_vds</x:v>
      </x:c>
      <x:c r="L148" t="str">
        <x:v>low_drain_bias</x:v>
      </x:c>
      <x:c r="M148" t="n">
        <x:v>1</x:v>
      </x:c>
      <x:c r="N148" t="str">
        <x:v>simulation</x:v>
      </x:c>
      <x:c r="O148" t="str">
        <x:v>ngspice</x:v>
      </x:c>
      <x:c r="P148" t="str">
        <x:v>c9ed2e513523c57a76912a35b2860cb85e4aaa3402b69757d84efa9cc2fb8410</x:v>
      </x:c>
      <x:c r="Q148" t="str">
        <x:v>data/raw/ptm45_hp_vds_0p05v_raw.txt</x:v>
      </x:c>
    </x:row>
    <x:row r="149">
      <x:c r="A149" t="str">
        <x:v>PTM</x:v>
      </x:c>
      <x:c r="B149" t="str">
        <x:v>NMOS</x:v>
      </x:c>
      <x:c r="C149" s="97" t="n">
        <x:v>45</x:v>
      </x:c>
      <x:c r="D149" s="97" t="str">
        <x:v>HP</x:v>
      </x:c>
      <x:c r="E149" s="99" t="n">
        <x:v>1</x:v>
      </x:c>
      <x:c r="F149" s="99" t="n">
        <x:v>0.045</x:v>
      </x:c>
      <x:c r="G149" s="99" t="n">
        <x:v>25</x:v>
      </x:c>
      <x:c r="H149" s="99" t="n">
        <x:v>0.05</x:v>
      </x:c>
      <x:c r="I149" s="99" t="n">
        <x:v>0.5350000000000005</x:v>
      </x:c>
      <x:c r="J149" s="98" t="n">
        <x:v>0.00007321719945969998</x:v>
      </x:c>
      <x:c r="K149" t="str">
        <x:v>low_vds</x:v>
      </x:c>
      <x:c r="L149" t="str">
        <x:v>low_drain_bias</x:v>
      </x:c>
      <x:c r="M149" t="n">
        <x:v>1</x:v>
      </x:c>
      <x:c r="N149" t="str">
        <x:v>simulation</x:v>
      </x:c>
      <x:c r="O149" t="str">
        <x:v>ngspice</x:v>
      </x:c>
      <x:c r="P149" t="str">
        <x:v>c9ed2e513523c57a76912a35b2860cb85e4aaa3402b69757d84efa9cc2fb8410</x:v>
      </x:c>
      <x:c r="Q149" t="str">
        <x:v>data/raw/ptm45_hp_vds_0p05v_raw.txt</x:v>
      </x:c>
    </x:row>
    <x:row r="150">
      <x:c r="A150" t="str">
        <x:v>PTM</x:v>
      </x:c>
      <x:c r="B150" t="str">
        <x:v>NMOS</x:v>
      </x:c>
      <x:c r="C150" s="97" t="n">
        <x:v>45</x:v>
      </x:c>
      <x:c r="D150" s="97" t="str">
        <x:v>HP</x:v>
      </x:c>
      <x:c r="E150" s="99" t="n">
        <x:v>1</x:v>
      </x:c>
      <x:c r="F150" s="99" t="n">
        <x:v>0.045</x:v>
      </x:c>
      <x:c r="G150" s="99" t="n">
        <x:v>25</x:v>
      </x:c>
      <x:c r="H150" s="99" t="n">
        <x:v>0.05</x:v>
      </x:c>
      <x:c r="I150" s="99" t="n">
        <x:v>0.5400000000000005</x:v>
      </x:c>
      <x:c r="J150" s="98" t="n">
        <x:v>0.00007626938724923763</x:v>
      </x:c>
      <x:c r="K150" t="str">
        <x:v>low_vds</x:v>
      </x:c>
      <x:c r="L150" t="str">
        <x:v>low_drain_bias</x:v>
      </x:c>
      <x:c r="M150" t="n">
        <x:v>1</x:v>
      </x:c>
      <x:c r="N150" t="str">
        <x:v>simulation</x:v>
      </x:c>
      <x:c r="O150" t="str">
        <x:v>ngspice</x:v>
      </x:c>
      <x:c r="P150" t="str">
        <x:v>c9ed2e513523c57a76912a35b2860cb85e4aaa3402b69757d84efa9cc2fb8410</x:v>
      </x:c>
      <x:c r="Q150" t="str">
        <x:v>data/raw/ptm45_hp_vds_0p05v_raw.txt</x:v>
      </x:c>
    </x:row>
    <x:row r="151">
      <x:c r="A151" t="str">
        <x:v>PTM</x:v>
      </x:c>
      <x:c r="B151" t="str">
        <x:v>NMOS</x:v>
      </x:c>
      <x:c r="C151" s="97" t="n">
        <x:v>45</x:v>
      </x:c>
      <x:c r="D151" s="97" t="str">
        <x:v>HP</x:v>
      </x:c>
      <x:c r="E151" s="99" t="n">
        <x:v>1</x:v>
      </x:c>
      <x:c r="F151" s="99" t="n">
        <x:v>0.045</x:v>
      </x:c>
      <x:c r="G151" s="99" t="n">
        <x:v>25</x:v>
      </x:c>
      <x:c r="H151" s="99" t="n">
        <x:v>0.05</x:v>
      </x:c>
      <x:c r="I151" s="99" t="n">
        <x:v>0.5450000000000005</x:v>
      </x:c>
      <x:c r="J151" s="98" t="n">
        <x:v>0.0000793107724807502</x:v>
      </x:c>
      <x:c r="K151" t="str">
        <x:v>low_vds</x:v>
      </x:c>
      <x:c r="L151" t="str">
        <x:v>low_drain_bias</x:v>
      </x:c>
      <x:c r="M151" t="n">
        <x:v>1</x:v>
      </x:c>
      <x:c r="N151" t="str">
        <x:v>simulation</x:v>
      </x:c>
      <x:c r="O151" t="str">
        <x:v>ngspice</x:v>
      </x:c>
      <x:c r="P151" t="str">
        <x:v>c9ed2e513523c57a76912a35b2860cb85e4aaa3402b69757d84efa9cc2fb8410</x:v>
      </x:c>
      <x:c r="Q151" t="str">
        <x:v>data/raw/ptm45_hp_vds_0p05v_raw.txt</x:v>
      </x:c>
    </x:row>
    <x:row r="152">
      <x:c r="A152" t="str">
        <x:v>PTM</x:v>
      </x:c>
      <x:c r="B152" t="str">
        <x:v>NMOS</x:v>
      </x:c>
      <x:c r="C152" s="97" t="n">
        <x:v>45</x:v>
      </x:c>
      <x:c r="D152" s="97" t="str">
        <x:v>HP</x:v>
      </x:c>
      <x:c r="E152" s="99" t="n">
        <x:v>1</x:v>
      </x:c>
      <x:c r="F152" s="99" t="n">
        <x:v>0.045</x:v>
      </x:c>
      <x:c r="G152" s="99" t="n">
        <x:v>25</x:v>
      </x:c>
      <x:c r="H152" s="99" t="n">
        <x:v>0.05</x:v>
      </x:c>
      <x:c r="I152" s="99" t="n">
        <x:v>0.5500000000000005</x:v>
      </x:c>
      <x:c r="J152" s="98" t="n">
        <x:v>0.00008233542484130765</x:v>
      </x:c>
      <x:c r="K152" t="str">
        <x:v>low_vds</x:v>
      </x:c>
      <x:c r="L152" t="str">
        <x:v>low_drain_bias</x:v>
      </x:c>
      <x:c r="M152" t="n">
        <x:v>1</x:v>
      </x:c>
      <x:c r="N152" t="str">
        <x:v>simulation</x:v>
      </x:c>
      <x:c r="O152" t="str">
        <x:v>ngspice</x:v>
      </x:c>
      <x:c r="P152" t="str">
        <x:v>c9ed2e513523c57a76912a35b2860cb85e4aaa3402b69757d84efa9cc2fb8410</x:v>
      </x:c>
      <x:c r="Q152" t="str">
        <x:v>data/raw/ptm45_hp_vds_0p05v_raw.txt</x:v>
      </x:c>
    </x:row>
    <x:row r="153">
      <x:c r="A153" t="str">
        <x:v>PTM</x:v>
      </x:c>
      <x:c r="B153" t="str">
        <x:v>NMOS</x:v>
      </x:c>
      <x:c r="C153" s="97" t="n">
        <x:v>45</x:v>
      </x:c>
      <x:c r="D153" s="97" t="str">
        <x:v>HP</x:v>
      </x:c>
      <x:c r="E153" s="99" t="n">
        <x:v>1</x:v>
      </x:c>
      <x:c r="F153" s="99" t="n">
        <x:v>0.045</x:v>
      </x:c>
      <x:c r="G153" s="99" t="n">
        <x:v>25</x:v>
      </x:c>
      <x:c r="H153" s="99" t="n">
        <x:v>0.05</x:v>
      </x:c>
      <x:c r="I153" s="99" t="n">
        <x:v>0.5550000000000005</x:v>
      </x:c>
      <x:c r="J153" s="98" t="n">
        <x:v>0.00008533790520622065</x:v>
      </x:c>
      <x:c r="K153" t="str">
        <x:v>low_vds</x:v>
      </x:c>
      <x:c r="L153" t="str">
        <x:v>low_drain_bias</x:v>
      </x:c>
      <x:c r="M153" t="n">
        <x:v>1</x:v>
      </x:c>
      <x:c r="N153" t="str">
        <x:v>simulation</x:v>
      </x:c>
      <x:c r="O153" t="str">
        <x:v>ngspice</x:v>
      </x:c>
      <x:c r="P153" t="str">
        <x:v>c9ed2e513523c57a76912a35b2860cb85e4aaa3402b69757d84efa9cc2fb8410</x:v>
      </x:c>
      <x:c r="Q153" t="str">
        <x:v>data/raw/ptm45_hp_vds_0p05v_raw.txt</x:v>
      </x:c>
    </x:row>
    <x:row r="154">
      <x:c r="A154" t="str">
        <x:v>PTM</x:v>
      </x:c>
      <x:c r="B154" t="str">
        <x:v>NMOS</x:v>
      </x:c>
      <x:c r="C154" s="97" t="n">
        <x:v>45</x:v>
      </x:c>
      <x:c r="D154" s="97" t="str">
        <x:v>HP</x:v>
      </x:c>
      <x:c r="E154" s="99" t="n">
        <x:v>1</x:v>
      </x:c>
      <x:c r="F154" s="99" t="n">
        <x:v>0.045</x:v>
      </x:c>
      <x:c r="G154" s="99" t="n">
        <x:v>25</x:v>
      </x:c>
      <x:c r="H154" s="99" t="n">
        <x:v>0.05</x:v>
      </x:c>
      <x:c r="I154" s="99" t="n">
        <x:v>0.5600000000000005</x:v>
      </x:c>
      <x:c r="J154" s="98" t="n">
        <x:v>0.00008831327558949688</x:v>
      </x:c>
      <x:c r="K154" t="str">
        <x:v>low_vds</x:v>
      </x:c>
      <x:c r="L154" t="str">
        <x:v>low_drain_bias</x:v>
      </x:c>
      <x:c r="M154" t="n">
        <x:v>1</x:v>
      </x:c>
      <x:c r="N154" t="str">
        <x:v>simulation</x:v>
      </x:c>
      <x:c r="O154" t="str">
        <x:v>ngspice</x:v>
      </x:c>
      <x:c r="P154" t="str">
        <x:v>c9ed2e513523c57a76912a35b2860cb85e4aaa3402b69757d84efa9cc2fb8410</x:v>
      </x:c>
      <x:c r="Q154" t="str">
        <x:v>data/raw/ptm45_hp_vds_0p05v_raw.txt</x:v>
      </x:c>
    </x:row>
    <x:row r="155">
      <x:c r="A155" t="str">
        <x:v>PTM</x:v>
      </x:c>
      <x:c r="B155" t="str">
        <x:v>NMOS</x:v>
      </x:c>
      <x:c r="C155" s="97" t="n">
        <x:v>45</x:v>
      </x:c>
      <x:c r="D155" s="97" t="str">
        <x:v>HP</x:v>
      </x:c>
      <x:c r="E155" s="99" t="n">
        <x:v>1</x:v>
      </x:c>
      <x:c r="F155" s="99" t="n">
        <x:v>0.045</x:v>
      </x:c>
      <x:c r="G155" s="99" t="n">
        <x:v>25</x:v>
      </x:c>
      <x:c r="H155" s="99" t="n">
        <x:v>0.05</x:v>
      </x:c>
      <x:c r="I155" s="99" t="n">
        <x:v>0.5650000000000005</x:v>
      </x:c>
      <x:c r="J155" s="98" t="n">
        <x:v>0.00009125709987151687</x:v>
      </x:c>
      <x:c r="K155" t="str">
        <x:v>low_vds</x:v>
      </x:c>
      <x:c r="L155" t="str">
        <x:v>low_drain_bias</x:v>
      </x:c>
      <x:c r="M155" t="n">
        <x:v>1</x:v>
      </x:c>
      <x:c r="N155" t="str">
        <x:v>simulation</x:v>
      </x:c>
      <x:c r="O155" t="str">
        <x:v>ngspice</x:v>
      </x:c>
      <x:c r="P155" t="str">
        <x:v>c9ed2e513523c57a76912a35b2860cb85e4aaa3402b69757d84efa9cc2fb8410</x:v>
      </x:c>
      <x:c r="Q155" t="str">
        <x:v>data/raw/ptm45_hp_vds_0p05v_raw.txt</x:v>
      </x:c>
    </x:row>
    <x:row r="156">
      <x:c r="A156" t="str">
        <x:v>PTM</x:v>
      </x:c>
      <x:c r="B156" t="str">
        <x:v>NMOS</x:v>
      </x:c>
      <x:c r="C156" s="97" t="n">
        <x:v>45</x:v>
      </x:c>
      <x:c r="D156" s="97" t="str">
        <x:v>HP</x:v>
      </x:c>
      <x:c r="E156" s="99" t="n">
        <x:v>1</x:v>
      </x:c>
      <x:c r="F156" s="99" t="n">
        <x:v>0.045</x:v>
      </x:c>
      <x:c r="G156" s="99" t="n">
        <x:v>25</x:v>
      </x:c>
      <x:c r="H156" s="99" t="n">
        <x:v>0.05</x:v>
      </x:c>
      <x:c r="I156" s="99" t="n">
        <x:v>0.5700000000000005</x:v>
      </x:c>
      <x:c r="J156" s="98" t="n">
        <x:v>0.0000941654366497031</x:v>
      </x:c>
      <x:c r="K156" t="str">
        <x:v>low_vds</x:v>
      </x:c>
      <x:c r="L156" t="str">
        <x:v>low_drain_bias</x:v>
      </x:c>
      <x:c r="M156" t="n">
        <x:v>1</x:v>
      </x:c>
      <x:c r="N156" t="str">
        <x:v>simulation</x:v>
      </x:c>
      <x:c r="O156" t="str">
        <x:v>ngspice</x:v>
      </x:c>
      <x:c r="P156" t="str">
        <x:v>c9ed2e513523c57a76912a35b2860cb85e4aaa3402b69757d84efa9cc2fb8410</x:v>
      </x:c>
      <x:c r="Q156" t="str">
        <x:v>data/raw/ptm45_hp_vds_0p05v_raw.txt</x:v>
      </x:c>
    </x:row>
    <x:row r="157">
      <x:c r="A157" t="str">
        <x:v>PTM</x:v>
      </x:c>
      <x:c r="B157" t="str">
        <x:v>NMOS</x:v>
      </x:c>
      <x:c r="C157" s="97" t="n">
        <x:v>45</x:v>
      </x:c>
      <x:c r="D157" s="97" t="str">
        <x:v>HP</x:v>
      </x:c>
      <x:c r="E157" s="99" t="n">
        <x:v>1</x:v>
      </x:c>
      <x:c r="F157" s="99" t="n">
        <x:v>0.045</x:v>
      </x:c>
      <x:c r="G157" s="99" t="n">
        <x:v>25</x:v>
      </x:c>
      <x:c r="H157" s="99" t="n">
        <x:v>0.05</x:v>
      </x:c>
      <x:c r="I157" s="99" t="n">
        <x:v>0.5750000000000005</x:v>
      </x:c>
      <x:c r="J157" s="98" t="n">
        <x:v>0.000097034825557491</x:v>
      </x:c>
      <x:c r="K157" t="str">
        <x:v>low_vds</x:v>
      </x:c>
      <x:c r="L157" t="str">
        <x:v>low_drain_bias</x:v>
      </x:c>
      <x:c r="M157" t="n">
        <x:v>1</x:v>
      </x:c>
      <x:c r="N157" t="str">
        <x:v>simulation</x:v>
      </x:c>
      <x:c r="O157" t="str">
        <x:v>ngspice</x:v>
      </x:c>
      <x:c r="P157" t="str">
        <x:v>c9ed2e513523c57a76912a35b2860cb85e4aaa3402b69757d84efa9cc2fb8410</x:v>
      </x:c>
      <x:c r="Q157" t="str">
        <x:v>data/raw/ptm45_hp_vds_0p05v_raw.txt</x:v>
      </x:c>
    </x:row>
    <x:row r="158">
      <x:c r="A158" t="str">
        <x:v>PTM</x:v>
      </x:c>
      <x:c r="B158" t="str">
        <x:v>NMOS</x:v>
      </x:c>
      <x:c r="C158" s="97" t="n">
        <x:v>45</x:v>
      </x:c>
      <x:c r="D158" s="97" t="str">
        <x:v>HP</x:v>
      </x:c>
      <x:c r="E158" s="99" t="n">
        <x:v>1</x:v>
      </x:c>
      <x:c r="F158" s="99" t="n">
        <x:v>0.045</x:v>
      </x:c>
      <x:c r="G158" s="99" t="n">
        <x:v>25</x:v>
      </x:c>
      <x:c r="H158" s="99" t="n">
        <x:v>0.05</x:v>
      </x:c>
      <x:c r="I158" s="99" t="n">
        <x:v>0.5800000000000005</x:v>
      </x:c>
      <x:c r="J158" s="98" t="n">
        <x:v>0.00009986226834577266</x:v>
      </x:c>
      <x:c r="K158" t="str">
        <x:v>low_vds</x:v>
      </x:c>
      <x:c r="L158" t="str">
        <x:v>low_drain_bias</x:v>
      </x:c>
      <x:c r="M158" t="n">
        <x:v>1</x:v>
      </x:c>
      <x:c r="N158" t="str">
        <x:v>simulation</x:v>
      </x:c>
      <x:c r="O158" t="str">
        <x:v>ngspice</x:v>
      </x:c>
      <x:c r="P158" t="str">
        <x:v>c9ed2e513523c57a76912a35b2860cb85e4aaa3402b69757d84efa9cc2fb8410</x:v>
      </x:c>
      <x:c r="Q158" t="str">
        <x:v>data/raw/ptm45_hp_vds_0p05v_raw.txt</x:v>
      </x:c>
    </x:row>
    <x:row r="159">
      <x:c r="A159" t="str">
        <x:v>PTM</x:v>
      </x:c>
      <x:c r="B159" t="str">
        <x:v>NMOS</x:v>
      </x:c>
      <x:c r="C159" s="97" t="n">
        <x:v>45</x:v>
      </x:c>
      <x:c r="D159" s="97" t="str">
        <x:v>HP</x:v>
      </x:c>
      <x:c r="E159" s="99" t="n">
        <x:v>1</x:v>
      </x:c>
      <x:c r="F159" s="99" t="n">
        <x:v>0.045</x:v>
      </x:c>
      <x:c r="G159" s="99" t="n">
        <x:v>25</x:v>
      </x:c>
      <x:c r="H159" s="99" t="n">
        <x:v>0.05</x:v>
      </x:c>
      <x:c r="I159" s="99" t="n">
        <x:v>0.5850000000000005</x:v>
      </x:c>
      <x:c r="J159" s="98" t="n">
        <x:v>0.0001026452059331578</x:v>
      </x:c>
      <x:c r="K159" t="str">
        <x:v>low_vds</x:v>
      </x:c>
      <x:c r="L159" t="str">
        <x:v>low_drain_bias</x:v>
      </x:c>
      <x:c r="M159" t="n">
        <x:v>1</x:v>
      </x:c>
      <x:c r="N159" t="str">
        <x:v>simulation</x:v>
      </x:c>
      <x:c r="O159" t="str">
        <x:v>ngspice</x:v>
      </x:c>
      <x:c r="P159" t="str">
        <x:v>c9ed2e513523c57a76912a35b2860cb85e4aaa3402b69757d84efa9cc2fb8410</x:v>
      </x:c>
      <x:c r="Q159" t="str">
        <x:v>data/raw/ptm45_hp_vds_0p05v_raw.txt</x:v>
      </x:c>
    </x:row>
    <x:row r="160">
      <x:c r="A160" t="str">
        <x:v>PTM</x:v>
      </x:c>
      <x:c r="B160" t="str">
        <x:v>NMOS</x:v>
      </x:c>
      <x:c r="C160" s="97" t="n">
        <x:v>45</x:v>
      </x:c>
      <x:c r="D160" s="97" t="str">
        <x:v>HP</x:v>
      </x:c>
      <x:c r="E160" s="99" t="n">
        <x:v>1</x:v>
      </x:c>
      <x:c r="F160" s="99" t="n">
        <x:v>0.045</x:v>
      </x:c>
      <x:c r="G160" s="99" t="n">
        <x:v>25</x:v>
      </x:c>
      <x:c r="H160" s="99" t="n">
        <x:v>0.05</x:v>
      </x:c>
      <x:c r="I160" s="99" t="n">
        <x:v>0.5900000000000005</x:v>
      </x:c>
      <x:c r="J160" s="98" t="n">
        <x:v>0.0001053814925193094</x:v>
      </x:c>
      <x:c r="K160" t="str">
        <x:v>low_vds</x:v>
      </x:c>
      <x:c r="L160" t="str">
        <x:v>low_drain_bias</x:v>
      </x:c>
      <x:c r="M160" t="n">
        <x:v>1</x:v>
      </x:c>
      <x:c r="N160" t="str">
        <x:v>simulation</x:v>
      </x:c>
      <x:c r="O160" t="str">
        <x:v>ngspice</x:v>
      </x:c>
      <x:c r="P160" t="str">
        <x:v>c9ed2e513523c57a76912a35b2860cb85e4aaa3402b69757d84efa9cc2fb8410</x:v>
      </x:c>
      <x:c r="Q160" t="str">
        <x:v>data/raw/ptm45_hp_vds_0p05v_raw.txt</x:v>
      </x:c>
    </x:row>
    <x:row r="161">
      <x:c r="A161" t="str">
        <x:v>PTM</x:v>
      </x:c>
      <x:c r="B161" t="str">
        <x:v>NMOS</x:v>
      </x:c>
      <x:c r="C161" s="97" t="n">
        <x:v>45</x:v>
      </x:c>
      <x:c r="D161" s="97" t="str">
        <x:v>HP</x:v>
      </x:c>
      <x:c r="E161" s="99" t="n">
        <x:v>1</x:v>
      </x:c>
      <x:c r="F161" s="99" t="n">
        <x:v>0.045</x:v>
      </x:c>
      <x:c r="G161" s="99" t="n">
        <x:v>25</x:v>
      </x:c>
      <x:c r="H161" s="99" t="n">
        <x:v>0.05</x:v>
      </x:c>
      <x:c r="I161" s="99" t="n">
        <x:v>0.5950000000000005</x:v>
      </x:c>
      <x:c r="J161" s="98" t="n">
        <x:v>0.0001080693677297732</x:v>
      </x:c>
      <x:c r="K161" t="str">
        <x:v>low_vds</x:v>
      </x:c>
      <x:c r="L161" t="str">
        <x:v>low_drain_bias</x:v>
      </x:c>
      <x:c r="M161" t="n">
        <x:v>1</x:v>
      </x:c>
      <x:c r="N161" t="str">
        <x:v>simulation</x:v>
      </x:c>
      <x:c r="O161" t="str">
        <x:v>ngspice</x:v>
      </x:c>
      <x:c r="P161" t="str">
        <x:v>c9ed2e513523c57a76912a35b2860cb85e4aaa3402b69757d84efa9cc2fb8410</x:v>
      </x:c>
      <x:c r="Q161" t="str">
        <x:v>data/raw/ptm45_hp_vds_0p05v_raw.txt</x:v>
      </x:c>
    </x:row>
    <x:row r="162">
      <x:c r="A162" t="str">
        <x:v>PTM</x:v>
      </x:c>
      <x:c r="B162" t="str">
        <x:v>NMOS</x:v>
      </x:c>
      <x:c r="C162" s="97" t="n">
        <x:v>45</x:v>
      </x:c>
      <x:c r="D162" s="97" t="str">
        <x:v>HP</x:v>
      </x:c>
      <x:c r="E162" s="99" t="n">
        <x:v>1</x:v>
      </x:c>
      <x:c r="F162" s="99" t="n">
        <x:v>0.045</x:v>
      </x:c>
      <x:c r="G162" s="99" t="n">
        <x:v>25</x:v>
      </x:c>
      <x:c r="H162" s="99" t="n">
        <x:v>0.05</x:v>
      </x:c>
      <x:c r="I162" s="99" t="n">
        <x:v>0.6000000000000005</x:v>
      </x:c>
      <x:c r="J162" s="98" t="n">
        <x:v>0.0001107074276295323</x:v>
      </x:c>
      <x:c r="K162" t="str">
        <x:v>low_vds</x:v>
      </x:c>
      <x:c r="L162" t="str">
        <x:v>low_drain_bias</x:v>
      </x:c>
      <x:c r="M162" t="n">
        <x:v>1</x:v>
      </x:c>
      <x:c r="N162" t="str">
        <x:v>simulation</x:v>
      </x:c>
      <x:c r="O162" t="str">
        <x:v>ngspice</x:v>
      </x:c>
      <x:c r="P162" t="str">
        <x:v>c9ed2e513523c57a76912a35b2860cb85e4aaa3402b69757d84efa9cc2fb8410</x:v>
      </x:c>
      <x:c r="Q162" t="str">
        <x:v>data/raw/ptm45_hp_vds_0p05v_raw.txt</x:v>
      </x:c>
    </x:row>
    <x:row r="163">
      <x:c r="A163" t="str">
        <x:v>PTM</x:v>
      </x:c>
      <x:c r="B163" t="str">
        <x:v>NMOS</x:v>
      </x:c>
      <x:c r="C163" s="97" t="n">
        <x:v>45</x:v>
      </x:c>
      <x:c r="D163" s="97" t="str">
        <x:v>HP</x:v>
      </x:c>
      <x:c r="E163" s="99" t="n">
        <x:v>1</x:v>
      </x:c>
      <x:c r="F163" s="99" t="n">
        <x:v>0.045</x:v>
      </x:c>
      <x:c r="G163" s="99" t="n">
        <x:v>25</x:v>
      </x:c>
      <x:c r="H163" s="99" t="n">
        <x:v>0.05</x:v>
      </x:c>
      <x:c r="I163" s="99" t="n">
        <x:v>0.6050000000000005</x:v>
      </x:c>
      <x:c r="J163" s="98" t="n">
        <x:v>0.0001132945953126598</x:v>
      </x:c>
      <x:c r="K163" t="str">
        <x:v>low_vds</x:v>
      </x:c>
      <x:c r="L163" t="str">
        <x:v>low_drain_bias</x:v>
      </x:c>
      <x:c r="M163" t="n">
        <x:v>1</x:v>
      </x:c>
      <x:c r="N163" t="str">
        <x:v>simulation</x:v>
      </x:c>
      <x:c r="O163" t="str">
        <x:v>ngspice</x:v>
      </x:c>
      <x:c r="P163" t="str">
        <x:v>c9ed2e513523c57a76912a35b2860cb85e4aaa3402b69757d84efa9cc2fb8410</x:v>
      </x:c>
      <x:c r="Q163" t="str">
        <x:v>data/raw/ptm45_hp_vds_0p05v_raw.txt</x:v>
      </x:c>
    </x:row>
    <x:row r="164">
      <x:c r="A164" t="str">
        <x:v>PTM</x:v>
      </x:c>
      <x:c r="B164" t="str">
        <x:v>NMOS</x:v>
      </x:c>
      <x:c r="C164" s="97" t="n">
        <x:v>45</x:v>
      </x:c>
      <x:c r="D164" s="97" t="str">
        <x:v>HP</x:v>
      </x:c>
      <x:c r="E164" s="99" t="n">
        <x:v>1</x:v>
      </x:c>
      <x:c r="F164" s="99" t="n">
        <x:v>0.045</x:v>
      </x:c>
      <x:c r="G164" s="99" t="n">
        <x:v>25</x:v>
      </x:c>
      <x:c r="H164" s="99" t="n">
        <x:v>0.05</x:v>
      </x:c>
      <x:c r="I164" s="99" t="n">
        <x:v>0.6100000000000005</x:v>
      </x:c>
      <x:c r="J164" s="98" t="n">
        <x:v>0.0001158300916514622</x:v>
      </x:c>
      <x:c r="K164" t="str">
        <x:v>low_vds</x:v>
      </x:c>
      <x:c r="L164" t="str">
        <x:v>low_drain_bias</x:v>
      </x:c>
      <x:c r="M164" t="n">
        <x:v>1</x:v>
      </x:c>
      <x:c r="N164" t="str">
        <x:v>simulation</x:v>
      </x:c>
      <x:c r="O164" t="str">
        <x:v>ngspice</x:v>
      </x:c>
      <x:c r="P164" t="str">
        <x:v>c9ed2e513523c57a76912a35b2860cb85e4aaa3402b69757d84efa9cc2fb8410</x:v>
      </x:c>
      <x:c r="Q164" t="str">
        <x:v>data/raw/ptm45_hp_vds_0p05v_raw.txt</x:v>
      </x:c>
    </x:row>
    <x:row r="165">
      <x:c r="A165" t="str">
        <x:v>PTM</x:v>
      </x:c>
      <x:c r="B165" t="str">
        <x:v>NMOS</x:v>
      </x:c>
      <x:c r="C165" s="97" t="n">
        <x:v>45</x:v>
      </x:c>
      <x:c r="D165" s="97" t="str">
        <x:v>HP</x:v>
      </x:c>
      <x:c r="E165" s="99" t="n">
        <x:v>1</x:v>
      </x:c>
      <x:c r="F165" s="99" t="n">
        <x:v>0.045</x:v>
      </x:c>
      <x:c r="G165" s="99" t="n">
        <x:v>25</x:v>
      </x:c>
      <x:c r="H165" s="99" t="n">
        <x:v>0.05</x:v>
      </x:c>
      <x:c r="I165" s="99" t="n">
        <x:v>0.6150000000000005</x:v>
      </x:c>
      <x:c r="J165" s="98" t="n">
        <x:v>0.0001183134066738129</x:v>
      </x:c>
      <x:c r="K165" t="str">
        <x:v>low_vds</x:v>
      </x:c>
      <x:c r="L165" t="str">
        <x:v>low_drain_bias</x:v>
      </x:c>
      <x:c r="M165" t="n">
        <x:v>1</x:v>
      </x:c>
      <x:c r="N165" t="str">
        <x:v>simulation</x:v>
      </x:c>
      <x:c r="O165" t="str">
        <x:v>ngspice</x:v>
      </x:c>
      <x:c r="P165" t="str">
        <x:v>c9ed2e513523c57a76912a35b2860cb85e4aaa3402b69757d84efa9cc2fb8410</x:v>
      </x:c>
      <x:c r="Q165" t="str">
        <x:v>data/raw/ptm45_hp_vds_0p05v_raw.txt</x:v>
      </x:c>
    </x:row>
    <x:row r="166">
      <x:c r="A166" t="str">
        <x:v>PTM</x:v>
      </x:c>
      <x:c r="B166" t="str">
        <x:v>NMOS</x:v>
      </x:c>
      <x:c r="C166" s="97" t="n">
        <x:v>45</x:v>
      </x:c>
      <x:c r="D166" s="97" t="str">
        <x:v>HP</x:v>
      </x:c>
      <x:c r="E166" s="99" t="n">
        <x:v>1</x:v>
      </x:c>
      <x:c r="F166" s="99" t="n">
        <x:v>0.045</x:v>
      </x:c>
      <x:c r="G166" s="99" t="n">
        <x:v>25</x:v>
      </x:c>
      <x:c r="H166" s="99" t="n">
        <x:v>0.05</x:v>
      </x:c>
      <x:c r="I166" s="99" t="n">
        <x:v>0.6200000000000006</x:v>
      </x:c>
      <x:c r="J166" s="98" t="n">
        <x:v>0.0001207442719338059</x:v>
      </x:c>
      <x:c r="K166" t="str">
        <x:v>low_vds</x:v>
      </x:c>
      <x:c r="L166" t="str">
        <x:v>low_drain_bias</x:v>
      </x:c>
      <x:c r="M166" t="n">
        <x:v>1</x:v>
      </x:c>
      <x:c r="N166" t="str">
        <x:v>simulation</x:v>
      </x:c>
      <x:c r="O166" t="str">
        <x:v>ngspice</x:v>
      </x:c>
      <x:c r="P166" t="str">
        <x:v>c9ed2e513523c57a76912a35b2860cb85e4aaa3402b69757d84efa9cc2fb8410</x:v>
      </x:c>
      <x:c r="Q166" t="str">
        <x:v>data/raw/ptm45_hp_vds_0p05v_raw.txt</x:v>
      </x:c>
    </x:row>
    <x:row r="167">
      <x:c r="A167" t="str">
        <x:v>PTM</x:v>
      </x:c>
      <x:c r="B167" t="str">
        <x:v>NMOS</x:v>
      </x:c>
      <x:c r="C167" s="97" t="n">
        <x:v>45</x:v>
      </x:c>
      <x:c r="D167" s="97" t="str">
        <x:v>HP</x:v>
      </x:c>
      <x:c r="E167" s="99" t="n">
        <x:v>1</x:v>
      </x:c>
      <x:c r="F167" s="99" t="n">
        <x:v>0.045</x:v>
      </x:c>
      <x:c r="G167" s="99" t="n">
        <x:v>25</x:v>
      </x:c>
      <x:c r="H167" s="99" t="n">
        <x:v>0.05</x:v>
      </x:c>
      <x:c r="I167" s="99" t="n">
        <x:v>0.6250000000000006</x:v>
      </x:c>
      <x:c r="J167" s="98" t="n">
        <x:v>0.0001231226341494615</x:v>
      </x:c>
      <x:c r="K167" t="str">
        <x:v>low_vds</x:v>
      </x:c>
      <x:c r="L167" t="str">
        <x:v>low_drain_bias</x:v>
      </x:c>
      <x:c r="M167" t="n">
        <x:v>1</x:v>
      </x:c>
      <x:c r="N167" t="str">
        <x:v>simulation</x:v>
      </x:c>
      <x:c r="O167" t="str">
        <x:v>ngspice</x:v>
      </x:c>
      <x:c r="P167" t="str">
        <x:v>c9ed2e513523c57a76912a35b2860cb85e4aaa3402b69757d84efa9cc2fb8410</x:v>
      </x:c>
      <x:c r="Q167" t="str">
        <x:v>data/raw/ptm45_hp_vds_0p05v_raw.txt</x:v>
      </x:c>
    </x:row>
    <x:row r="168">
      <x:c r="A168" t="str">
        <x:v>PTM</x:v>
      </x:c>
      <x:c r="B168" t="str">
        <x:v>NMOS</x:v>
      </x:c>
      <x:c r="C168" s="97" t="n">
        <x:v>45</x:v>
      </x:c>
      <x:c r="D168" s="97" t="str">
        <x:v>HP</x:v>
      </x:c>
      <x:c r="E168" s="99" t="n">
        <x:v>1</x:v>
      </x:c>
      <x:c r="F168" s="99" t="n">
        <x:v>0.045</x:v>
      </x:c>
      <x:c r="G168" s="99" t="n">
        <x:v>25</x:v>
      </x:c>
      <x:c r="H168" s="99" t="n">
        <x:v>0.05</x:v>
      </x:c>
      <x:c r="I168" s="99" t="n">
        <x:v>0.6300000000000006</x:v>
      </x:c>
      <x:c r="J168" s="98" t="n">
        <x:v>0.0001254486303021159</x:v>
      </x:c>
      <x:c r="K168" t="str">
        <x:v>low_vds</x:v>
      </x:c>
      <x:c r="L168" t="str">
        <x:v>low_drain_bias</x:v>
      </x:c>
      <x:c r="M168" t="n">
        <x:v>1</x:v>
      </x:c>
      <x:c r="N168" t="str">
        <x:v>simulation</x:v>
      </x:c>
      <x:c r="O168" t="str">
        <x:v>ngspice</x:v>
      </x:c>
      <x:c r="P168" t="str">
        <x:v>c9ed2e513523c57a76912a35b2860cb85e4aaa3402b69757d84efa9cc2fb8410</x:v>
      </x:c>
      <x:c r="Q168" t="str">
        <x:v>data/raw/ptm45_hp_vds_0p05v_raw.txt</x:v>
      </x:c>
    </x:row>
    <x:row r="169">
      <x:c r="A169" t="str">
        <x:v>PTM</x:v>
      </x:c>
      <x:c r="B169" t="str">
        <x:v>NMOS</x:v>
      </x:c>
      <x:c r="C169" s="97" t="n">
        <x:v>45</x:v>
      </x:c>
      <x:c r="D169" s="97" t="str">
        <x:v>HP</x:v>
      </x:c>
      <x:c r="E169" s="99" t="n">
        <x:v>1</x:v>
      </x:c>
      <x:c r="F169" s="99" t="n">
        <x:v>0.045</x:v>
      </x:c>
      <x:c r="G169" s="99" t="n">
        <x:v>25</x:v>
      </x:c>
      <x:c r="H169" s="99" t="n">
        <x:v>0.05</x:v>
      </x:c>
      <x:c r="I169" s="99" t="n">
        <x:v>0.6350000000000006</x:v>
      </x:c>
      <x:c r="J169" s="98" t="n">
        <x:v>0.0001277225643250604</x:v>
      </x:c>
      <x:c r="K169" t="str">
        <x:v>low_vds</x:v>
      </x:c>
      <x:c r="L169" t="str">
        <x:v>low_drain_bias</x:v>
      </x:c>
      <x:c r="M169" t="n">
        <x:v>1</x:v>
      </x:c>
      <x:c r="N169" t="str">
        <x:v>simulation</x:v>
      </x:c>
      <x:c r="O169" t="str">
        <x:v>ngspice</x:v>
      </x:c>
      <x:c r="P169" t="str">
        <x:v>c9ed2e513523c57a76912a35b2860cb85e4aaa3402b69757d84efa9cc2fb8410</x:v>
      </x:c>
      <x:c r="Q169" t="str">
        <x:v>data/raw/ptm45_hp_vds_0p05v_raw.txt</x:v>
      </x:c>
    </x:row>
    <x:row r="170">
      <x:c r="A170" t="str">
        <x:v>PTM</x:v>
      </x:c>
      <x:c r="B170" t="str">
        <x:v>NMOS</x:v>
      </x:c>
      <x:c r="C170" s="97" t="n">
        <x:v>45</x:v>
      </x:c>
      <x:c r="D170" s="97" t="str">
        <x:v>HP</x:v>
      </x:c>
      <x:c r="E170" s="99" t="n">
        <x:v>1</x:v>
      </x:c>
      <x:c r="F170" s="99" t="n">
        <x:v>0.045</x:v>
      </x:c>
      <x:c r="G170" s="99" t="n">
        <x:v>25</x:v>
      </x:c>
      <x:c r="H170" s="99" t="n">
        <x:v>0.05</x:v>
      </x:c>
      <x:c r="I170" s="99" t="n">
        <x:v>0.6400000000000006</x:v>
      </x:c>
      <x:c r="J170" s="98" t="n">
        <x:v>0.0001299448854531429</x:v>
      </x:c>
      <x:c r="K170" t="str">
        <x:v>low_vds</x:v>
      </x:c>
      <x:c r="L170" t="str">
        <x:v>low_drain_bias</x:v>
      </x:c>
      <x:c r="M170" t="n">
        <x:v>1</x:v>
      </x:c>
      <x:c r="N170" t="str">
        <x:v>simulation</x:v>
      </x:c>
      <x:c r="O170" t="str">
        <x:v>ngspice</x:v>
      </x:c>
      <x:c r="P170" t="str">
        <x:v>c9ed2e513523c57a76912a35b2860cb85e4aaa3402b69757d84efa9cc2fb8410</x:v>
      </x:c>
      <x:c r="Q170" t="str">
        <x:v>data/raw/ptm45_hp_vds_0p05v_raw.txt</x:v>
      </x:c>
    </x:row>
    <x:row r="171">
      <x:c r="A171" t="str">
        <x:v>PTM</x:v>
      </x:c>
      <x:c r="B171" t="str">
        <x:v>NMOS</x:v>
      </x:c>
      <x:c r="C171" s="97" t="n">
        <x:v>45</x:v>
      </x:c>
      <x:c r="D171" s="97" t="str">
        <x:v>HP</x:v>
      </x:c>
      <x:c r="E171" s="99" t="n">
        <x:v>1</x:v>
      </x:c>
      <x:c r="F171" s="99" t="n">
        <x:v>0.045</x:v>
      </x:c>
      <x:c r="G171" s="99" t="n">
        <x:v>25</x:v>
      </x:c>
      <x:c r="H171" s="99" t="n">
        <x:v>0.05</x:v>
      </x:c>
      <x:c r="I171" s="99" t="n">
        <x:v>0.6450000000000006</x:v>
      </x:c>
      <x:c r="J171" s="98" t="n">
        <x:v>0.0001321161682595349</x:v>
      </x:c>
      <x:c r="K171" t="str">
        <x:v>low_vds</x:v>
      </x:c>
      <x:c r="L171" t="str">
        <x:v>low_drain_bias</x:v>
      </x:c>
      <x:c r="M171" t="n">
        <x:v>1</x:v>
      </x:c>
      <x:c r="N171" t="str">
        <x:v>simulation</x:v>
      </x:c>
      <x:c r="O171" t="str">
        <x:v>ngspice</x:v>
      </x:c>
      <x:c r="P171" t="str">
        <x:v>c9ed2e513523c57a76912a35b2860cb85e4aaa3402b69757d84efa9cc2fb8410</x:v>
      </x:c>
      <x:c r="Q171" t="str">
        <x:v>data/raw/ptm45_hp_vds_0p05v_raw.txt</x:v>
      </x:c>
    </x:row>
    <x:row r="172">
      <x:c r="A172" t="str">
        <x:v>PTM</x:v>
      </x:c>
      <x:c r="B172" t="str">
        <x:v>NMOS</x:v>
      </x:c>
      <x:c r="C172" s="97" t="n">
        <x:v>45</x:v>
      </x:c>
      <x:c r="D172" s="97" t="str">
        <x:v>HP</x:v>
      </x:c>
      <x:c r="E172" s="99" t="n">
        <x:v>1</x:v>
      </x:c>
      <x:c r="F172" s="99" t="n">
        <x:v>0.045</x:v>
      </x:c>
      <x:c r="G172" s="99" t="n">
        <x:v>25</x:v>
      </x:c>
      <x:c r="H172" s="99" t="n">
        <x:v>0.05</x:v>
      </x:c>
      <x:c r="I172" s="99" t="n">
        <x:v>0.6500000000000006</x:v>
      </x:c>
      <x:c r="J172" s="98" t="n">
        <x:v>0.0001342370943695122</x:v>
      </x:c>
      <x:c r="K172" t="str">
        <x:v>low_vds</x:v>
      </x:c>
      <x:c r="L172" t="str">
        <x:v>low_drain_bias</x:v>
      </x:c>
      <x:c r="M172" t="n">
        <x:v>1</x:v>
      </x:c>
      <x:c r="N172" t="str">
        <x:v>simulation</x:v>
      </x:c>
      <x:c r="O172" t="str">
        <x:v>ngspice</x:v>
      </x:c>
      <x:c r="P172" t="str">
        <x:v>c9ed2e513523c57a76912a35b2860cb85e4aaa3402b69757d84efa9cc2fb8410</x:v>
      </x:c>
      <x:c r="Q172" t="str">
        <x:v>data/raw/ptm45_hp_vds_0p05v_raw.txt</x:v>
      </x:c>
    </x:row>
    <x:row r="173">
      <x:c r="A173" t="str">
        <x:v>PTM</x:v>
      </x:c>
      <x:c r="B173" t="str">
        <x:v>NMOS</x:v>
      </x:c>
      <x:c r="C173" s="97" t="n">
        <x:v>45</x:v>
      </x:c>
      <x:c r="D173" s="97" t="str">
        <x:v>HP</x:v>
      </x:c>
      <x:c r="E173" s="99" t="n">
        <x:v>1</x:v>
      </x:c>
      <x:c r="F173" s="99" t="n">
        <x:v>0.045</x:v>
      </x:c>
      <x:c r="G173" s="99" t="n">
        <x:v>25</x:v>
      </x:c>
      <x:c r="H173" s="99" t="n">
        <x:v>0.05</x:v>
      </x:c>
      <x:c r="I173" s="99" t="n">
        <x:v>0.6550000000000006</x:v>
      </x:c>
      <x:c r="J173" s="98" t="n">
        <x:v>0.000136308435812862</x:v>
      </x:c>
      <x:c r="K173" t="str">
        <x:v>low_vds</x:v>
      </x:c>
      <x:c r="L173" t="str">
        <x:v>low_drain_bias</x:v>
      </x:c>
      <x:c r="M173" t="n">
        <x:v>1</x:v>
      </x:c>
      <x:c r="N173" t="str">
        <x:v>simulation</x:v>
      </x:c>
      <x:c r="O173" t="str">
        <x:v>ngspice</x:v>
      </x:c>
      <x:c r="P173" t="str">
        <x:v>c9ed2e513523c57a76912a35b2860cb85e4aaa3402b69757d84efa9cc2fb8410</x:v>
      </x:c>
      <x:c r="Q173" t="str">
        <x:v>data/raw/ptm45_hp_vds_0p05v_raw.txt</x:v>
      </x:c>
    </x:row>
    <x:row r="174">
      <x:c r="A174" t="str">
        <x:v>PTM</x:v>
      </x:c>
      <x:c r="B174" t="str">
        <x:v>NMOS</x:v>
      </x:c>
      <x:c r="C174" s="97" t="n">
        <x:v>45</x:v>
      </x:c>
      <x:c r="D174" s="97" t="str">
        <x:v>HP</x:v>
      </x:c>
      <x:c r="E174" s="99" t="n">
        <x:v>1</x:v>
      </x:c>
      <x:c r="F174" s="99" t="n">
        <x:v>0.045</x:v>
      </x:c>
      <x:c r="G174" s="99" t="n">
        <x:v>25</x:v>
      </x:c>
      <x:c r="H174" s="99" t="n">
        <x:v>0.05</x:v>
      </x:c>
      <x:c r="I174" s="99" t="n">
        <x:v>0.6600000000000006</x:v>
      </x:c>
      <x:c r="J174" s="98" t="n">
        <x:v>0.0001383310399551863</x:v>
      </x:c>
      <x:c r="K174" t="str">
        <x:v>low_vds</x:v>
      </x:c>
      <x:c r="L174" t="str">
        <x:v>low_drain_bias</x:v>
      </x:c>
      <x:c r="M174" t="n">
        <x:v>1</x:v>
      </x:c>
      <x:c r="N174" t="str">
        <x:v>simulation</x:v>
      </x:c>
      <x:c r="O174" t="str">
        <x:v>ngspice</x:v>
      </x:c>
      <x:c r="P174" t="str">
        <x:v>c9ed2e513523c57a76912a35b2860cb85e4aaa3402b69757d84efa9cc2fb8410</x:v>
      </x:c>
      <x:c r="Q174" t="str">
        <x:v>data/raw/ptm45_hp_vds_0p05v_raw.txt</x:v>
      </x:c>
    </x:row>
    <x:row r="175">
      <x:c r="A175" t="str">
        <x:v>PTM</x:v>
      </x:c>
      <x:c r="B175" t="str">
        <x:v>NMOS</x:v>
      </x:c>
      <x:c r="C175" s="97" t="n">
        <x:v>45</x:v>
      </x:c>
      <x:c r="D175" s="97" t="str">
        <x:v>HP</x:v>
      </x:c>
      <x:c r="E175" s="99" t="n">
        <x:v>1</x:v>
      </x:c>
      <x:c r="F175" s="99" t="n">
        <x:v>0.045</x:v>
      </x:c>
      <x:c r="G175" s="99" t="n">
        <x:v>25</x:v>
      </x:c>
      <x:c r="H175" s="99" t="n">
        <x:v>0.05</x:v>
      </x:c>
      <x:c r="I175" s="99" t="n">
        <x:v>0.6650000000000006</x:v>
      </x:c>
      <x:c r="J175" s="98" t="n">
        <x:v>0.0001403058159329912</x:v>
      </x:c>
      <x:c r="K175" t="str">
        <x:v>low_vds</x:v>
      </x:c>
      <x:c r="L175" t="str">
        <x:v>low_drain_bias</x:v>
      </x:c>
      <x:c r="M175" t="n">
        <x:v>1</x:v>
      </x:c>
      <x:c r="N175" t="str">
        <x:v>simulation</x:v>
      </x:c>
      <x:c r="O175" t="str">
        <x:v>ngspice</x:v>
      </x:c>
      <x:c r="P175" t="str">
        <x:v>c9ed2e513523c57a76912a35b2860cb85e4aaa3402b69757d84efa9cc2fb8410</x:v>
      </x:c>
      <x:c r="Q175" t="str">
        <x:v>data/raw/ptm45_hp_vds_0p05v_raw.txt</x:v>
      </x:c>
    </x:row>
    <x:row r="176">
      <x:c r="A176" t="str">
        <x:v>PTM</x:v>
      </x:c>
      <x:c r="B176" t="str">
        <x:v>NMOS</x:v>
      </x:c>
      <x:c r="C176" s="97" t="n">
        <x:v>45</x:v>
      </x:c>
      <x:c r="D176" s="97" t="str">
        <x:v>HP</x:v>
      </x:c>
      <x:c r="E176" s="99" t="n">
        <x:v>1</x:v>
      </x:c>
      <x:c r="F176" s="99" t="n">
        <x:v>0.045</x:v>
      </x:c>
      <x:c r="G176" s="99" t="n">
        <x:v>25</x:v>
      </x:c>
      <x:c r="H176" s="99" t="n">
        <x:v>0.05</x:v>
      </x:c>
      <x:c r="I176" s="99" t="n">
        <x:v>0.6700000000000006</x:v>
      </x:c>
      <x:c r="J176" s="98" t="n">
        <x:v>0.0001422337225068904</x:v>
      </x:c>
      <x:c r="K176" t="str">
        <x:v>low_vds</x:v>
      </x:c>
      <x:c r="L176" t="str">
        <x:v>low_drain_bias</x:v>
      </x:c>
      <x:c r="M176" t="n">
        <x:v>1</x:v>
      </x:c>
      <x:c r="N176" t="str">
        <x:v>simulation</x:v>
      </x:c>
      <x:c r="O176" t="str">
        <x:v>ngspice</x:v>
      </x:c>
      <x:c r="P176" t="str">
        <x:v>c9ed2e513523c57a76912a35b2860cb85e4aaa3402b69757d84efa9cc2fb8410</x:v>
      </x:c>
      <x:c r="Q176" t="str">
        <x:v>data/raw/ptm45_hp_vds_0p05v_raw.txt</x:v>
      </x:c>
    </x:row>
    <x:row r="177">
      <x:c r="A177" t="str">
        <x:v>PTM</x:v>
      </x:c>
      <x:c r="B177" t="str">
        <x:v>NMOS</x:v>
      </x:c>
      <x:c r="C177" s="97" t="n">
        <x:v>45</x:v>
      </x:c>
      <x:c r="D177" s="97" t="str">
        <x:v>HP</x:v>
      </x:c>
      <x:c r="E177" s="99" t="n">
        <x:v>1</x:v>
      </x:c>
      <x:c r="F177" s="99" t="n">
        <x:v>0.045</x:v>
      </x:c>
      <x:c r="G177" s="99" t="n">
        <x:v>25</x:v>
      </x:c>
      <x:c r="H177" s="99" t="n">
        <x:v>0.05</x:v>
      </x:c>
      <x:c r="I177" s="99" t="n">
        <x:v>0.6750000000000006</x:v>
      </x:c>
      <x:c r="J177" s="98" t="n">
        <x:v>0.0001441157572407885</x:v>
      </x:c>
      <x:c r="K177" t="str">
        <x:v>low_vds</x:v>
      </x:c>
      <x:c r="L177" t="str">
        <x:v>low_drain_bias</x:v>
      </x:c>
      <x:c r="M177" t="n">
        <x:v>1</x:v>
      </x:c>
      <x:c r="N177" t="str">
        <x:v>simulation</x:v>
      </x:c>
      <x:c r="O177" t="str">
        <x:v>ngspice</x:v>
      </x:c>
      <x:c r="P177" t="str">
        <x:v>c9ed2e513523c57a76912a35b2860cb85e4aaa3402b69757d84efa9cc2fb8410</x:v>
      </x:c>
      <x:c r="Q177" t="str">
        <x:v>data/raw/ptm45_hp_vds_0p05v_raw.txt</x:v>
      </x:c>
    </x:row>
    <x:row r="178">
      <x:c r="A178" t="str">
        <x:v>PTM</x:v>
      </x:c>
      <x:c r="B178" t="str">
        <x:v>NMOS</x:v>
      </x:c>
      <x:c r="C178" s="97" t="n">
        <x:v>45</x:v>
      </x:c>
      <x:c r="D178" s="97" t="str">
        <x:v>HP</x:v>
      </x:c>
      <x:c r="E178" s="99" t="n">
        <x:v>1</x:v>
      </x:c>
      <x:c r="F178" s="99" t="n">
        <x:v>0.045</x:v>
      </x:c>
      <x:c r="G178" s="99" t="n">
        <x:v>25</x:v>
      </x:c>
      <x:c r="H178" s="99" t="n">
        <x:v>0.05</x:v>
      </x:c>
      <x:c r="I178" s="99" t="n">
        <x:v>0.6800000000000006</x:v>
      </x:c>
      <x:c r="J178" s="98" t="n">
        <x:v>0.0001459529469116511</x:v>
      </x:c>
      <x:c r="K178" t="str">
        <x:v>low_vds</x:v>
      </x:c>
      <x:c r="L178" t="str">
        <x:v>low_drain_bias</x:v>
      </x:c>
      <x:c r="M178" t="n">
        <x:v>1</x:v>
      </x:c>
      <x:c r="N178" t="str">
        <x:v>simulation</x:v>
      </x:c>
      <x:c r="O178" t="str">
        <x:v>ngspice</x:v>
      </x:c>
      <x:c r="P178" t="str">
        <x:v>c9ed2e513523c57a76912a35b2860cb85e4aaa3402b69757d84efa9cc2fb8410</x:v>
      </x:c>
      <x:c r="Q178" t="str">
        <x:v>data/raw/ptm45_hp_vds_0p05v_raw.txt</x:v>
      </x:c>
    </x:row>
    <x:row r="179">
      <x:c r="A179" t="str">
        <x:v>PTM</x:v>
      </x:c>
      <x:c r="B179" t="str">
        <x:v>NMOS</x:v>
      </x:c>
      <x:c r="C179" s="97" t="n">
        <x:v>45</x:v>
      </x:c>
      <x:c r="D179" s="97" t="str">
        <x:v>HP</x:v>
      </x:c>
      <x:c r="E179" s="99" t="n">
        <x:v>1</x:v>
      </x:c>
      <x:c r="F179" s="99" t="n">
        <x:v>0.045</x:v>
      </x:c>
      <x:c r="G179" s="99" t="n">
        <x:v>25</x:v>
      </x:c>
      <x:c r="H179" s="99" t="n">
        <x:v>0.05</x:v>
      </x:c>
      <x:c r="I179" s="99" t="n">
        <x:v>0.6850000000000006</x:v>
      </x:c>
      <x:c r="J179" s="98" t="n">
        <x:v>0.0001477463390537779</x:v>
      </x:c>
      <x:c r="K179" t="str">
        <x:v>low_vds</x:v>
      </x:c>
      <x:c r="L179" t="str">
        <x:v>low_drain_bias</x:v>
      </x:c>
      <x:c r="M179" t="n">
        <x:v>1</x:v>
      </x:c>
      <x:c r="N179" t="str">
        <x:v>simulation</x:v>
      </x:c>
      <x:c r="O179" t="str">
        <x:v>ngspice</x:v>
      </x:c>
      <x:c r="P179" t="str">
        <x:v>c9ed2e513523c57a76912a35b2860cb85e4aaa3402b69757d84efa9cc2fb8410</x:v>
      </x:c>
      <x:c r="Q179" t="str">
        <x:v>data/raw/ptm45_hp_vds_0p05v_raw.txt</x:v>
      </x:c>
    </x:row>
    <x:row r="180">
      <x:c r="A180" t="str">
        <x:v>PTM</x:v>
      </x:c>
      <x:c r="B180" t="str">
        <x:v>NMOS</x:v>
      </x:c>
      <x:c r="C180" s="97" t="n">
        <x:v>45</x:v>
      </x:c>
      <x:c r="D180" s="97" t="str">
        <x:v>HP</x:v>
      </x:c>
      <x:c r="E180" s="99" t="n">
        <x:v>1</x:v>
      </x:c>
      <x:c r="F180" s="99" t="n">
        <x:v>0.045</x:v>
      </x:c>
      <x:c r="G180" s="99" t="n">
        <x:v>25</x:v>
      </x:c>
      <x:c r="H180" s="99" t="n">
        <x:v>0.05</x:v>
      </x:c>
      <x:c r="I180" s="99" t="n">
        <x:v>0.6900000000000006</x:v>
      </x:c>
      <x:c r="J180" s="98" t="n">
        <x:v>0.0001494969945427979</x:v>
      </x:c>
      <x:c r="K180" t="str">
        <x:v>low_vds</x:v>
      </x:c>
      <x:c r="L180" t="str">
        <x:v>low_drain_bias</x:v>
      </x:c>
      <x:c r="M180" t="n">
        <x:v>1</x:v>
      </x:c>
      <x:c r="N180" t="str">
        <x:v>simulation</x:v>
      </x:c>
      <x:c r="O180" t="str">
        <x:v>ngspice</x:v>
      </x:c>
      <x:c r="P180" t="str">
        <x:v>c9ed2e513523c57a76912a35b2860cb85e4aaa3402b69757d84efa9cc2fb8410</x:v>
      </x:c>
      <x:c r="Q180" t="str">
        <x:v>data/raw/ptm45_hp_vds_0p05v_raw.txt</x:v>
      </x:c>
    </x:row>
    <x:row r="181">
      <x:c r="A181" t="str">
        <x:v>PTM</x:v>
      </x:c>
      <x:c r="B181" t="str">
        <x:v>NMOS</x:v>
      </x:c>
      <x:c r="C181" s="97" t="n">
        <x:v>45</x:v>
      </x:c>
      <x:c r="D181" s="97" t="str">
        <x:v>HP</x:v>
      </x:c>
      <x:c r="E181" s="99" t="n">
        <x:v>1</x:v>
      </x:c>
      <x:c r="F181" s="99" t="n">
        <x:v>0.045</x:v>
      </x:c>
      <x:c r="G181" s="99" t="n">
        <x:v>25</x:v>
      </x:c>
      <x:c r="H181" s="99" t="n">
        <x:v>0.05</x:v>
      </x:c>
      <x:c r="I181" s="99" t="n">
        <x:v>0.6950000000000006</x:v>
      </x:c>
      <x:c r="J181" s="98" t="n">
        <x:v>0.0001512059811273923</x:v>
      </x:c>
      <x:c r="K181" t="str">
        <x:v>low_vds</x:v>
      </x:c>
      <x:c r="L181" t="str">
        <x:v>low_drain_bias</x:v>
      </x:c>
      <x:c r="M181" t="n">
        <x:v>1</x:v>
      </x:c>
      <x:c r="N181" t="str">
        <x:v>simulation</x:v>
      </x:c>
      <x:c r="O181" t="str">
        <x:v>ngspice</x:v>
      </x:c>
      <x:c r="P181" t="str">
        <x:v>c9ed2e513523c57a76912a35b2860cb85e4aaa3402b69757d84efa9cc2fb8410</x:v>
      </x:c>
      <x:c r="Q181" t="str">
        <x:v>data/raw/ptm45_hp_vds_0p05v_raw.txt</x:v>
      </x:c>
    </x:row>
    <x:row r="182">
      <x:c r="A182" t="str">
        <x:v>PTM</x:v>
      </x:c>
      <x:c r="B182" t="str">
        <x:v>NMOS</x:v>
      </x:c>
      <x:c r="C182" s="97" t="n">
        <x:v>45</x:v>
      </x:c>
      <x:c r="D182" s="97" t="str">
        <x:v>HP</x:v>
      </x:c>
      <x:c r="E182" s="99" t="n">
        <x:v>1</x:v>
      </x:c>
      <x:c r="F182" s="99" t="n">
        <x:v>0.045</x:v>
      </x:c>
      <x:c r="G182" s="99" t="n">
        <x:v>25</x:v>
      </x:c>
      <x:c r="H182" s="99" t="n">
        <x:v>0.05</x:v>
      </x:c>
      <x:c r="I182" s="99" t="n">
        <x:v>0.7000000000000006</x:v>
      </x:c>
      <x:c r="J182" s="98" t="n">
        <x:v>0.0001528743678206304</x:v>
      </x:c>
      <x:c r="K182" t="str">
        <x:v>low_vds</x:v>
      </x:c>
      <x:c r="L182" t="str">
        <x:v>low_drain_bias</x:v>
      </x:c>
      <x:c r="M182" t="n">
        <x:v>1</x:v>
      </x:c>
      <x:c r="N182" t="str">
        <x:v>simulation</x:v>
      </x:c>
      <x:c r="O182" t="str">
        <x:v>ngspice</x:v>
      </x:c>
      <x:c r="P182" t="str">
        <x:v>c9ed2e513523c57a76912a35b2860cb85e4aaa3402b69757d84efa9cc2fb8410</x:v>
      </x:c>
      <x:c r="Q182" t="str">
        <x:v>data/raw/ptm45_hp_vds_0p05v_raw.txt</x:v>
      </x:c>
    </x:row>
    <x:row r="183">
      <x:c r="A183" t="str">
        <x:v>PTM</x:v>
      </x:c>
      <x:c r="B183" t="str">
        <x:v>NMOS</x:v>
      </x:c>
      <x:c r="C183" s="97" t="n">
        <x:v>45</x:v>
      </x:c>
      <x:c r="D183" s="97" t="str">
        <x:v>HP</x:v>
      </x:c>
      <x:c r="E183" s="99" t="n">
        <x:v>1</x:v>
      </x:c>
      <x:c r="F183" s="99" t="n">
        <x:v>0.045</x:v>
      </x:c>
      <x:c r="G183" s="99" t="n">
        <x:v>25</x:v>
      </x:c>
      <x:c r="H183" s="99" t="n">
        <x:v>0.05</x:v>
      </x:c>
      <x:c r="I183" s="99" t="n">
        <x:v>0.7050000000000006</x:v>
      </x:c>
      <x:c r="J183" s="98" t="n">
        <x:v>0.0001545032200674187</x:v>
      </x:c>
      <x:c r="K183" t="str">
        <x:v>low_vds</x:v>
      </x:c>
      <x:c r="L183" t="str">
        <x:v>low_drain_bias</x:v>
      </x:c>
      <x:c r="M183" t="n">
        <x:v>1</x:v>
      </x:c>
      <x:c r="N183" t="str">
        <x:v>simulation</x:v>
      </x:c>
      <x:c r="O183" t="str">
        <x:v>ngspice</x:v>
      </x:c>
      <x:c r="P183" t="str">
        <x:v>c9ed2e513523c57a76912a35b2860cb85e4aaa3402b69757d84efa9cc2fb8410</x:v>
      </x:c>
      <x:c r="Q183" t="str">
        <x:v>data/raw/ptm45_hp_vds_0p05v_raw.txt</x:v>
      </x:c>
    </x:row>
    <x:row r="184">
      <x:c r="A184" t="str">
        <x:v>PTM</x:v>
      </x:c>
      <x:c r="B184" t="str">
        <x:v>NMOS</x:v>
      </x:c>
      <x:c r="C184" s="97" t="n">
        <x:v>45</x:v>
      </x:c>
      <x:c r="D184" s="97" t="str">
        <x:v>HP</x:v>
      </x:c>
      <x:c r="E184" s="99" t="n">
        <x:v>1</x:v>
      </x:c>
      <x:c r="F184" s="99" t="n">
        <x:v>0.045</x:v>
      </x:c>
      <x:c r="G184" s="99" t="n">
        <x:v>25</x:v>
      </x:c>
      <x:c r="H184" s="99" t="n">
        <x:v>0.05</x:v>
      </x:c>
      <x:c r="I184" s="99" t="n">
        <x:v>0.7100000000000006</x:v>
      </x:c>
      <x:c r="J184" s="98" t="n">
        <x:v>0.0001560935956096761</x:v>
      </x:c>
      <x:c r="K184" t="str">
        <x:v>low_vds</x:v>
      </x:c>
      <x:c r="L184" t="str">
        <x:v>low_drain_bias</x:v>
      </x:c>
      <x:c r="M184" t="n">
        <x:v>1</x:v>
      </x:c>
      <x:c r="N184" t="str">
        <x:v>simulation</x:v>
      </x:c>
      <x:c r="O184" t="str">
        <x:v>ngspice</x:v>
      </x:c>
      <x:c r="P184" t="str">
        <x:v>c9ed2e513523c57a76912a35b2860cb85e4aaa3402b69757d84efa9cc2fb8410</x:v>
      </x:c>
      <x:c r="Q184" t="str">
        <x:v>data/raw/ptm45_hp_vds_0p05v_raw.txt</x:v>
      </x:c>
    </x:row>
    <x:row r="185">
      <x:c r="A185" t="str">
        <x:v>PTM</x:v>
      </x:c>
      <x:c r="B185" t="str">
        <x:v>NMOS</x:v>
      </x:c>
      <x:c r="C185" s="97" t="n">
        <x:v>45</x:v>
      </x:c>
      <x:c r="D185" s="97" t="str">
        <x:v>HP</x:v>
      </x:c>
      <x:c r="E185" s="99" t="n">
        <x:v>1</x:v>
      </x:c>
      <x:c r="F185" s="99" t="n">
        <x:v>0.045</x:v>
      </x:c>
      <x:c r="G185" s="99" t="n">
        <x:v>25</x:v>
      </x:c>
      <x:c r="H185" s="99" t="n">
        <x:v>0.05</x:v>
      </x:c>
      <x:c r="I185" s="99" t="n">
        <x:v>0.7150000000000006</x:v>
      </x:c>
      <x:c r="J185" s="98" t="n">
        <x:v>0.0001576465409762201</x:v>
      </x:c>
      <x:c r="K185" t="str">
        <x:v>low_vds</x:v>
      </x:c>
      <x:c r="L185" t="str">
        <x:v>low_drain_bias</x:v>
      </x:c>
      <x:c r="M185" t="n">
        <x:v>1</x:v>
      </x:c>
      <x:c r="N185" t="str">
        <x:v>simulation</x:v>
      </x:c>
      <x:c r="O185" t="str">
        <x:v>ngspice</x:v>
      </x:c>
      <x:c r="P185" t="str">
        <x:v>c9ed2e513523c57a76912a35b2860cb85e4aaa3402b69757d84efa9cc2fb8410</x:v>
      </x:c>
      <x:c r="Q185" t="str">
        <x:v>data/raw/ptm45_hp_vds_0p05v_raw.txt</x:v>
      </x:c>
    </x:row>
    <x:row r="186">
      <x:c r="A186" t="str">
        <x:v>PTM</x:v>
      </x:c>
      <x:c r="B186" t="str">
        <x:v>NMOS</x:v>
      </x:c>
      <x:c r="C186" s="97" t="n">
        <x:v>45</x:v>
      </x:c>
      <x:c r="D186" s="97" t="str">
        <x:v>HP</x:v>
      </x:c>
      <x:c r="E186" s="99" t="n">
        <x:v>1</x:v>
      </x:c>
      <x:c r="F186" s="99" t="n">
        <x:v>0.045</x:v>
      </x:c>
      <x:c r="G186" s="99" t="n">
        <x:v>25</x:v>
      </x:c>
      <x:c r="H186" s="99" t="n">
        <x:v>0.05</x:v>
      </x:c>
      <x:c r="I186" s="99" t="n">
        <x:v>0.7200000000000006</x:v>
      </x:c>
      <x:c r="J186" s="98" t="n">
        <x:v>0.0001591630885297855</x:v>
      </x:c>
      <x:c r="K186" t="str">
        <x:v>low_vds</x:v>
      </x:c>
      <x:c r="L186" t="str">
        <x:v>low_drain_bias</x:v>
      </x:c>
      <x:c r="M186" t="n">
        <x:v>1</x:v>
      </x:c>
      <x:c r="N186" t="str">
        <x:v>simulation</x:v>
      </x:c>
      <x:c r="O186" t="str">
        <x:v>ngspice</x:v>
      </x:c>
      <x:c r="P186" t="str">
        <x:v>c9ed2e513523c57a76912a35b2860cb85e4aaa3402b69757d84efa9cc2fb8410</x:v>
      </x:c>
      <x:c r="Q186" t="str">
        <x:v>data/raw/ptm45_hp_vds_0p05v_raw.txt</x:v>
      </x:c>
    </x:row>
    <x:row r="187">
      <x:c r="A187" t="str">
        <x:v>PTM</x:v>
      </x:c>
      <x:c r="B187" t="str">
        <x:v>NMOS</x:v>
      </x:c>
      <x:c r="C187" s="97" t="n">
        <x:v>45</x:v>
      </x:c>
      <x:c r="D187" s="97" t="str">
        <x:v>HP</x:v>
      </x:c>
      <x:c r="E187" s="99" t="n">
        <x:v>1</x:v>
      </x:c>
      <x:c r="F187" s="99" t="n">
        <x:v>0.045</x:v>
      </x:c>
      <x:c r="G187" s="99" t="n">
        <x:v>25</x:v>
      </x:c>
      <x:c r="H187" s="99" t="n">
        <x:v>0.05</x:v>
      </x:c>
      <x:c r="I187" s="99" t="n">
        <x:v>0.7250000000000006</x:v>
      </x:c>
      <x:c r="J187" s="98" t="n">
        <x:v>0.0001606442540090612</x:v>
      </x:c>
      <x:c r="K187" t="str">
        <x:v>low_vds</x:v>
      </x:c>
      <x:c r="L187" t="str">
        <x:v>low_drain_bias</x:v>
      </x:c>
      <x:c r="M187" t="n">
        <x:v>1</x:v>
      </x:c>
      <x:c r="N187" t="str">
        <x:v>simulation</x:v>
      </x:c>
      <x:c r="O187" t="str">
        <x:v>ngspice</x:v>
      </x:c>
      <x:c r="P187" t="str">
        <x:v>c9ed2e513523c57a76912a35b2860cb85e4aaa3402b69757d84efa9cc2fb8410</x:v>
      </x:c>
      <x:c r="Q187" t="str">
        <x:v>data/raw/ptm45_hp_vds_0p05v_raw.txt</x:v>
      </x:c>
    </x:row>
    <x:row r="188">
      <x:c r="A188" t="str">
        <x:v>PTM</x:v>
      </x:c>
      <x:c r="B188" t="str">
        <x:v>NMOS</x:v>
      </x:c>
      <x:c r="C188" s="97" t="n">
        <x:v>45</x:v>
      </x:c>
      <x:c r="D188" s="97" t="str">
        <x:v>HP</x:v>
      </x:c>
      <x:c r="E188" s="99" t="n">
        <x:v>1</x:v>
      </x:c>
      <x:c r="F188" s="99" t="n">
        <x:v>0.045</x:v>
      </x:c>
      <x:c r="G188" s="99" t="n">
        <x:v>25</x:v>
      </x:c>
      <x:c r="H188" s="99" t="n">
        <x:v>0.05</x:v>
      </x:c>
      <x:c r="I188" s="99" t="n">
        <x:v>0.7300000000000006</x:v>
      </x:c>
      <x:c r="J188" s="98" t="n">
        <x:v>0.0001620910345088853</x:v>
      </x:c>
      <x:c r="K188" t="str">
        <x:v>low_vds</x:v>
      </x:c>
      <x:c r="L188" t="str">
        <x:v>low_drain_bias</x:v>
      </x:c>
      <x:c r="M188" t="n">
        <x:v>1</x:v>
      </x:c>
      <x:c r="N188" t="str">
        <x:v>simulation</x:v>
      </x:c>
      <x:c r="O188" t="str">
        <x:v>ngspice</x:v>
      </x:c>
      <x:c r="P188" t="str">
        <x:v>c9ed2e513523c57a76912a35b2860cb85e4aaa3402b69757d84efa9cc2fb8410</x:v>
      </x:c>
      <x:c r="Q188" t="str">
        <x:v>data/raw/ptm45_hp_vds_0p05v_raw.txt</x:v>
      </x:c>
    </x:row>
    <x:row r="189">
      <x:c r="A189" t="str">
        <x:v>PTM</x:v>
      </x:c>
      <x:c r="B189" t="str">
        <x:v>NMOS</x:v>
      </x:c>
      <x:c r="C189" s="97" t="n">
        <x:v>45</x:v>
      </x:c>
      <x:c r="D189" s="97" t="str">
        <x:v>HP</x:v>
      </x:c>
      <x:c r="E189" s="99" t="n">
        <x:v>1</x:v>
      </x:c>
      <x:c r="F189" s="99" t="n">
        <x:v>0.045</x:v>
      </x:c>
      <x:c r="G189" s="99" t="n">
        <x:v>25</x:v>
      </x:c>
      <x:c r="H189" s="99" t="n">
        <x:v>0.05</x:v>
      </x:c>
      <x:c r="I189" s="99" t="n">
        <x:v>0.7350000000000007</x:v>
      </x:c>
      <x:c r="J189" s="98" t="n">
        <x:v>0.0001635044068468498</x:v>
      </x:c>
      <x:c r="K189" t="str">
        <x:v>low_vds</x:v>
      </x:c>
      <x:c r="L189" t="str">
        <x:v>low_drain_bias</x:v>
      </x:c>
      <x:c r="M189" t="n">
        <x:v>1</x:v>
      </x:c>
      <x:c r="N189" t="str">
        <x:v>simulation</x:v>
      </x:c>
      <x:c r="O189" t="str">
        <x:v>ngspice</x:v>
      </x:c>
      <x:c r="P189" t="str">
        <x:v>c9ed2e513523c57a76912a35b2860cb85e4aaa3402b69757d84efa9cc2fb8410</x:v>
      </x:c>
      <x:c r="Q189" t="str">
        <x:v>data/raw/ptm45_hp_vds_0p05v_raw.txt</x:v>
      </x:c>
    </x:row>
    <x:row r="190">
      <x:c r="A190" t="str">
        <x:v>PTM</x:v>
      </x:c>
      <x:c r="B190" t="str">
        <x:v>NMOS</x:v>
      </x:c>
      <x:c r="C190" s="97" t="n">
        <x:v>45</x:v>
      </x:c>
      <x:c r="D190" s="97" t="str">
        <x:v>HP</x:v>
      </x:c>
      <x:c r="E190" s="99" t="n">
        <x:v>1</x:v>
      </x:c>
      <x:c r="F190" s="99" t="n">
        <x:v>0.045</x:v>
      </x:c>
      <x:c r="G190" s="99" t="n">
        <x:v>25</x:v>
      </x:c>
      <x:c r="H190" s="99" t="n">
        <x:v>0.05</x:v>
      </x:c>
      <x:c r="I190" s="99" t="n">
        <x:v>0.7400000000000007</x:v>
      </x:c>
      <x:c r="J190" s="98" t="n">
        <x:v>0.0001648853262693932</x:v>
      </x:c>
      <x:c r="K190" t="str">
        <x:v>low_vds</x:v>
      </x:c>
      <x:c r="L190" t="str">
        <x:v>low_drain_bias</x:v>
      </x:c>
      <x:c r="M190" t="n">
        <x:v>1</x:v>
      </x:c>
      <x:c r="N190" t="str">
        <x:v>simulation</x:v>
      </x:c>
      <x:c r="O190" t="str">
        <x:v>ngspice</x:v>
      </x:c>
      <x:c r="P190" t="str">
        <x:v>c9ed2e513523c57a76912a35b2860cb85e4aaa3402b69757d84efa9cc2fb8410</x:v>
      </x:c>
      <x:c r="Q190" t="str">
        <x:v>data/raw/ptm45_hp_vds_0p05v_raw.txt</x:v>
      </x:c>
    </x:row>
    <x:row r="191">
      <x:c r="A191" t="str">
        <x:v>PTM</x:v>
      </x:c>
      <x:c r="B191" t="str">
        <x:v>NMOS</x:v>
      </x:c>
      <x:c r="C191" s="97" t="n">
        <x:v>45</x:v>
      </x:c>
      <x:c r="D191" s="97" t="str">
        <x:v>HP</x:v>
      </x:c>
      <x:c r="E191" s="99" t="n">
        <x:v>1</x:v>
      </x:c>
      <x:c r="F191" s="99" t="n">
        <x:v>0.045</x:v>
      </x:c>
      <x:c r="G191" s="99" t="n">
        <x:v>25</x:v>
      </x:c>
      <x:c r="H191" s="99" t="n">
        <x:v>0.05</x:v>
      </x:c>
      <x:c r="I191" s="99" t="n">
        <x:v>0.7450000000000007</x:v>
      </x:c>
      <x:c r="J191" s="98" t="n">
        <x:v>0.0001662347254550133</x:v>
      </x:c>
      <x:c r="K191" t="str">
        <x:v>low_vds</x:v>
      </x:c>
      <x:c r="L191" t="str">
        <x:v>low_drain_bias</x:v>
      </x:c>
      <x:c r="M191" t="n">
        <x:v>1</x:v>
      </x:c>
      <x:c r="N191" t="str">
        <x:v>simulation</x:v>
      </x:c>
      <x:c r="O191" t="str">
        <x:v>ngspice</x:v>
      </x:c>
      <x:c r="P191" t="str">
        <x:v>c9ed2e513523c57a76912a35b2860cb85e4aaa3402b69757d84efa9cc2fb8410</x:v>
      </x:c>
      <x:c r="Q191" t="str">
        <x:v>data/raw/ptm45_hp_vds_0p05v_raw.txt</x:v>
      </x:c>
    </x:row>
    <x:row r="192">
      <x:c r="A192" t="str">
        <x:v>PTM</x:v>
      </x:c>
      <x:c r="B192" t="str">
        <x:v>NMOS</x:v>
      </x:c>
      <x:c r="C192" s="97" t="n">
        <x:v>45</x:v>
      </x:c>
      <x:c r="D192" s="97" t="str">
        <x:v>HP</x:v>
      </x:c>
      <x:c r="E192" s="99" t="n">
        <x:v>1</x:v>
      </x:c>
      <x:c r="F192" s="99" t="n">
        <x:v>0.045</x:v>
      </x:c>
      <x:c r="G192" s="99" t="n">
        <x:v>25</x:v>
      </x:c>
      <x:c r="H192" s="99" t="n">
        <x:v>0.05</x:v>
      </x:c>
      <x:c r="I192" s="99" t="n">
        <x:v>0.7500000000000007</x:v>
      </x:c>
      <x:c r="J192" s="98" t="n">
        <x:v>0.0001675535137764735</x:v>
      </x:c>
      <x:c r="K192" t="str">
        <x:v>low_vds</x:v>
      </x:c>
      <x:c r="L192" t="str">
        <x:v>low_drain_bias</x:v>
      </x:c>
      <x:c r="M192" t="n">
        <x:v>1</x:v>
      </x:c>
      <x:c r="N192" t="str">
        <x:v>simulation</x:v>
      </x:c>
      <x:c r="O192" t="str">
        <x:v>ngspice</x:v>
      </x:c>
      <x:c r="P192" t="str">
        <x:v>c9ed2e513523c57a76912a35b2860cb85e4aaa3402b69757d84efa9cc2fb8410</x:v>
      </x:c>
      <x:c r="Q192" t="str">
        <x:v>data/raw/ptm45_hp_vds_0p05v_raw.txt</x:v>
      </x:c>
    </x:row>
    <x:row r="193">
      <x:c r="A193" t="str">
        <x:v>PTM</x:v>
      </x:c>
      <x:c r="B193" t="str">
        <x:v>NMOS</x:v>
      </x:c>
      <x:c r="C193" s="97" t="n">
        <x:v>45</x:v>
      </x:c>
      <x:c r="D193" s="97" t="str">
        <x:v>HP</x:v>
      </x:c>
      <x:c r="E193" s="99" t="n">
        <x:v>1</x:v>
      </x:c>
      <x:c r="F193" s="99" t="n">
        <x:v>0.045</x:v>
      </x:c>
      <x:c r="G193" s="99" t="n">
        <x:v>25</x:v>
      </x:c>
      <x:c r="H193" s="99" t="n">
        <x:v>0.05</x:v>
      </x:c>
      <x:c r="I193" s="99" t="n">
        <x:v>0.7550000000000007</x:v>
      </x:c>
      <x:c r="J193" s="98" t="n">
        <x:v>0.0001688425767878221</x:v>
      </x:c>
      <x:c r="K193" t="str">
        <x:v>low_vds</x:v>
      </x:c>
      <x:c r="L193" t="str">
        <x:v>low_drain_bias</x:v>
      </x:c>
      <x:c r="M193" t="n">
        <x:v>1</x:v>
      </x:c>
      <x:c r="N193" t="str">
        <x:v>simulation</x:v>
      </x:c>
      <x:c r="O193" t="str">
        <x:v>ngspice</x:v>
      </x:c>
      <x:c r="P193" t="str">
        <x:v>c9ed2e513523c57a76912a35b2860cb85e4aaa3402b69757d84efa9cc2fb8410</x:v>
      </x:c>
      <x:c r="Q193" t="str">
        <x:v>data/raw/ptm45_hp_vds_0p05v_raw.txt</x:v>
      </x:c>
    </x:row>
    <x:row r="194">
      <x:c r="A194" t="str">
        <x:v>PTM</x:v>
      </x:c>
      <x:c r="B194" t="str">
        <x:v>NMOS</x:v>
      </x:c>
      <x:c r="C194" s="97" t="n">
        <x:v>45</x:v>
      </x:c>
      <x:c r="D194" s="97" t="str">
        <x:v>HP</x:v>
      </x:c>
      <x:c r="E194" s="99" t="n">
        <x:v>1</x:v>
      </x:c>
      <x:c r="F194" s="99" t="n">
        <x:v>0.045</x:v>
      </x:c>
      <x:c r="G194" s="99" t="n">
        <x:v>25</x:v>
      </x:c>
      <x:c r="H194" s="99" t="n">
        <x:v>0.05</x:v>
      </x:c>
      <x:c r="I194" s="99" t="n">
        <x:v>0.7600000000000007</x:v>
      </x:c>
      <x:c r="J194" s="98" t="n">
        <x:v>0.0001701027759056667</x:v>
      </x:c>
      <x:c r="K194" t="str">
        <x:v>low_vds</x:v>
      </x:c>
      <x:c r="L194" t="str">
        <x:v>low_drain_bias</x:v>
      </x:c>
      <x:c r="M194" t="n">
        <x:v>1</x:v>
      </x:c>
      <x:c r="N194" t="str">
        <x:v>simulation</x:v>
      </x:c>
      <x:c r="O194" t="str">
        <x:v>ngspice</x:v>
      </x:c>
      <x:c r="P194" t="str">
        <x:v>c9ed2e513523c57a76912a35b2860cb85e4aaa3402b69757d84efa9cc2fb8410</x:v>
      </x:c>
      <x:c r="Q194" t="str">
        <x:v>data/raw/ptm45_hp_vds_0p05v_raw.txt</x:v>
      </x:c>
    </x:row>
    <x:row r="195">
      <x:c r="A195" t="str">
        <x:v>PTM</x:v>
      </x:c>
      <x:c r="B195" t="str">
        <x:v>NMOS</x:v>
      </x:c>
      <x:c r="C195" s="97" t="n">
        <x:v>45</x:v>
      </x:c>
      <x:c r="D195" s="97" t="str">
        <x:v>HP</x:v>
      </x:c>
      <x:c r="E195" s="99" t="n">
        <x:v>1</x:v>
      </x:c>
      <x:c r="F195" s="99" t="n">
        <x:v>0.045</x:v>
      </x:c>
      <x:c r="G195" s="99" t="n">
        <x:v>25</x:v>
      </x:c>
      <x:c r="H195" s="99" t="n">
        <x:v>0.05</x:v>
      </x:c>
      <x:c r="I195" s="99" t="n">
        <x:v>0.7650000000000007</x:v>
      </x:c>
      <x:c r="J195" s="98" t="n">
        <x:v>0.0001713349482574721</x:v>
      </x:c>
      <x:c r="K195" t="str">
        <x:v>low_vds</x:v>
      </x:c>
      <x:c r="L195" t="str">
        <x:v>low_drain_bias</x:v>
      </x:c>
      <x:c r="M195" t="n">
        <x:v>1</x:v>
      </x:c>
      <x:c r="N195" t="str">
        <x:v>simulation</x:v>
      </x:c>
      <x:c r="O195" t="str">
        <x:v>ngspice</x:v>
      </x:c>
      <x:c r="P195" t="str">
        <x:v>c9ed2e513523c57a76912a35b2860cb85e4aaa3402b69757d84efa9cc2fb8410</x:v>
      </x:c>
      <x:c r="Q195" t="str">
        <x:v>data/raw/ptm45_hp_vds_0p05v_raw.txt</x:v>
      </x:c>
    </x:row>
    <x:row r="196">
      <x:c r="A196" t="str">
        <x:v>PTM</x:v>
      </x:c>
      <x:c r="B196" t="str">
        <x:v>NMOS</x:v>
      </x:c>
      <x:c r="C196" s="97" t="n">
        <x:v>45</x:v>
      </x:c>
      <x:c r="D196" s="97" t="str">
        <x:v>HP</x:v>
      </x:c>
      <x:c r="E196" s="99" t="n">
        <x:v>1</x:v>
      </x:c>
      <x:c r="F196" s="99" t="n">
        <x:v>0.045</x:v>
      </x:c>
      <x:c r="G196" s="99" t="n">
        <x:v>25</x:v>
      </x:c>
      <x:c r="H196" s="99" t="n">
        <x:v>0.05</x:v>
      </x:c>
      <x:c r="I196" s="99" t="n">
        <x:v>0.7700000000000007</x:v>
      </x:c>
      <x:c r="J196" s="98" t="n">
        <x:v>0.0001725399066726859</x:v>
      </x:c>
      <x:c r="K196" t="str">
        <x:v>low_vds</x:v>
      </x:c>
      <x:c r="L196" t="str">
        <x:v>low_drain_bias</x:v>
      </x:c>
      <x:c r="M196" t="n">
        <x:v>1</x:v>
      </x:c>
      <x:c r="N196" t="str">
        <x:v>simulation</x:v>
      </x:c>
      <x:c r="O196" t="str">
        <x:v>ngspice</x:v>
      </x:c>
      <x:c r="P196" t="str">
        <x:v>c9ed2e513523c57a76912a35b2860cb85e4aaa3402b69757d84efa9cc2fb8410</x:v>
      </x:c>
      <x:c r="Q196" t="str">
        <x:v>data/raw/ptm45_hp_vds_0p05v_raw.txt</x:v>
      </x:c>
    </x:row>
    <x:row r="197">
      <x:c r="A197" t="str">
        <x:v>PTM</x:v>
      </x:c>
      <x:c r="B197" t="str">
        <x:v>NMOS</x:v>
      </x:c>
      <x:c r="C197" s="97" t="n">
        <x:v>45</x:v>
      </x:c>
      <x:c r="D197" s="97" t="str">
        <x:v>HP</x:v>
      </x:c>
      <x:c r="E197" s="99" t="n">
        <x:v>1</x:v>
      </x:c>
      <x:c r="F197" s="99" t="n">
        <x:v>0.045</x:v>
      </x:c>
      <x:c r="G197" s="99" t="n">
        <x:v>25</x:v>
      </x:c>
      <x:c r="H197" s="99" t="n">
        <x:v>0.05</x:v>
      </x:c>
      <x:c r="I197" s="99" t="n">
        <x:v>0.7750000000000007</x:v>
      </x:c>
      <x:c r="J197" s="98" t="n">
        <x:v>0.0001737184397952512</x:v>
      </x:c>
      <x:c r="K197" t="str">
        <x:v>low_vds</x:v>
      </x:c>
      <x:c r="L197" t="str">
        <x:v>low_drain_bias</x:v>
      </x:c>
      <x:c r="M197" t="n">
        <x:v>1</x:v>
      </x:c>
      <x:c r="N197" t="str">
        <x:v>simulation</x:v>
      </x:c>
      <x:c r="O197" t="str">
        <x:v>ngspice</x:v>
      </x:c>
      <x:c r="P197" t="str">
        <x:v>c9ed2e513523c57a76912a35b2860cb85e4aaa3402b69757d84efa9cc2fb8410</x:v>
      </x:c>
      <x:c r="Q197" t="str">
        <x:v>data/raw/ptm45_hp_vds_0p05v_raw.txt</x:v>
      </x:c>
    </x:row>
    <x:row r="198">
      <x:c r="A198" t="str">
        <x:v>PTM</x:v>
      </x:c>
      <x:c r="B198" t="str">
        <x:v>NMOS</x:v>
      </x:c>
      <x:c r="C198" s="97" t="n">
        <x:v>45</x:v>
      </x:c>
      <x:c r="D198" s="97" t="str">
        <x:v>HP</x:v>
      </x:c>
      <x:c r="E198" s="99" t="n">
        <x:v>1</x:v>
      </x:c>
      <x:c r="F198" s="99" t="n">
        <x:v>0.045</x:v>
      </x:c>
      <x:c r="G198" s="99" t="n">
        <x:v>25</x:v>
      </x:c>
      <x:c r="H198" s="99" t="n">
        <x:v>0.05</x:v>
      </x:c>
      <x:c r="I198" s="99" t="n">
        <x:v>0.7800000000000007</x:v>
      </x:c>
      <x:c r="J198" s="98" t="n">
        <x:v>0.000174871312298563</x:v>
      </x:c>
      <x:c r="K198" t="str">
        <x:v>low_vds</x:v>
      </x:c>
      <x:c r="L198" t="str">
        <x:v>low_drain_bias</x:v>
      </x:c>
      <x:c r="M198" t="n">
        <x:v>1</x:v>
      </x:c>
      <x:c r="N198" t="str">
        <x:v>simulation</x:v>
      </x:c>
      <x:c r="O198" t="str">
        <x:v>ngspice</x:v>
      </x:c>
      <x:c r="P198" t="str">
        <x:v>c9ed2e513523c57a76912a35b2860cb85e4aaa3402b69757d84efa9cc2fb8410</x:v>
      </x:c>
      <x:c r="Q198" t="str">
        <x:v>data/raw/ptm45_hp_vds_0p05v_raw.txt</x:v>
      </x:c>
    </x:row>
    <x:row r="199">
      <x:c r="A199" t="str">
        <x:v>PTM</x:v>
      </x:c>
      <x:c r="B199" t="str">
        <x:v>NMOS</x:v>
      </x:c>
      <x:c r="C199" s="97" t="n">
        <x:v>45</x:v>
      </x:c>
      <x:c r="D199" s="97" t="str">
        <x:v>HP</x:v>
      </x:c>
      <x:c r="E199" s="99" t="n">
        <x:v>1</x:v>
      </x:c>
      <x:c r="F199" s="99" t="n">
        <x:v>0.045</x:v>
      </x:c>
      <x:c r="G199" s="99" t="n">
        <x:v>25</x:v>
      </x:c>
      <x:c r="H199" s="99" t="n">
        <x:v>0.05</x:v>
      </x:c>
      <x:c r="I199" s="99" t="n">
        <x:v>0.7850000000000007</x:v>
      </x:c>
      <x:c r="J199" s="98" t="n">
        <x:v>0.0001759992651861622</x:v>
      </x:c>
      <x:c r="K199" t="str">
        <x:v>low_vds</x:v>
      </x:c>
      <x:c r="L199" t="str">
        <x:v>low_drain_bias</x:v>
      </x:c>
      <x:c r="M199" t="n">
        <x:v>1</x:v>
      </x:c>
      <x:c r="N199" t="str">
        <x:v>simulation</x:v>
      </x:c>
      <x:c r="O199" t="str">
        <x:v>ngspice</x:v>
      </x:c>
      <x:c r="P199" t="str">
        <x:v>c9ed2e513523c57a76912a35b2860cb85e4aaa3402b69757d84efa9cc2fb8410</x:v>
      </x:c>
      <x:c r="Q199" t="str">
        <x:v>data/raw/ptm45_hp_vds_0p05v_raw.txt</x:v>
      </x:c>
    </x:row>
    <x:row r="200">
      <x:c r="A200" t="str">
        <x:v>PTM</x:v>
      </x:c>
      <x:c r="B200" t="str">
        <x:v>NMOS</x:v>
      </x:c>
      <x:c r="C200" s="97" t="n">
        <x:v>45</x:v>
      </x:c>
      <x:c r="D200" s="97" t="str">
        <x:v>HP</x:v>
      </x:c>
      <x:c r="E200" s="99" t="n">
        <x:v>1</x:v>
      </x:c>
      <x:c r="F200" s="99" t="n">
        <x:v>0.045</x:v>
      </x:c>
      <x:c r="G200" s="99" t="n">
        <x:v>25</x:v>
      </x:c>
      <x:c r="H200" s="99" t="n">
        <x:v>0.05</x:v>
      </x:c>
      <x:c r="I200" s="99" t="n">
        <x:v>0.7900000000000007</x:v>
      </x:c>
      <x:c r="J200" s="98" t="n">
        <x:v>0.0001771030161635162</x:v>
      </x:c>
      <x:c r="K200" t="str">
        <x:v>low_vds</x:v>
      </x:c>
      <x:c r="L200" t="str">
        <x:v>low_drain_bias</x:v>
      </x:c>
      <x:c r="M200" t="n">
        <x:v>1</x:v>
      </x:c>
      <x:c r="N200" t="str">
        <x:v>simulation</x:v>
      </x:c>
      <x:c r="O200" t="str">
        <x:v>ngspice</x:v>
      </x:c>
      <x:c r="P200" t="str">
        <x:v>c9ed2e513523c57a76912a35b2860cb85e4aaa3402b69757d84efa9cc2fb8410</x:v>
      </x:c>
      <x:c r="Q200" t="str">
        <x:v>data/raw/ptm45_hp_vds_0p05v_raw.txt</x:v>
      </x:c>
    </x:row>
    <x:row r="201">
      <x:c r="A201" t="str">
        <x:v>PTM</x:v>
      </x:c>
      <x:c r="B201" t="str">
        <x:v>NMOS</x:v>
      </x:c>
      <x:c r="C201" s="97" t="n">
        <x:v>45</x:v>
      </x:c>
      <x:c r="D201" s="97" t="str">
        <x:v>HP</x:v>
      </x:c>
      <x:c r="E201" s="99" t="n">
        <x:v>1</x:v>
      </x:c>
      <x:c r="F201" s="99" t="n">
        <x:v>0.045</x:v>
      </x:c>
      <x:c r="G201" s="99" t="n">
        <x:v>25</x:v>
      </x:c>
      <x:c r="H201" s="99" t="n">
        <x:v>0.05</x:v>
      </x:c>
      <x:c r="I201" s="99" t="n">
        <x:v>0.7950000000000007</x:v>
      </x:c>
      <x:c r="J201" s="98" t="n">
        <x:v>0.0001781832600680055</x:v>
      </x:c>
      <x:c r="K201" t="str">
        <x:v>low_vds</x:v>
      </x:c>
      <x:c r="L201" t="str">
        <x:v>low_drain_bias</x:v>
      </x:c>
      <x:c r="M201" t="n">
        <x:v>1</x:v>
      </x:c>
      <x:c r="N201" t="str">
        <x:v>simulation</x:v>
      </x:c>
      <x:c r="O201" t="str">
        <x:v>ngspice</x:v>
      </x:c>
      <x:c r="P201" t="str">
        <x:v>c9ed2e513523c57a76912a35b2860cb85e4aaa3402b69757d84efa9cc2fb8410</x:v>
      </x:c>
      <x:c r="Q201" t="str">
        <x:v>data/raw/ptm45_hp_vds_0p05v_raw.txt</x:v>
      </x:c>
    </x:row>
    <x:row r="202">
      <x:c r="A202" t="str">
        <x:v>PTM</x:v>
      </x:c>
      <x:c r="B202" t="str">
        <x:v>NMOS</x:v>
      </x:c>
      <x:c r="C202" s="97" t="n">
        <x:v>45</x:v>
      </x:c>
      <x:c r="D202" s="97" t="str">
        <x:v>HP</x:v>
      </x:c>
      <x:c r="E202" s="99" t="n">
        <x:v>1</x:v>
      </x:c>
      <x:c r="F202" s="99" t="n">
        <x:v>0.045</x:v>
      </x:c>
      <x:c r="G202" s="99" t="n">
        <x:v>25</x:v>
      </x:c>
      <x:c r="H202" s="99" t="n">
        <x:v>0.05</x:v>
      </x:c>
      <x:c r="I202" s="99" t="n">
        <x:v>0.8000000000000007</x:v>
      </x:c>
      <x:c r="J202" s="98" t="n">
        <x:v>0.000179240669345907</x:v>
      </x:c>
      <x:c r="K202" t="str">
        <x:v>low_vds</x:v>
      </x:c>
      <x:c r="L202" t="str">
        <x:v>low_drain_bias</x:v>
      </x:c>
      <x:c r="M202" t="n">
        <x:v>1</x:v>
      </x:c>
      <x:c r="N202" t="str">
        <x:v>simulation</x:v>
      </x:c>
      <x:c r="O202" t="str">
        <x:v>ngspice</x:v>
      </x:c>
      <x:c r="P202" t="str">
        <x:v>c9ed2e513523c57a76912a35b2860cb85e4aaa3402b69757d84efa9cc2fb8410</x:v>
      </x:c>
      <x:c r="Q202" t="str">
        <x:v>data/raw/ptm45_hp_vds_0p05v_raw.txt</x:v>
      </x:c>
    </x:row>
    <x:row r="203">
      <x:c r="A203" t="str">
        <x:v>PTM</x:v>
      </x:c>
      <x:c r="B203" t="str">
        <x:v>NMOS</x:v>
      </x:c>
      <x:c r="C203" s="97" t="n">
        <x:v>45</x:v>
      </x:c>
      <x:c r="D203" s="97" t="str">
        <x:v>HP</x:v>
      </x:c>
      <x:c r="E203" s="99" t="n">
        <x:v>1</x:v>
      </x:c>
      <x:c r="F203" s="99" t="n">
        <x:v>0.045</x:v>
      </x:c>
      <x:c r="G203" s="99" t="n">
        <x:v>25</x:v>
      </x:c>
      <x:c r="H203" s="99" t="n">
        <x:v>0.05</x:v>
      </x:c>
      <x:c r="I203" s="99" t="n">
        <x:v>0.8050000000000007</x:v>
      </x:c>
      <x:c r="J203" s="98" t="n">
        <x:v>0.0001802758945665654</x:v>
      </x:c>
      <x:c r="K203" t="str">
        <x:v>low_vds</x:v>
      </x:c>
      <x:c r="L203" t="str">
        <x:v>low_drain_bias</x:v>
      </x:c>
      <x:c r="M203" t="n">
        <x:v>1</x:v>
      </x:c>
      <x:c r="N203" t="str">
        <x:v>simulation</x:v>
      </x:c>
      <x:c r="O203" t="str">
        <x:v>ngspice</x:v>
      </x:c>
      <x:c r="P203" t="str">
        <x:v>c9ed2e513523c57a76912a35b2860cb85e4aaa3402b69757d84efa9cc2fb8410</x:v>
      </x:c>
      <x:c r="Q203" t="str">
        <x:v>data/raw/ptm45_hp_vds_0p05v_raw.txt</x:v>
      </x:c>
    </x:row>
    <x:row r="204">
      <x:c r="A204" t="str">
        <x:v>PTM</x:v>
      </x:c>
      <x:c r="B204" t="str">
        <x:v>NMOS</x:v>
      </x:c>
      <x:c r="C204" s="97" t="n">
        <x:v>45</x:v>
      </x:c>
      <x:c r="D204" s="97" t="str">
        <x:v>HP</x:v>
      </x:c>
      <x:c r="E204" s="99" t="n">
        <x:v>1</x:v>
      </x:c>
      <x:c r="F204" s="99" t="n">
        <x:v>0.045</x:v>
      </x:c>
      <x:c r="G204" s="99" t="n">
        <x:v>25</x:v>
      </x:c>
      <x:c r="H204" s="99" t="n">
        <x:v>0.05</x:v>
      </x:c>
      <x:c r="I204" s="99" t="n">
        <x:v>0.8100000000000007</x:v>
      </x:c>
      <x:c r="J204" s="98" t="n">
        <x:v>0.0001812895649652771</x:v>
      </x:c>
      <x:c r="K204" t="str">
        <x:v>low_vds</x:v>
      </x:c>
      <x:c r="L204" t="str">
        <x:v>low_drain_bias</x:v>
      </x:c>
      <x:c r="M204" t="n">
        <x:v>1</x:v>
      </x:c>
      <x:c r="N204" t="str">
        <x:v>simulation</x:v>
      </x:c>
      <x:c r="O204" t="str">
        <x:v>ngspice</x:v>
      </x:c>
      <x:c r="P204" t="str">
        <x:v>c9ed2e513523c57a76912a35b2860cb85e4aaa3402b69757d84efa9cc2fb8410</x:v>
      </x:c>
      <x:c r="Q204" t="str">
        <x:v>data/raw/ptm45_hp_vds_0p05v_raw.txt</x:v>
      </x:c>
    </x:row>
    <x:row r="205">
      <x:c r="A205" t="str">
        <x:v>PTM</x:v>
      </x:c>
      <x:c r="B205" t="str">
        <x:v>NMOS</x:v>
      </x:c>
      <x:c r="C205" s="97" t="n">
        <x:v>45</x:v>
      </x:c>
      <x:c r="D205" s="97" t="str">
        <x:v>HP</x:v>
      </x:c>
      <x:c r="E205" s="99" t="n">
        <x:v>1</x:v>
      </x:c>
      <x:c r="F205" s="99" t="n">
        <x:v>0.045</x:v>
      </x:c>
      <x:c r="G205" s="99" t="n">
        <x:v>25</x:v>
      </x:c>
      <x:c r="H205" s="99" t="n">
        <x:v>0.05</x:v>
      </x:c>
      <x:c r="I205" s="99" t="n">
        <x:v>0.8150000000000007</x:v>
      </x:c>
      <x:c r="J205" s="98" t="n">
        <x:v>0.000182282289007518</x:v>
      </x:c>
      <x:c r="K205" t="str">
        <x:v>low_vds</x:v>
      </x:c>
      <x:c r="L205" t="str">
        <x:v>low_drain_bias</x:v>
      </x:c>
      <x:c r="M205" t="n">
        <x:v>1</x:v>
      </x:c>
      <x:c r="N205" t="str">
        <x:v>simulation</x:v>
      </x:c>
      <x:c r="O205" t="str">
        <x:v>ngspice</x:v>
      </x:c>
      <x:c r="P205" t="str">
        <x:v>c9ed2e513523c57a76912a35b2860cb85e4aaa3402b69757d84efa9cc2fb8410</x:v>
      </x:c>
      <x:c r="Q205" t="str">
        <x:v>data/raw/ptm45_hp_vds_0p05v_raw.txt</x:v>
      </x:c>
    </x:row>
    <x:row r="206">
      <x:c r="A206" t="str">
        <x:v>PTM</x:v>
      </x:c>
      <x:c r="B206" t="str">
        <x:v>NMOS</x:v>
      </x:c>
      <x:c r="C206" s="97" t="n">
        <x:v>45</x:v>
      </x:c>
      <x:c r="D206" s="97" t="str">
        <x:v>HP</x:v>
      </x:c>
      <x:c r="E206" s="99" t="n">
        <x:v>1</x:v>
      </x:c>
      <x:c r="F206" s="99" t="n">
        <x:v>0.045</x:v>
      </x:c>
      <x:c r="G206" s="99" t="n">
        <x:v>25</x:v>
      </x:c>
      <x:c r="H206" s="99" t="n">
        <x:v>0.05</x:v>
      </x:c>
      <x:c r="I206" s="99" t="n">
        <x:v>0.8200000000000007</x:v>
      </x:c>
      <x:c r="J206" s="98" t="n">
        <x:v>0.0001832546549681867</x:v>
      </x:c>
      <x:c r="K206" t="str">
        <x:v>low_vds</x:v>
      </x:c>
      <x:c r="L206" t="str">
        <x:v>low_drain_bias</x:v>
      </x:c>
      <x:c r="M206" t="n">
        <x:v>1</x:v>
      </x:c>
      <x:c r="N206" t="str">
        <x:v>simulation</x:v>
      </x:c>
      <x:c r="O206" t="str">
        <x:v>ngspice</x:v>
      </x:c>
      <x:c r="P206" t="str">
        <x:v>c9ed2e513523c57a76912a35b2860cb85e4aaa3402b69757d84efa9cc2fb8410</x:v>
      </x:c>
      <x:c r="Q206" t="str">
        <x:v>data/raw/ptm45_hp_vds_0p05v_raw.txt</x:v>
      </x:c>
    </x:row>
    <x:row r="207">
      <x:c r="A207" t="str">
        <x:v>PTM</x:v>
      </x:c>
      <x:c r="B207" t="str">
        <x:v>NMOS</x:v>
      </x:c>
      <x:c r="C207" s="97" t="n">
        <x:v>45</x:v>
      </x:c>
      <x:c r="D207" s="97" t="str">
        <x:v>HP</x:v>
      </x:c>
      <x:c r="E207" s="99" t="n">
        <x:v>1</x:v>
      </x:c>
      <x:c r="F207" s="99" t="n">
        <x:v>0.045</x:v>
      </x:c>
      <x:c r="G207" s="99" t="n">
        <x:v>25</x:v>
      </x:c>
      <x:c r="H207" s="99" t="n">
        <x:v>0.05</x:v>
      </x:c>
      <x:c r="I207" s="99" t="n">
        <x:v>0.8250000000000007</x:v>
      </x:c>
      <x:c r="J207" s="98" t="n">
        <x:v>0.0001842072315204196</x:v>
      </x:c>
      <x:c r="K207" t="str">
        <x:v>low_vds</x:v>
      </x:c>
      <x:c r="L207" t="str">
        <x:v>low_drain_bias</x:v>
      </x:c>
      <x:c r="M207" t="n">
        <x:v>1</x:v>
      </x:c>
      <x:c r="N207" t="str">
        <x:v>simulation</x:v>
      </x:c>
      <x:c r="O207" t="str">
        <x:v>ngspice</x:v>
      </x:c>
      <x:c r="P207" t="str">
        <x:v>c9ed2e513523c57a76912a35b2860cb85e4aaa3402b69757d84efa9cc2fb8410</x:v>
      </x:c>
      <x:c r="Q207" t="str">
        <x:v>data/raw/ptm45_hp_vds_0p05v_raw.txt</x:v>
      </x:c>
    </x:row>
    <x:row r="208">
      <x:c r="A208" t="str">
        <x:v>PTM</x:v>
      </x:c>
      <x:c r="B208" t="str">
        <x:v>NMOS</x:v>
      </x:c>
      <x:c r="C208" s="97" t="n">
        <x:v>45</x:v>
      </x:c>
      <x:c r="D208" s="97" t="str">
        <x:v>HP</x:v>
      </x:c>
      <x:c r="E208" s="99" t="n">
        <x:v>1</x:v>
      </x:c>
      <x:c r="F208" s="99" t="n">
        <x:v>0.045</x:v>
      </x:c>
      <x:c r="G208" s="99" t="n">
        <x:v>25</x:v>
      </x:c>
      <x:c r="H208" s="99" t="n">
        <x:v>0.05</x:v>
      </x:c>
      <x:c r="I208" s="99" t="n">
        <x:v>0.8300000000000007</x:v>
      </x:c>
      <x:c r="J208" s="98" t="n">
        <x:v>0.000185140568329324</x:v>
      </x:c>
      <x:c r="K208" t="str">
        <x:v>low_vds</x:v>
      </x:c>
      <x:c r="L208" t="str">
        <x:v>low_drain_bias</x:v>
      </x:c>
      <x:c r="M208" t="n">
        <x:v>1</x:v>
      </x:c>
      <x:c r="N208" t="str">
        <x:v>simulation</x:v>
      </x:c>
      <x:c r="O208" t="str">
        <x:v>ngspice</x:v>
      </x:c>
      <x:c r="P208" t="str">
        <x:v>c9ed2e513523c57a76912a35b2860cb85e4aaa3402b69757d84efa9cc2fb8410</x:v>
      </x:c>
      <x:c r="Q208" t="str">
        <x:v>data/raw/ptm45_hp_vds_0p05v_raw.txt</x:v>
      </x:c>
    </x:row>
    <x:row r="209">
      <x:c r="A209" t="str">
        <x:v>PTM</x:v>
      </x:c>
      <x:c r="B209" t="str">
        <x:v>NMOS</x:v>
      </x:c>
      <x:c r="C209" s="97" t="n">
        <x:v>45</x:v>
      </x:c>
      <x:c r="D209" s="97" t="str">
        <x:v>HP</x:v>
      </x:c>
      <x:c r="E209" s="99" t="n">
        <x:v>1</x:v>
      </x:c>
      <x:c r="F209" s="99" t="n">
        <x:v>0.045</x:v>
      </x:c>
      <x:c r="G209" s="99" t="n">
        <x:v>25</x:v>
      </x:c>
      <x:c r="H209" s="99" t="n">
        <x:v>0.05</x:v>
      </x:c>
      <x:c r="I209" s="99" t="n">
        <x:v>0.8350000000000007</x:v>
      </x:c>
      <x:c r="J209" s="98" t="n">
        <x:v>0.0001860551966466787</x:v>
      </x:c>
      <x:c r="K209" t="str">
        <x:v>low_vds</x:v>
      </x:c>
      <x:c r="L209" t="str">
        <x:v>low_drain_bias</x:v>
      </x:c>
      <x:c r="M209" t="n">
        <x:v>1</x:v>
      </x:c>
      <x:c r="N209" t="str">
        <x:v>simulation</x:v>
      </x:c>
      <x:c r="O209" t="str">
        <x:v>ngspice</x:v>
      </x:c>
      <x:c r="P209" t="str">
        <x:v>c9ed2e513523c57a76912a35b2860cb85e4aaa3402b69757d84efa9cc2fb8410</x:v>
      </x:c>
      <x:c r="Q209" t="str">
        <x:v>data/raw/ptm45_hp_vds_0p05v_raw.txt</x:v>
      </x:c>
    </x:row>
    <x:row r="210">
      <x:c r="A210" t="str">
        <x:v>PTM</x:v>
      </x:c>
      <x:c r="B210" t="str">
        <x:v>NMOS</x:v>
      </x:c>
      <x:c r="C210" s="97" t="n">
        <x:v>45</x:v>
      </x:c>
      <x:c r="D210" s="97" t="str">
        <x:v>HP</x:v>
      </x:c>
      <x:c r="E210" s="99" t="n">
        <x:v>1</x:v>
      </x:c>
      <x:c r="F210" s="99" t="n">
        <x:v>0.045</x:v>
      </x:c>
      <x:c r="G210" s="99" t="n">
        <x:v>25</x:v>
      </x:c>
      <x:c r="H210" s="99" t="n">
        <x:v>0.05</x:v>
      </x:c>
      <x:c r="I210" s="99" t="n">
        <x:v>0.8400000000000007</x:v>
      </x:c>
      <x:c r="J210" s="98" t="n">
        <x:v>0.0001869516299032628</x:v>
      </x:c>
      <x:c r="K210" t="str">
        <x:v>low_vds</x:v>
      </x:c>
      <x:c r="L210" t="str">
        <x:v>low_drain_bias</x:v>
      </x:c>
      <x:c r="M210" t="n">
        <x:v>1</x:v>
      </x:c>
      <x:c r="N210" t="str">
        <x:v>simulation</x:v>
      </x:c>
      <x:c r="O210" t="str">
        <x:v>ngspice</x:v>
      </x:c>
      <x:c r="P210" t="str">
        <x:v>c9ed2e513523c57a76912a35b2860cb85e4aaa3402b69757d84efa9cc2fb8410</x:v>
      </x:c>
      <x:c r="Q210" t="str">
        <x:v>data/raw/ptm45_hp_vds_0p05v_raw.txt</x:v>
      </x:c>
    </x:row>
    <x:row r="211">
      <x:c r="A211" t="str">
        <x:v>PTM</x:v>
      </x:c>
      <x:c r="B211" t="str">
        <x:v>NMOS</x:v>
      </x:c>
      <x:c r="C211" s="97" t="n">
        <x:v>45</x:v>
      </x:c>
      <x:c r="D211" s="97" t="str">
        <x:v>HP</x:v>
      </x:c>
      <x:c r="E211" s="99" t="n">
        <x:v>1</x:v>
      </x:c>
      <x:c r="F211" s="99" t="n">
        <x:v>0.045</x:v>
      </x:c>
      <x:c r="G211" s="99" t="n">
        <x:v>25</x:v>
      </x:c>
      <x:c r="H211" s="99" t="n">
        <x:v>0.05</x:v>
      </x:c>
      <x:c r="I211" s="99" t="n">
        <x:v>0.8450000000000008</x:v>
      </x:c>
      <x:c r="J211" s="98" t="n">
        <x:v>0.0001878303642960022</x:v>
      </x:c>
      <x:c r="K211" t="str">
        <x:v>low_vds</x:v>
      </x:c>
      <x:c r="L211" t="str">
        <x:v>low_drain_bias</x:v>
      </x:c>
      <x:c r="M211" t="n">
        <x:v>1</x:v>
      </x:c>
      <x:c r="N211" t="str">
        <x:v>simulation</x:v>
      </x:c>
      <x:c r="O211" t="str">
        <x:v>ngspice</x:v>
      </x:c>
      <x:c r="P211" t="str">
        <x:v>c9ed2e513523c57a76912a35b2860cb85e4aaa3402b69757d84efa9cc2fb8410</x:v>
      </x:c>
      <x:c r="Q211" t="str">
        <x:v>data/raw/ptm45_hp_vds_0p05v_raw.txt</x:v>
      </x:c>
    </x:row>
    <x:row r="212">
      <x:c r="A212" t="str">
        <x:v>PTM</x:v>
      </x:c>
      <x:c r="B212" t="str">
        <x:v>NMOS</x:v>
      </x:c>
      <x:c r="C212" s="97" t="n">
        <x:v>45</x:v>
      </x:c>
      <x:c r="D212" s="97" t="str">
        <x:v>HP</x:v>
      </x:c>
      <x:c r="E212" s="99" t="n">
        <x:v>1</x:v>
      </x:c>
      <x:c r="F212" s="99" t="n">
        <x:v>0.045</x:v>
      </x:c>
      <x:c r="G212" s="99" t="n">
        <x:v>25</x:v>
      </x:c>
      <x:c r="H212" s="99" t="n">
        <x:v>0.05</x:v>
      </x:c>
      <x:c r="I212" s="99" t="n">
        <x:v>0.8500000000000008</x:v>
      </x:c>
      <x:c r="J212" s="98" t="n">
        <x:v>0.000188691879367602</x:v>
      </x:c>
      <x:c r="K212" t="str">
        <x:v>low_vds</x:v>
      </x:c>
      <x:c r="L212" t="str">
        <x:v>low_drain_bias</x:v>
      </x:c>
      <x:c r="M212" t="n">
        <x:v>1</x:v>
      </x:c>
      <x:c r="N212" t="str">
        <x:v>simulation</x:v>
      </x:c>
      <x:c r="O212" t="str">
        <x:v>ngspice</x:v>
      </x:c>
      <x:c r="P212" t="str">
        <x:v>c9ed2e513523c57a76912a35b2860cb85e4aaa3402b69757d84efa9cc2fb8410</x:v>
      </x:c>
      <x:c r="Q212" t="str">
        <x:v>data/raw/ptm45_hp_vds_0p05v_raw.txt</x:v>
      </x:c>
    </x:row>
    <x:row r="213">
      <x:c r="A213" t="str">
        <x:v>PTM</x:v>
      </x:c>
      <x:c r="B213" t="str">
        <x:v>NMOS</x:v>
      </x:c>
      <x:c r="C213" s="97" t="n">
        <x:v>45</x:v>
      </x:c>
      <x:c r="D213" s="97" t="str">
        <x:v>HP</x:v>
      </x:c>
      <x:c r="E213" s="99" t="n">
        <x:v>1</x:v>
      </x:c>
      <x:c r="F213" s="99" t="n">
        <x:v>0.045</x:v>
      </x:c>
      <x:c r="G213" s="99" t="n">
        <x:v>25</x:v>
      </x:c>
      <x:c r="H213" s="99" t="n">
        <x:v>0.05</x:v>
      </x:c>
      <x:c r="I213" s="99" t="n">
        <x:v>0.8550000000000008</x:v>
      </x:c>
      <x:c r="J213" s="98" t="n">
        <x:v>0.0001895366385767427</x:v>
      </x:c>
      <x:c r="K213" t="str">
        <x:v>low_vds</x:v>
      </x:c>
      <x:c r="L213" t="str">
        <x:v>low_drain_bias</x:v>
      </x:c>
      <x:c r="M213" t="n">
        <x:v>1</x:v>
      </x:c>
      <x:c r="N213" t="str">
        <x:v>simulation</x:v>
      </x:c>
      <x:c r="O213" t="str">
        <x:v>ngspice</x:v>
      </x:c>
      <x:c r="P213" t="str">
        <x:v>c9ed2e513523c57a76912a35b2860cb85e4aaa3402b69757d84efa9cc2fb8410</x:v>
      </x:c>
      <x:c r="Q213" t="str">
        <x:v>data/raw/ptm45_hp_vds_0p05v_raw.txt</x:v>
      </x:c>
    </x:row>
    <x:row r="214">
      <x:c r="A214" t="str">
        <x:v>PTM</x:v>
      </x:c>
      <x:c r="B214" t="str">
        <x:v>NMOS</x:v>
      </x:c>
      <x:c r="C214" s="97" t="n">
        <x:v>45</x:v>
      </x:c>
      <x:c r="D214" s="97" t="str">
        <x:v>HP</x:v>
      </x:c>
      <x:c r="E214" s="99" t="n">
        <x:v>1</x:v>
      </x:c>
      <x:c r="F214" s="99" t="n">
        <x:v>0.045</x:v>
      </x:c>
      <x:c r="G214" s="99" t="n">
        <x:v>25</x:v>
      </x:c>
      <x:c r="H214" s="99" t="n">
        <x:v>0.05</x:v>
      </x:c>
      <x:c r="I214" s="99" t="n">
        <x:v>0.8600000000000008</x:v>
      </x:c>
      <x:c r="J214" s="98" t="n">
        <x:v>0.0001903650898572667</x:v>
      </x:c>
      <x:c r="K214" t="str">
        <x:v>low_vds</x:v>
      </x:c>
      <x:c r="L214" t="str">
        <x:v>low_drain_bias</x:v>
      </x:c>
      <x:c r="M214" t="n">
        <x:v>1</x:v>
      </x:c>
      <x:c r="N214" t="str">
        <x:v>simulation</x:v>
      </x:c>
      <x:c r="O214" t="str">
        <x:v>ngspice</x:v>
      </x:c>
      <x:c r="P214" t="str">
        <x:v>c9ed2e513523c57a76912a35b2860cb85e4aaa3402b69757d84efa9cc2fb8410</x:v>
      </x:c>
      <x:c r="Q214" t="str">
        <x:v>data/raw/ptm45_hp_vds_0p05v_raw.txt</x:v>
      </x:c>
    </x:row>
    <x:row r="215">
      <x:c r="A215" t="str">
        <x:v>PTM</x:v>
      </x:c>
      <x:c r="B215" t="str">
        <x:v>NMOS</x:v>
      </x:c>
      <x:c r="C215" s="97" t="n">
        <x:v>45</x:v>
      </x:c>
      <x:c r="D215" s="97" t="str">
        <x:v>HP</x:v>
      </x:c>
      <x:c r="E215" s="99" t="n">
        <x:v>1</x:v>
      </x:c>
      <x:c r="F215" s="99" t="n">
        <x:v>0.045</x:v>
      </x:c>
      <x:c r="G215" s="99" t="n">
        <x:v>25</x:v>
      </x:c>
      <x:c r="H215" s="99" t="n">
        <x:v>0.05</x:v>
      </x:c>
      <x:c r="I215" s="99" t="n">
        <x:v>0.8650000000000008</x:v>
      </x:c>
      <x:c r="J215" s="98" t="n">
        <x:v>0.0001911776661650987</x:v>
      </x:c>
      <x:c r="K215" t="str">
        <x:v>low_vds</x:v>
      </x:c>
      <x:c r="L215" t="str">
        <x:v>low_drain_bias</x:v>
      </x:c>
      <x:c r="M215" t="n">
        <x:v>1</x:v>
      </x:c>
      <x:c r="N215" t="str">
        <x:v>simulation</x:v>
      </x:c>
      <x:c r="O215" t="str">
        <x:v>ngspice</x:v>
      </x:c>
      <x:c r="P215" t="str">
        <x:v>c9ed2e513523c57a76912a35b2860cb85e4aaa3402b69757d84efa9cc2fb8410</x:v>
      </x:c>
      <x:c r="Q215" t="str">
        <x:v>data/raw/ptm45_hp_vds_0p05v_raw.txt</x:v>
      </x:c>
    </x:row>
    <x:row r="216">
      <x:c r="A216" t="str">
        <x:v>PTM</x:v>
      </x:c>
      <x:c r="B216" t="str">
        <x:v>NMOS</x:v>
      </x:c>
      <x:c r="C216" s="97" t="n">
        <x:v>45</x:v>
      </x:c>
      <x:c r="D216" s="97" t="str">
        <x:v>HP</x:v>
      </x:c>
      <x:c r="E216" s="99" t="n">
        <x:v>1</x:v>
      </x:c>
      <x:c r="F216" s="99" t="n">
        <x:v>0.045</x:v>
      </x:c>
      <x:c r="G216" s="99" t="n">
        <x:v>25</x:v>
      </x:c>
      <x:c r="H216" s="99" t="n">
        <x:v>0.05</x:v>
      </x:c>
      <x:c r="I216" s="99" t="n">
        <x:v>0.8700000000000008</x:v>
      </x:c>
      <x:c r="J216" s="98" t="n">
        <x:v>0.0001919747860119158</x:v>
      </x:c>
      <x:c r="K216" t="str">
        <x:v>low_vds</x:v>
      </x:c>
      <x:c r="L216" t="str">
        <x:v>low_drain_bias</x:v>
      </x:c>
      <x:c r="M216" t="n">
        <x:v>1</x:v>
      </x:c>
      <x:c r="N216" t="str">
        <x:v>simulation</x:v>
      </x:c>
      <x:c r="O216" t="str">
        <x:v>ngspice</x:v>
      </x:c>
      <x:c r="P216" t="str">
        <x:v>c9ed2e513523c57a76912a35b2860cb85e4aaa3402b69757d84efa9cc2fb8410</x:v>
      </x:c>
      <x:c r="Q216" t="str">
        <x:v>data/raw/ptm45_hp_vds_0p05v_raw.txt</x:v>
      </x:c>
    </x:row>
    <x:row r="217">
      <x:c r="A217" t="str">
        <x:v>PTM</x:v>
      </x:c>
      <x:c r="B217" t="str">
        <x:v>NMOS</x:v>
      </x:c>
      <x:c r="C217" s="97" t="n">
        <x:v>45</x:v>
      </x:c>
      <x:c r="D217" s="97" t="str">
        <x:v>HP</x:v>
      </x:c>
      <x:c r="E217" s="99" t="n">
        <x:v>1</x:v>
      </x:c>
      <x:c r="F217" s="99" t="n">
        <x:v>0.045</x:v>
      </x:c>
      <x:c r="G217" s="99" t="n">
        <x:v>25</x:v>
      </x:c>
      <x:c r="H217" s="99" t="n">
        <x:v>0.05</x:v>
      </x:c>
      <x:c r="I217" s="99" t="n">
        <x:v>0.8750000000000008</x:v>
      </x:c>
      <x:c r="J217" s="98" t="n">
        <x:v>0.0001927568539848042</x:v>
      </x:c>
      <x:c r="K217" t="str">
        <x:v>low_vds</x:v>
      </x:c>
      <x:c r="L217" t="str">
        <x:v>low_drain_bias</x:v>
      </x:c>
      <x:c r="M217" t="n">
        <x:v>1</x:v>
      </x:c>
      <x:c r="N217" t="str">
        <x:v>simulation</x:v>
      </x:c>
      <x:c r="O217" t="str">
        <x:v>ngspice</x:v>
      </x:c>
      <x:c r="P217" t="str">
        <x:v>c9ed2e513523c57a76912a35b2860cb85e4aaa3402b69757d84efa9cc2fb8410</x:v>
      </x:c>
      <x:c r="Q217" t="str">
        <x:v>data/raw/ptm45_hp_vds_0p05v_raw.txt</x:v>
      </x:c>
    </x:row>
    <x:row r="218">
      <x:c r="A218" t="str">
        <x:v>PTM</x:v>
      </x:c>
      <x:c r="B218" t="str">
        <x:v>NMOS</x:v>
      </x:c>
      <x:c r="C218" s="97" t="n">
        <x:v>45</x:v>
      </x:c>
      <x:c r="D218" s="97" t="str">
        <x:v>HP</x:v>
      </x:c>
      <x:c r="E218" s="99" t="n">
        <x:v>1</x:v>
      </x:c>
      <x:c r="F218" s="99" t="n">
        <x:v>0.045</x:v>
      </x:c>
      <x:c r="G218" s="99" t="n">
        <x:v>25</x:v>
      </x:c>
      <x:c r="H218" s="99" t="n">
        <x:v>0.05</x:v>
      </x:c>
      <x:c r="I218" s="99" t="n">
        <x:v>0.8800000000000008</x:v>
      </x:c>
      <x:c r="J218" s="98" t="n">
        <x:v>0.0001935242612513464</x:v>
      </x:c>
      <x:c r="K218" t="str">
        <x:v>low_vds</x:v>
      </x:c>
      <x:c r="L218" t="str">
        <x:v>low_drain_bias</x:v>
      </x:c>
      <x:c r="M218" t="n">
        <x:v>1</x:v>
      </x:c>
      <x:c r="N218" t="str">
        <x:v>simulation</x:v>
      </x:c>
      <x:c r="O218" t="str">
        <x:v>ngspice</x:v>
      </x:c>
      <x:c r="P218" t="str">
        <x:v>c9ed2e513523c57a76912a35b2860cb85e4aaa3402b69757d84efa9cc2fb8410</x:v>
      </x:c>
      <x:c r="Q218" t="str">
        <x:v>data/raw/ptm45_hp_vds_0p05v_raw.txt</x:v>
      </x:c>
    </x:row>
    <x:row r="219">
      <x:c r="A219" t="str">
        <x:v>PTM</x:v>
      </x:c>
      <x:c r="B219" t="str">
        <x:v>NMOS</x:v>
      </x:c>
      <x:c r="C219" s="97" t="n">
        <x:v>45</x:v>
      </x:c>
      <x:c r="D219" s="97" t="str">
        <x:v>HP</x:v>
      </x:c>
      <x:c r="E219" s="99" t="n">
        <x:v>1</x:v>
      </x:c>
      <x:c r="F219" s="99" t="n">
        <x:v>0.045</x:v>
      </x:c>
      <x:c r="G219" s="99" t="n">
        <x:v>25</x:v>
      </x:c>
      <x:c r="H219" s="99" t="n">
        <x:v>0.05</x:v>
      </x:c>
      <x:c r="I219" s="99" t="n">
        <x:v>0.8850000000000008</x:v>
      </x:c>
      <x:c r="J219" s="98" t="n">
        <x:v>0.0001942773860497547</x:v>
      </x:c>
      <x:c r="K219" t="str">
        <x:v>low_vds</x:v>
      </x:c>
      <x:c r="L219" t="str">
        <x:v>low_drain_bias</x:v>
      </x:c>
      <x:c r="M219" t="n">
        <x:v>1</x:v>
      </x:c>
      <x:c r="N219" t="str">
        <x:v>simulation</x:v>
      </x:c>
      <x:c r="O219" t="str">
        <x:v>ngspice</x:v>
      </x:c>
      <x:c r="P219" t="str">
        <x:v>c9ed2e513523c57a76912a35b2860cb85e4aaa3402b69757d84efa9cc2fb8410</x:v>
      </x:c>
      <x:c r="Q219" t="str">
        <x:v>data/raw/ptm45_hp_vds_0p05v_raw.txt</x:v>
      </x:c>
    </x:row>
    <x:row r="220">
      <x:c r="A220" t="str">
        <x:v>PTM</x:v>
      </x:c>
      <x:c r="B220" t="str">
        <x:v>NMOS</x:v>
      </x:c>
      <x:c r="C220" s="97" t="n">
        <x:v>45</x:v>
      </x:c>
      <x:c r="D220" s="97" t="str">
        <x:v>HP</x:v>
      </x:c>
      <x:c r="E220" s="99" t="n">
        <x:v>1</x:v>
      </x:c>
      <x:c r="F220" s="99" t="n">
        <x:v>0.045</x:v>
      </x:c>
      <x:c r="G220" s="99" t="n">
        <x:v>25</x:v>
      </x:c>
      <x:c r="H220" s="99" t="n">
        <x:v>0.05</x:v>
      </x:c>
      <x:c r="I220" s="99" t="n">
        <x:v>0.8900000000000008</x:v>
      </x:c>
      <x:c r="J220" s="98" t="n">
        <x:v>0.0001950165941638138</x:v>
      </x:c>
      <x:c r="K220" t="str">
        <x:v>low_vds</x:v>
      </x:c>
      <x:c r="L220" t="str">
        <x:v>low_drain_bias</x:v>
      </x:c>
      <x:c r="M220" t="n">
        <x:v>1</x:v>
      </x:c>
      <x:c r="N220" t="str">
        <x:v>simulation</x:v>
      </x:c>
      <x:c r="O220" t="str">
        <x:v>ngspice</x:v>
      </x:c>
      <x:c r="P220" t="str">
        <x:v>c9ed2e513523c57a76912a35b2860cb85e4aaa3402b69757d84efa9cc2fb8410</x:v>
      </x:c>
      <x:c r="Q220" t="str">
        <x:v>data/raw/ptm45_hp_vds_0p05v_raw.txt</x:v>
      </x:c>
    </x:row>
    <x:row r="221">
      <x:c r="A221" t="str">
        <x:v>PTM</x:v>
      </x:c>
      <x:c r="B221" t="str">
        <x:v>NMOS</x:v>
      </x:c>
      <x:c r="C221" s="97" t="n">
        <x:v>45</x:v>
      </x:c>
      <x:c r="D221" s="97" t="str">
        <x:v>HP</x:v>
      </x:c>
      <x:c r="E221" s="99" t="n">
        <x:v>1</x:v>
      </x:c>
      <x:c r="F221" s="99" t="n">
        <x:v>0.045</x:v>
      </x:c>
      <x:c r="G221" s="99" t="n">
        <x:v>25</x:v>
      </x:c>
      <x:c r="H221" s="99" t="n">
        <x:v>0.05</x:v>
      </x:c>
      <x:c r="I221" s="99" t="n">
        <x:v>0.8950000000000008</x:v>
      </x:c>
      <x:c r="J221" s="98" t="n">
        <x:v>0.0001957422393825102</x:v>
      </x:c>
      <x:c r="K221" t="str">
        <x:v>low_vds</x:v>
      </x:c>
      <x:c r="L221" t="str">
        <x:v>low_drain_bias</x:v>
      </x:c>
      <x:c r="M221" t="n">
        <x:v>1</x:v>
      </x:c>
      <x:c r="N221" t="str">
        <x:v>simulation</x:v>
      </x:c>
      <x:c r="O221" t="str">
        <x:v>ngspice</x:v>
      </x:c>
      <x:c r="P221" t="str">
        <x:v>c9ed2e513523c57a76912a35b2860cb85e4aaa3402b69757d84efa9cc2fb8410</x:v>
      </x:c>
      <x:c r="Q221" t="str">
        <x:v>data/raw/ptm45_hp_vds_0p05v_raw.txt</x:v>
      </x:c>
    </x:row>
    <x:row r="222">
      <x:c r="A222" t="str">
        <x:v>PTM</x:v>
      </x:c>
      <x:c r="B222" t="str">
        <x:v>NMOS</x:v>
      </x:c>
      <x:c r="C222" s="97" t="n">
        <x:v>45</x:v>
      </x:c>
      <x:c r="D222" s="97" t="str">
        <x:v>HP</x:v>
      </x:c>
      <x:c r="E222" s="99" t="n">
        <x:v>1</x:v>
      </x:c>
      <x:c r="F222" s="99" t="n">
        <x:v>0.045</x:v>
      </x:c>
      <x:c r="G222" s="99" t="n">
        <x:v>25</x:v>
      </x:c>
      <x:c r="H222" s="99" t="n">
        <x:v>0.05</x:v>
      </x:c>
      <x:c r="I222" s="99" t="n">
        <x:v>0.9000000000000008</x:v>
      </x:c>
      <x:c r="J222" s="98" t="n">
        <x:v>0.0001964546639443447</x:v>
      </x:c>
      <x:c r="K222" t="str">
        <x:v>low_vds</x:v>
      </x:c>
      <x:c r="L222" t="str">
        <x:v>low_drain_bias</x:v>
      </x:c>
      <x:c r="M222" t="n">
        <x:v>1</x:v>
      </x:c>
      <x:c r="N222" t="str">
        <x:v>simulation</x:v>
      </x:c>
      <x:c r="O222" t="str">
        <x:v>ngspice</x:v>
      </x:c>
      <x:c r="P222" t="str">
        <x:v>c9ed2e513523c57a76912a35b2860cb85e4aaa3402b69757d84efa9cc2fb8410</x:v>
      </x:c>
      <x:c r="Q222" t="str">
        <x:v>data/raw/ptm45_hp_vds_0p05v_raw.txt</x:v>
      </x:c>
    </x:row>
    <x:row r="223">
      <x:c r="A223" t="str">
        <x:v>PTM</x:v>
      </x:c>
      <x:c r="B223" t="str">
        <x:v>NMOS</x:v>
      </x:c>
      <x:c r="C223" s="97" t="n">
        <x:v>45</x:v>
      </x:c>
      <x:c r="D223" s="97" t="str">
        <x:v>HP</x:v>
      </x:c>
      <x:c r="E223" s="99" t="n">
        <x:v>1</x:v>
      </x:c>
      <x:c r="F223" s="99" t="n">
        <x:v>0.045</x:v>
      </x:c>
      <x:c r="G223" s="99" t="n">
        <x:v>25</x:v>
      </x:c>
      <x:c r="H223" s="99" t="n">
        <x:v>0.05</x:v>
      </x:c>
      <x:c r="I223" s="99" t="n">
        <x:v>0.9050000000000008</x:v>
      </x:c>
      <x:c r="J223" s="98" t="n">
        <x:v>0.0001971541989664058</x:v>
      </x:c>
      <x:c r="K223" t="str">
        <x:v>low_vds</x:v>
      </x:c>
      <x:c r="L223" t="str">
        <x:v>low_drain_bias</x:v>
      </x:c>
      <x:c r="M223" t="n">
        <x:v>1</x:v>
      </x:c>
      <x:c r="N223" t="str">
        <x:v>simulation</x:v>
      </x:c>
      <x:c r="O223" t="str">
        <x:v>ngspice</x:v>
      </x:c>
      <x:c r="P223" t="str">
        <x:v>c9ed2e513523c57a76912a35b2860cb85e4aaa3402b69757d84efa9cc2fb8410</x:v>
      </x:c>
      <x:c r="Q223" t="str">
        <x:v>data/raw/ptm45_hp_vds_0p05v_raw.txt</x:v>
      </x:c>
    </x:row>
    <x:row r="224">
      <x:c r="A224" t="str">
        <x:v>PTM</x:v>
      </x:c>
      <x:c r="B224" t="str">
        <x:v>NMOS</x:v>
      </x:c>
      <x:c r="C224" s="97" t="n">
        <x:v>45</x:v>
      </x:c>
      <x:c r="D224" s="97" t="str">
        <x:v>HP</x:v>
      </x:c>
      <x:c r="E224" s="99" t="n">
        <x:v>1</x:v>
      </x:c>
      <x:c r="F224" s="99" t="n">
        <x:v>0.045</x:v>
      </x:c>
      <x:c r="G224" s="99" t="n">
        <x:v>25</x:v>
      </x:c>
      <x:c r="H224" s="99" t="n">
        <x:v>0.05</x:v>
      </x:c>
      <x:c r="I224" s="99" t="n">
        <x:v>0.9100000000000008</x:v>
      </x:c>
      <x:c r="J224" s="98" t="n">
        <x:v>0.0001978411648583546</x:v>
      </x:c>
      <x:c r="K224" t="str">
        <x:v>low_vds</x:v>
      </x:c>
      <x:c r="L224" t="str">
        <x:v>low_drain_bias</x:v>
      </x:c>
      <x:c r="M224" t="n">
        <x:v>1</x:v>
      </x:c>
      <x:c r="N224" t="str">
        <x:v>simulation</x:v>
      </x:c>
      <x:c r="O224" t="str">
        <x:v>ngspice</x:v>
      </x:c>
      <x:c r="P224" t="str">
        <x:v>c9ed2e513523c57a76912a35b2860cb85e4aaa3402b69757d84efa9cc2fb8410</x:v>
      </x:c>
      <x:c r="Q224" t="str">
        <x:v>data/raw/ptm45_hp_vds_0p05v_raw.txt</x:v>
      </x:c>
    </x:row>
    <x:row r="225">
      <x:c r="A225" t="str">
        <x:v>PTM</x:v>
      </x:c>
      <x:c r="B225" t="str">
        <x:v>NMOS</x:v>
      </x:c>
      <x:c r="C225" s="97" t="n">
        <x:v>45</x:v>
      </x:c>
      <x:c r="D225" s="97" t="str">
        <x:v>HP</x:v>
      </x:c>
      <x:c r="E225" s="99" t="n">
        <x:v>1</x:v>
      </x:c>
      <x:c r="F225" s="99" t="n">
        <x:v>0.045</x:v>
      </x:c>
      <x:c r="G225" s="99" t="n">
        <x:v>25</x:v>
      </x:c>
      <x:c r="H225" s="99" t="n">
        <x:v>0.05</x:v>
      </x:c>
      <x:c r="I225" s="99" t="n">
        <x:v>0.9150000000000008</x:v>
      </x:c>
      <x:c r="J225" s="98" t="n">
        <x:v>0.0001985158717215402</x:v>
      </x:c>
      <x:c r="K225" t="str">
        <x:v>low_vds</x:v>
      </x:c>
      <x:c r="L225" t="str">
        <x:v>low_drain_bias</x:v>
      </x:c>
      <x:c r="M225" t="n">
        <x:v>1</x:v>
      </x:c>
      <x:c r="N225" t="str">
        <x:v>simulation</x:v>
      </x:c>
      <x:c r="O225" t="str">
        <x:v>ngspice</x:v>
      </x:c>
      <x:c r="P225" t="str">
        <x:v>c9ed2e513523c57a76912a35b2860cb85e4aaa3402b69757d84efa9cc2fb8410</x:v>
      </x:c>
      <x:c r="Q225" t="str">
        <x:v>data/raw/ptm45_hp_vds_0p05v_raw.txt</x:v>
      </x:c>
    </x:row>
    <x:row r="226">
      <x:c r="A226" t="str">
        <x:v>PTM</x:v>
      </x:c>
      <x:c r="B226" t="str">
        <x:v>NMOS</x:v>
      </x:c>
      <x:c r="C226" s="97" t="n">
        <x:v>45</x:v>
      </x:c>
      <x:c r="D226" s="97" t="str">
        <x:v>HP</x:v>
      </x:c>
      <x:c r="E226" s="99" t="n">
        <x:v>1</x:v>
      </x:c>
      <x:c r="F226" s="99" t="n">
        <x:v>0.045</x:v>
      </x:c>
      <x:c r="G226" s="99" t="n">
        <x:v>25</x:v>
      </x:c>
      <x:c r="H226" s="99" t="n">
        <x:v>0.05</x:v>
      </x:c>
      <x:c r="I226" s="99" t="n">
        <x:v>0.9200000000000008</x:v>
      </x:c>
      <x:c r="J226" s="98" t="n">
        <x:v>0.0001991786197335013</x:v>
      </x:c>
      <x:c r="K226" t="str">
        <x:v>low_vds</x:v>
      </x:c>
      <x:c r="L226" t="str">
        <x:v>low_drain_bias</x:v>
      </x:c>
      <x:c r="M226" t="n">
        <x:v>1</x:v>
      </x:c>
      <x:c r="N226" t="str">
        <x:v>simulation</x:v>
      </x:c>
      <x:c r="O226" t="str">
        <x:v>ngspice</x:v>
      </x:c>
      <x:c r="P226" t="str">
        <x:v>c9ed2e513523c57a76912a35b2860cb85e4aaa3402b69757d84efa9cc2fb8410</x:v>
      </x:c>
      <x:c r="Q226" t="str">
        <x:v>data/raw/ptm45_hp_vds_0p05v_raw.txt</x:v>
      </x:c>
    </x:row>
    <x:row r="227">
      <x:c r="A227" t="str">
        <x:v>PTM</x:v>
      </x:c>
      <x:c r="B227" t="str">
        <x:v>NMOS</x:v>
      </x:c>
      <x:c r="C227" s="97" t="n">
        <x:v>45</x:v>
      </x:c>
      <x:c r="D227" s="97" t="str">
        <x:v>HP</x:v>
      </x:c>
      <x:c r="E227" s="99" t="n">
        <x:v>1</x:v>
      </x:c>
      <x:c r="F227" s="99" t="n">
        <x:v>0.045</x:v>
      </x:c>
      <x:c r="G227" s="99" t="n">
        <x:v>25</x:v>
      </x:c>
      <x:c r="H227" s="99" t="n">
        <x:v>0.05</x:v>
      </x:c>
      <x:c r="I227" s="99" t="n">
        <x:v>0.9250000000000008</x:v>
      </x:c>
      <x:c r="J227" s="98" t="n">
        <x:v>0.0001998296995181663</x:v>
      </x:c>
      <x:c r="K227" t="str">
        <x:v>low_vds</x:v>
      </x:c>
      <x:c r="L227" t="str">
        <x:v>low_drain_bias</x:v>
      </x:c>
      <x:c r="M227" t="n">
        <x:v>1</x:v>
      </x:c>
      <x:c r="N227" t="str">
        <x:v>simulation</x:v>
      </x:c>
      <x:c r="O227" t="str">
        <x:v>ngspice</x:v>
      </x:c>
      <x:c r="P227" t="str">
        <x:v>c9ed2e513523c57a76912a35b2860cb85e4aaa3402b69757d84efa9cc2fb8410</x:v>
      </x:c>
      <x:c r="Q227" t="str">
        <x:v>data/raw/ptm45_hp_vds_0p05v_raw.txt</x:v>
      </x:c>
    </x:row>
    <x:row r="228">
      <x:c r="A228" t="str">
        <x:v>PTM</x:v>
      </x:c>
      <x:c r="B228" t="str">
        <x:v>NMOS</x:v>
      </x:c>
      <x:c r="C228" s="97" t="n">
        <x:v>45</x:v>
      </x:c>
      <x:c r="D228" s="97" t="str">
        <x:v>HP</x:v>
      </x:c>
      <x:c r="E228" s="99" t="n">
        <x:v>1</x:v>
      </x:c>
      <x:c r="F228" s="99" t="n">
        <x:v>0.045</x:v>
      </x:c>
      <x:c r="G228" s="99" t="n">
        <x:v>25</x:v>
      </x:c>
      <x:c r="H228" s="99" t="n">
        <x:v>0.05</x:v>
      </x:c>
      <x:c r="I228" s="99" t="n">
        <x:v>0.9300000000000008</x:v>
      </x:c>
      <x:c r="J228" s="98" t="n">
        <x:v>0.0002004693925020865</x:v>
      </x:c>
      <x:c r="K228" t="str">
        <x:v>low_vds</x:v>
      </x:c>
      <x:c r="L228" t="str">
        <x:v>low_drain_bias</x:v>
      </x:c>
      <x:c r="M228" t="n">
        <x:v>1</x:v>
      </x:c>
      <x:c r="N228" t="str">
        <x:v>simulation</x:v>
      </x:c>
      <x:c r="O228" t="str">
        <x:v>ngspice</x:v>
      </x:c>
      <x:c r="P228" t="str">
        <x:v>c9ed2e513523c57a76912a35b2860cb85e4aaa3402b69757d84efa9cc2fb8410</x:v>
      </x:c>
      <x:c r="Q228" t="str">
        <x:v>data/raw/ptm45_hp_vds_0p05v_raw.txt</x:v>
      </x:c>
    </x:row>
    <x:row r="229">
      <x:c r="A229" t="str">
        <x:v>PTM</x:v>
      </x:c>
      <x:c r="B229" t="str">
        <x:v>NMOS</x:v>
      </x:c>
      <x:c r="C229" s="97" t="n">
        <x:v>45</x:v>
      </x:c>
      <x:c r="D229" s="97" t="str">
        <x:v>HP</x:v>
      </x:c>
      <x:c r="E229" s="99" t="n">
        <x:v>1</x:v>
      </x:c>
      <x:c r="F229" s="99" t="n">
        <x:v>0.045</x:v>
      </x:c>
      <x:c r="G229" s="99" t="n">
        <x:v>25</x:v>
      </x:c>
      <x:c r="H229" s="99" t="n">
        <x:v>0.05</x:v>
      </x:c>
      <x:c r="I229" s="99" t="n">
        <x:v>0.9350000000000008</x:v>
      </x:c>
      <x:c r="J229" s="98" t="n">
        <x:v>0.000201097971257061</x:v>
      </x:c>
      <x:c r="K229" t="str">
        <x:v>low_vds</x:v>
      </x:c>
      <x:c r="L229" t="str">
        <x:v>low_drain_bias</x:v>
      </x:c>
      <x:c r="M229" t="n">
        <x:v>1</x:v>
      </x:c>
      <x:c r="N229" t="str">
        <x:v>simulation</x:v>
      </x:c>
      <x:c r="O229" t="str">
        <x:v>ngspice</x:v>
      </x:c>
      <x:c r="P229" t="str">
        <x:v>c9ed2e513523c57a76912a35b2860cb85e4aaa3402b69757d84efa9cc2fb8410</x:v>
      </x:c>
      <x:c r="Q229" t="str">
        <x:v>data/raw/ptm45_hp_vds_0p05v_raw.txt</x:v>
      </x:c>
    </x:row>
    <x:row r="230">
      <x:c r="A230" t="str">
        <x:v>PTM</x:v>
      </x:c>
      <x:c r="B230" t="str">
        <x:v>NMOS</x:v>
      </x:c>
      <x:c r="C230" s="97" t="n">
        <x:v>45</x:v>
      </x:c>
      <x:c r="D230" s="97" t="str">
        <x:v>HP</x:v>
      </x:c>
      <x:c r="E230" s="99" t="n">
        <x:v>1</x:v>
      </x:c>
      <x:c r="F230" s="99" t="n">
        <x:v>0.045</x:v>
      </x:c>
      <x:c r="G230" s="99" t="n">
        <x:v>25</x:v>
      </x:c>
      <x:c r="H230" s="99" t="n">
        <x:v>0.05</x:v>
      </x:c>
      <x:c r="I230" s="99" t="n">
        <x:v>0.9400000000000008</x:v>
      </x:c>
      <x:c r="J230" s="98" t="n">
        <x:v>0.0002017156998295385</x:v>
      </x:c>
      <x:c r="K230" t="str">
        <x:v>low_vds</x:v>
      </x:c>
      <x:c r="L230" t="str">
        <x:v>low_drain_bias</x:v>
      </x:c>
      <x:c r="M230" t="n">
        <x:v>1</x:v>
      </x:c>
      <x:c r="N230" t="str">
        <x:v>simulation</x:v>
      </x:c>
      <x:c r="O230" t="str">
        <x:v>ngspice</x:v>
      </x:c>
      <x:c r="P230" t="str">
        <x:v>c9ed2e513523c57a76912a35b2860cb85e4aaa3402b69757d84efa9cc2fb8410</x:v>
      </x:c>
      <x:c r="Q230" t="str">
        <x:v>data/raw/ptm45_hp_vds_0p05v_raw.txt</x:v>
      </x:c>
    </x:row>
    <x:row r="231">
      <x:c r="A231" t="str">
        <x:v>PTM</x:v>
      </x:c>
      <x:c r="B231" t="str">
        <x:v>NMOS</x:v>
      </x:c>
      <x:c r="C231" s="97" t="n">
        <x:v>45</x:v>
      </x:c>
      <x:c r="D231" s="97" t="str">
        <x:v>HP</x:v>
      </x:c>
      <x:c r="E231" s="99" t="n">
        <x:v>1</x:v>
      </x:c>
      <x:c r="F231" s="99" t="n">
        <x:v>0.045</x:v>
      </x:c>
      <x:c r="G231" s="99" t="n">
        <x:v>25</x:v>
      </x:c>
      <x:c r="H231" s="99" t="n">
        <x:v>0.05</x:v>
      </x:c>
      <x:c r="I231" s="99" t="n">
        <x:v>0.9450000000000008</x:v>
      </x:c>
      <x:c r="J231" s="98" t="n">
        <x:v>0.0002023228340571864</x:v>
      </x:c>
      <x:c r="K231" t="str">
        <x:v>low_vds</x:v>
      </x:c>
      <x:c r="L231" t="str">
        <x:v>low_drain_bias</x:v>
      </x:c>
      <x:c r="M231" t="n">
        <x:v>1</x:v>
      </x:c>
      <x:c r="N231" t="str">
        <x:v>simulation</x:v>
      </x:c>
      <x:c r="O231" t="str">
        <x:v>ngspice</x:v>
      </x:c>
      <x:c r="P231" t="str">
        <x:v>c9ed2e513523c57a76912a35b2860cb85e4aaa3402b69757d84efa9cc2fb8410</x:v>
      </x:c>
      <x:c r="Q231" t="str">
        <x:v>data/raw/ptm45_hp_vds_0p05v_raw.txt</x:v>
      </x:c>
    </x:row>
    <x:row r="232">
      <x:c r="A232" t="str">
        <x:v>PTM</x:v>
      </x:c>
      <x:c r="B232" t="str">
        <x:v>NMOS</x:v>
      </x:c>
      <x:c r="C232" s="97" t="n">
        <x:v>45</x:v>
      </x:c>
      <x:c r="D232" s="97" t="str">
        <x:v>HP</x:v>
      </x:c>
      <x:c r="E232" s="99" t="n">
        <x:v>1</x:v>
      </x:c>
      <x:c r="F232" s="99" t="n">
        <x:v>0.045</x:v>
      </x:c>
      <x:c r="G232" s="99" t="n">
        <x:v>25</x:v>
      </x:c>
      <x:c r="H232" s="99" t="n">
        <x:v>0.05</x:v>
      </x:c>
      <x:c r="I232" s="99" t="n">
        <x:v>0.9500000000000008</x:v>
      </x:c>
      <x:c r="J232" s="98" t="n">
        <x:v>0.0002029196218730312</x:v>
      </x:c>
      <x:c r="K232" t="str">
        <x:v>low_vds</x:v>
      </x:c>
      <x:c r="L232" t="str">
        <x:v>low_drain_bias</x:v>
      </x:c>
      <x:c r="M232" t="n">
        <x:v>1</x:v>
      </x:c>
      <x:c r="N232" t="str">
        <x:v>simulation</x:v>
      </x:c>
      <x:c r="O232" t="str">
        <x:v>ngspice</x:v>
      </x:c>
      <x:c r="P232" t="str">
        <x:v>c9ed2e513523c57a76912a35b2860cb85e4aaa3402b69757d84efa9cc2fb8410</x:v>
      </x:c>
      <x:c r="Q232" t="str">
        <x:v>data/raw/ptm45_hp_vds_0p05v_raw.txt</x:v>
      </x:c>
    </x:row>
    <x:row r="233">
      <x:c r="A233" t="str">
        <x:v>PTM</x:v>
      </x:c>
      <x:c r="B233" t="str">
        <x:v>NMOS</x:v>
      </x:c>
      <x:c r="C233" s="97" t="n">
        <x:v>45</x:v>
      </x:c>
      <x:c r="D233" s="97" t="str">
        <x:v>HP</x:v>
      </x:c>
      <x:c r="E233" s="99" t="n">
        <x:v>1</x:v>
      </x:c>
      <x:c r="F233" s="99" t="n">
        <x:v>0.045</x:v>
      </x:c>
      <x:c r="G233" s="99" t="n">
        <x:v>25</x:v>
      </x:c>
      <x:c r="H233" s="99" t="n">
        <x:v>0.05</x:v>
      </x:c>
      <x:c r="I233" s="99" t="n">
        <x:v>0.9550000000000008</x:v>
      </x:c>
      <x:c r="J233" s="98" t="n">
        <x:v>0.0002035063035975816</x:v>
      </x:c>
      <x:c r="K233" t="str">
        <x:v>low_vds</x:v>
      </x:c>
      <x:c r="L233" t="str">
        <x:v>low_drain_bias</x:v>
      </x:c>
      <x:c r="M233" t="n">
        <x:v>1</x:v>
      </x:c>
      <x:c r="N233" t="str">
        <x:v>simulation</x:v>
      </x:c>
      <x:c r="O233" t="str">
        <x:v>ngspice</x:v>
      </x:c>
      <x:c r="P233" t="str">
        <x:v>c9ed2e513523c57a76912a35b2860cb85e4aaa3402b69757d84efa9cc2fb8410</x:v>
      </x:c>
      <x:c r="Q233" t="str">
        <x:v>data/raw/ptm45_hp_vds_0p05v_raw.txt</x:v>
      </x:c>
    </x:row>
    <x:row r="234">
      <x:c r="A234" t="str">
        <x:v>PTM</x:v>
      </x:c>
      <x:c r="B234" t="str">
        <x:v>NMOS</x:v>
      </x:c>
      <x:c r="C234" s="97" t="n">
        <x:v>45</x:v>
      </x:c>
      <x:c r="D234" s="97" t="str">
        <x:v>HP</x:v>
      </x:c>
      <x:c r="E234" s="99" t="n">
        <x:v>1</x:v>
      </x:c>
      <x:c r="F234" s="99" t="n">
        <x:v>0.045</x:v>
      </x:c>
      <x:c r="G234" s="99" t="n">
        <x:v>25</x:v>
      </x:c>
      <x:c r="H234" s="99" t="n">
        <x:v>0.05</x:v>
      </x:c>
      <x:c r="I234" s="99" t="n">
        <x:v>0.9600000000000009</x:v>
      </x:c>
      <x:c r="J234" s="98" t="n">
        <x:v>0.00020408311221934</x:v>
      </x:c>
      <x:c r="K234" t="str">
        <x:v>low_vds</x:v>
      </x:c>
      <x:c r="L234" t="str">
        <x:v>low_drain_bias</x:v>
      </x:c>
      <x:c r="M234" t="n">
        <x:v>1</x:v>
      </x:c>
      <x:c r="N234" t="str">
        <x:v>simulation</x:v>
      </x:c>
      <x:c r="O234" t="str">
        <x:v>ngspice</x:v>
      </x:c>
      <x:c r="P234" t="str">
        <x:v>c9ed2e513523c57a76912a35b2860cb85e4aaa3402b69757d84efa9cc2fb8410</x:v>
      </x:c>
      <x:c r="Q234" t="str">
        <x:v>data/raw/ptm45_hp_vds_0p05v_raw.txt</x:v>
      </x:c>
    </x:row>
    <x:row r="235">
      <x:c r="A235" t="str">
        <x:v>PTM</x:v>
      </x:c>
      <x:c r="B235" t="str">
        <x:v>NMOS</x:v>
      </x:c>
      <x:c r="C235" s="97" t="n">
        <x:v>45</x:v>
      </x:c>
      <x:c r="D235" s="97" t="str">
        <x:v>HP</x:v>
      </x:c>
      <x:c r="E235" s="99" t="n">
        <x:v>1</x:v>
      </x:c>
      <x:c r="F235" s="99" t="n">
        <x:v>0.045</x:v>
      </x:c>
      <x:c r="G235" s="99" t="n">
        <x:v>25</x:v>
      </x:c>
      <x:c r="H235" s="99" t="n">
        <x:v>0.05</x:v>
      </x:c>
      <x:c r="I235" s="99" t="n">
        <x:v>0.9650000000000009</x:v>
      </x:c>
      <x:c r="J235" s="98" t="n">
        <x:v>0.0002046502736641132</x:v>
      </x:c>
      <x:c r="K235" t="str">
        <x:v>low_vds</x:v>
      </x:c>
      <x:c r="L235" t="str">
        <x:v>low_drain_bias</x:v>
      </x:c>
      <x:c r="M235" t="n">
        <x:v>1</x:v>
      </x:c>
      <x:c r="N235" t="str">
        <x:v>simulation</x:v>
      </x:c>
      <x:c r="O235" t="str">
        <x:v>ngspice</x:v>
      </x:c>
      <x:c r="P235" t="str">
        <x:v>c9ed2e513523c57a76912a35b2860cb85e4aaa3402b69757d84efa9cc2fb8410</x:v>
      </x:c>
      <x:c r="Q235" t="str">
        <x:v>data/raw/ptm45_hp_vds_0p05v_raw.txt</x:v>
      </x:c>
    </x:row>
    <x:row r="236">
      <x:c r="A236" t="str">
        <x:v>PTM</x:v>
      </x:c>
      <x:c r="B236" t="str">
        <x:v>NMOS</x:v>
      </x:c>
      <x:c r="C236" s="97" t="n">
        <x:v>45</x:v>
      </x:c>
      <x:c r="D236" s="97" t="str">
        <x:v>HP</x:v>
      </x:c>
      <x:c r="E236" s="99" t="n">
        <x:v>1</x:v>
      </x:c>
      <x:c r="F236" s="99" t="n">
        <x:v>0.045</x:v>
      </x:c>
      <x:c r="G236" s="99" t="n">
        <x:v>25</x:v>
      </x:c>
      <x:c r="H236" s="99" t="n">
        <x:v>0.05</x:v>
      </x:c>
      <x:c r="I236" s="99" t="n">
        <x:v>0.9700000000000009</x:v>
      </x:c>
      <x:c r="J236" s="98" t="n">
        <x:v>0.000205208007053531</x:v>
      </x:c>
      <x:c r="K236" t="str">
        <x:v>low_vds</x:v>
      </x:c>
      <x:c r="L236" t="str">
        <x:v>low_drain_bias</x:v>
      </x:c>
      <x:c r="M236" t="n">
        <x:v>1</x:v>
      </x:c>
      <x:c r="N236" t="str">
        <x:v>simulation</x:v>
      </x:c>
      <x:c r="O236" t="str">
        <x:v>ngspice</x:v>
      </x:c>
      <x:c r="P236" t="str">
        <x:v>c9ed2e513523c57a76912a35b2860cb85e4aaa3402b69757d84efa9cc2fb8410</x:v>
      </x:c>
      <x:c r="Q236" t="str">
        <x:v>data/raw/ptm45_hp_vds_0p05v_raw.txt</x:v>
      </x:c>
    </x:row>
    <x:row r="237">
      <x:c r="A237" t="str">
        <x:v>PTM</x:v>
      </x:c>
      <x:c r="B237" t="str">
        <x:v>NMOS</x:v>
      </x:c>
      <x:c r="C237" s="97" t="n">
        <x:v>45</x:v>
      </x:c>
      <x:c r="D237" s="97" t="str">
        <x:v>HP</x:v>
      </x:c>
      <x:c r="E237" s="99" t="n">
        <x:v>1</x:v>
      </x:c>
      <x:c r="F237" s="99" t="n">
        <x:v>0.045</x:v>
      </x:c>
      <x:c r="G237" s="99" t="n">
        <x:v>25</x:v>
      </x:c>
      <x:c r="H237" s="99" t="n">
        <x:v>0.05</x:v>
      </x:c>
      <x:c r="I237" s="99" t="n">
        <x:v>0.9750000000000009</x:v>
      </x:c>
      <x:c r="J237" s="98" t="n">
        <x:v>0.0002057565249531704</x:v>
      </x:c>
      <x:c r="K237" t="str">
        <x:v>low_vds</x:v>
      </x:c>
      <x:c r="L237" t="str">
        <x:v>low_drain_bias</x:v>
      </x:c>
      <x:c r="M237" t="n">
        <x:v>1</x:v>
      </x:c>
      <x:c r="N237" t="str">
        <x:v>simulation</x:v>
      </x:c>
      <x:c r="O237" t="str">
        <x:v>ngspice</x:v>
      </x:c>
      <x:c r="P237" t="str">
        <x:v>c9ed2e513523c57a76912a35b2860cb85e4aaa3402b69757d84efa9cc2fb8410</x:v>
      </x:c>
      <x:c r="Q237" t="str">
        <x:v>data/raw/ptm45_hp_vds_0p05v_raw.txt</x:v>
      </x:c>
    </x:row>
    <x:row r="238">
      <x:c r="A238" t="str">
        <x:v>PTM</x:v>
      </x:c>
      <x:c r="B238" t="str">
        <x:v>NMOS</x:v>
      </x:c>
      <x:c r="C238" s="97" t="n">
        <x:v>45</x:v>
      </x:c>
      <x:c r="D238" s="97" t="str">
        <x:v>HP</x:v>
      </x:c>
      <x:c r="E238" s="99" t="n">
        <x:v>1</x:v>
      </x:c>
      <x:c r="F238" s="99" t="n">
        <x:v>0.045</x:v>
      </x:c>
      <x:c r="G238" s="99" t="n">
        <x:v>25</x:v>
      </x:c>
      <x:c r="H238" s="99" t="n">
        <x:v>0.05</x:v>
      </x:c>
      <x:c r="I238" s="99" t="n">
        <x:v>0.9800000000000009</x:v>
      </x:c>
      <x:c r="J238" s="98" t="n">
        <x:v>0.0002062960336106835</x:v>
      </x:c>
      <x:c r="K238" t="str">
        <x:v>low_vds</x:v>
      </x:c>
      <x:c r="L238" t="str">
        <x:v>low_drain_bias</x:v>
      </x:c>
      <x:c r="M238" t="n">
        <x:v>1</x:v>
      </x:c>
      <x:c r="N238" t="str">
        <x:v>simulation</x:v>
      </x:c>
      <x:c r="O238" t="str">
        <x:v>ngspice</x:v>
      </x:c>
      <x:c r="P238" t="str">
        <x:v>c9ed2e513523c57a76912a35b2860cb85e4aaa3402b69757d84efa9cc2fb8410</x:v>
      </x:c>
      <x:c r="Q238" t="str">
        <x:v>data/raw/ptm45_hp_vds_0p05v_raw.txt</x:v>
      </x:c>
    </x:row>
    <x:row r="239">
      <x:c r="A239" t="str">
        <x:v>PTM</x:v>
      </x:c>
      <x:c r="B239" t="str">
        <x:v>NMOS</x:v>
      </x:c>
      <x:c r="C239" s="97" t="n">
        <x:v>45</x:v>
      </x:c>
      <x:c r="D239" s="97" t="str">
        <x:v>HP</x:v>
      </x:c>
      <x:c r="E239" s="99" t="n">
        <x:v>1</x:v>
      </x:c>
      <x:c r="F239" s="99" t="n">
        <x:v>0.045</x:v>
      </x:c>
      <x:c r="G239" s="99" t="n">
        <x:v>25</x:v>
      </x:c>
      <x:c r="H239" s="99" t="n">
        <x:v>0.05</x:v>
      </x:c>
      <x:c r="I239" s="99" t="n">
        <x:v>0.9850000000000009</x:v>
      </x:c>
      <x:c r="J239" s="98" t="n">
        <x:v>0.0002068267331843126</x:v>
      </x:c>
      <x:c r="K239" t="str">
        <x:v>low_vds</x:v>
      </x:c>
      <x:c r="L239" t="str">
        <x:v>low_drain_bias</x:v>
      </x:c>
      <x:c r="M239" t="n">
        <x:v>1</x:v>
      </x:c>
      <x:c r="N239" t="str">
        <x:v>simulation</x:v>
      </x:c>
      <x:c r="O239" t="str">
        <x:v>ngspice</x:v>
      </x:c>
      <x:c r="P239" t="str">
        <x:v>c9ed2e513523c57a76912a35b2860cb85e4aaa3402b69757d84efa9cc2fb8410</x:v>
      </x:c>
      <x:c r="Q239" t="str">
        <x:v>data/raw/ptm45_hp_vds_0p05v_raw.txt</x:v>
      </x:c>
    </x:row>
    <x:row r="240">
      <x:c r="A240" t="str">
        <x:v>PTM</x:v>
      </x:c>
      <x:c r="B240" t="str">
        <x:v>NMOS</x:v>
      </x:c>
      <x:c r="C240" s="97" t="n">
        <x:v>45</x:v>
      </x:c>
      <x:c r="D240" s="97" t="str">
        <x:v>HP</x:v>
      </x:c>
      <x:c r="E240" s="99" t="n">
        <x:v>1</x:v>
      </x:c>
      <x:c r="F240" s="99" t="n">
        <x:v>0.045</x:v>
      </x:c>
      <x:c r="G240" s="99" t="n">
        <x:v>25</x:v>
      </x:c>
      <x:c r="H240" s="99" t="n">
        <x:v>0.05</x:v>
      </x:c>
      <x:c r="I240" s="99" t="n">
        <x:v>0.9900000000000009</x:v>
      </x:c>
      <x:c r="J240" s="98" t="n">
        <x:v>0.0002073488179621742</x:v>
      </x:c>
      <x:c r="K240" t="str">
        <x:v>low_vds</x:v>
      </x:c>
      <x:c r="L240" t="str">
        <x:v>low_drain_bias</x:v>
      </x:c>
      <x:c r="M240" t="n">
        <x:v>1</x:v>
      </x:c>
      <x:c r="N240" t="str">
        <x:v>simulation</x:v>
      </x:c>
      <x:c r="O240" t="str">
        <x:v>ngspice</x:v>
      </x:c>
      <x:c r="P240" t="str">
        <x:v>c9ed2e513523c57a76912a35b2860cb85e4aaa3402b69757d84efa9cc2fb8410</x:v>
      </x:c>
      <x:c r="Q240" t="str">
        <x:v>data/raw/ptm45_hp_vds_0p05v_raw.txt</x:v>
      </x:c>
    </x:row>
    <x:row r="241">
      <x:c r="A241" t="str">
        <x:v>PTM</x:v>
      </x:c>
      <x:c r="B241" t="str">
        <x:v>NMOS</x:v>
      </x:c>
      <x:c r="C241" s="97" t="n">
        <x:v>45</x:v>
      </x:c>
      <x:c r="D241" s="97" t="str">
        <x:v>HP</x:v>
      </x:c>
      <x:c r="E241" s="99" t="n">
        <x:v>1</x:v>
      </x:c>
      <x:c r="F241" s="99" t="n">
        <x:v>0.045</x:v>
      </x:c>
      <x:c r="G241" s="99" t="n">
        <x:v>25</x:v>
      </x:c>
      <x:c r="H241" s="99" t="n">
        <x:v>0.05</x:v>
      </x:c>
      <x:c r="I241" s="99" t="n">
        <x:v>0.9950000000000009</x:v>
      </x:c>
      <x:c r="J241" s="98" t="n">
        <x:v>0.0002078624765726743</x:v>
      </x:c>
      <x:c r="K241" t="str">
        <x:v>low_vds</x:v>
      </x:c>
      <x:c r="L241" t="str">
        <x:v>low_drain_bias</x:v>
      </x:c>
      <x:c r="M241" t="n">
        <x:v>1</x:v>
      </x:c>
      <x:c r="N241" t="str">
        <x:v>simulation</x:v>
      </x:c>
      <x:c r="O241" t="str">
        <x:v>ngspice</x:v>
      </x:c>
      <x:c r="P241" t="str">
        <x:v>c9ed2e513523c57a76912a35b2860cb85e4aaa3402b69757d84efa9cc2fb8410</x:v>
      </x:c>
      <x:c r="Q241" t="str">
        <x:v>data/raw/ptm45_hp_vds_0p05v_raw.txt</x:v>
      </x:c>
    </x:row>
    <x:row r="242">
      <x:c r="A242" t="str">
        <x:v>PTM</x:v>
      </x:c>
      <x:c r="B242" t="str">
        <x:v>NMOS</x:v>
      </x:c>
      <x:c r="C242" s="97" t="n">
        <x:v>45</x:v>
      </x:c>
      <x:c r="D242" s="97" t="str">
        <x:v>HP</x:v>
      </x:c>
      <x:c r="E242" s="99" t="n">
        <x:v>1</x:v>
      </x:c>
      <x:c r="F242" s="99" t="n">
        <x:v>0.045</x:v>
      </x:c>
      <x:c r="G242" s="99" t="n">
        <x:v>25</x:v>
      </x:c>
      <x:c r="H242" s="99" t="n">
        <x:v>0.05</x:v>
      </x:c>
      <x:c r="I242" s="99" t="n">
        <x:v>1.000000000000001</x:v>
      </x:c>
      <x:c r="J242" s="98" t="n">
        <x:v>0.0002083678921864237</x:v>
      </x:c>
      <x:c r="K242" t="str">
        <x:v>low_vds</x:v>
      </x:c>
      <x:c r="L242" t="str">
        <x:v>low_drain_bias</x:v>
      </x:c>
      <x:c r="M242" t="n">
        <x:v>1</x:v>
      </x:c>
      <x:c r="N242" t="str">
        <x:v>simulation</x:v>
      </x:c>
      <x:c r="O242" t="str">
        <x:v>ngspice</x:v>
      </x:c>
      <x:c r="P242" t="str">
        <x:v>c9ed2e513523c57a76912a35b2860cb85e4aaa3402b69757d84efa9cc2fb8410</x:v>
      </x:c>
      <x:c r="Q242" t="str">
        <x:v>data/raw/ptm45_hp_vds_0p05v_raw.txt</x:v>
      </x:c>
    </x:row>
    <x:row r="243">
      <x:c r="A243" t="str">
        <x:v>PTM</x:v>
      </x:c>
      <x:c r="B243" t="str">
        <x:v>NMOS</x:v>
      </x:c>
      <x:c r="C243" s="97" t="n">
        <x:v>45</x:v>
      </x:c>
      <x:c r="D243" s="97" t="str">
        <x:v>HP</x:v>
      </x:c>
      <x:c r="E243" s="99" t="n">
        <x:v>1</x:v>
      </x:c>
      <x:c r="F243" s="99" t="n">
        <x:v>0.045</x:v>
      </x:c>
      <x:c r="G243" s="99" t="n">
        <x:v>25</x:v>
      </x:c>
      <x:c r="H243" s="99" t="n">
        <x:v>1</x:v>
      </x:c>
      <x:c r="I243" s="99" t="n">
        <x:v>-0.2</x:v>
      </x:c>
      <x:c r="J243" s="98" t="n">
        <x:v>5.063629809557702e-10</x:v>
      </x:c>
      <x:c r="K243" t="str">
        <x:v>nominal_vdd</x:v>
      </x:c>
      <x:c r="L243" t="str">
        <x:v>model_nominal_vdd</x:v>
      </x:c>
      <x:c r="M243" t="n">
        <x:v>1</x:v>
      </x:c>
      <x:c r="N243" t="str">
        <x:v>simulation</x:v>
      </x:c>
      <x:c r="O243" t="str">
        <x:v>ngspice</x:v>
      </x:c>
      <x:c r="P243" t="str">
        <x:v>c9ed2e513523c57a76912a35b2860cb85e4aaa3402b69757d84efa9cc2fb8410</x:v>
      </x:c>
      <x:c r="Q243" t="str">
        <x:v>data/raw/ptm45_hp_vds_1v_raw.txt</x:v>
      </x:c>
    </x:row>
    <x:row r="244">
      <x:c r="A244" t="str">
        <x:v>PTM</x:v>
      </x:c>
      <x:c r="B244" t="str">
        <x:v>NMOS</x:v>
      </x:c>
      <x:c r="C244" s="97" t="n">
        <x:v>45</x:v>
      </x:c>
      <x:c r="D244" s="97" t="str">
        <x:v>HP</x:v>
      </x:c>
      <x:c r="E244" s="99" t="n">
        <x:v>1</x:v>
      </x:c>
      <x:c r="F244" s="99" t="n">
        <x:v>0.045</x:v>
      </x:c>
      <x:c r="G244" s="99" t="n">
        <x:v>25</x:v>
      </x:c>
      <x:c r="H244" s="99" t="n">
        <x:v>1</x:v>
      </x:c>
      <x:c r="I244" s="99" t="n">
        <x:v>-0.195</x:v>
      </x:c>
      <x:c r="J244" s="98" t="n">
        <x:v>4.990261912616487e-10</x:v>
      </x:c>
      <x:c r="K244" t="str">
        <x:v>nominal_vdd</x:v>
      </x:c>
      <x:c r="L244" t="str">
        <x:v>model_nominal_vdd</x:v>
      </x:c>
      <x:c r="M244" t="n">
        <x:v>1</x:v>
      </x:c>
      <x:c r="N244" t="str">
        <x:v>simulation</x:v>
      </x:c>
      <x:c r="O244" t="str">
        <x:v>ngspice</x:v>
      </x:c>
      <x:c r="P244" t="str">
        <x:v>c9ed2e513523c57a76912a35b2860cb85e4aaa3402b69757d84efa9cc2fb8410</x:v>
      </x:c>
      <x:c r="Q244" t="str">
        <x:v>data/raw/ptm45_hp_vds_1v_raw.txt</x:v>
      </x:c>
    </x:row>
    <x:row r="245">
      <x:c r="A245" t="str">
        <x:v>PTM</x:v>
      </x:c>
      <x:c r="B245" t="str">
        <x:v>NMOS</x:v>
      </x:c>
      <x:c r="C245" s="97" t="n">
        <x:v>45</x:v>
      </x:c>
      <x:c r="D245" s="97" t="str">
        <x:v>HP</x:v>
      </x:c>
      <x:c r="E245" s="99" t="n">
        <x:v>1</x:v>
      </x:c>
      <x:c r="F245" s="99" t="n">
        <x:v>0.045</x:v>
      </x:c>
      <x:c r="G245" s="99" t="n">
        <x:v>25</x:v>
      </x:c>
      <x:c r="H245" s="99" t="n">
        <x:v>1</x:v>
      </x:c>
      <x:c r="I245" s="99" t="n">
        <x:v>-0.19</x:v>
      </x:c>
      <x:c r="J245" s="98" t="n">
        <x:v>4.966835547138201e-10</x:v>
      </x:c>
      <x:c r="K245" t="str">
        <x:v>nominal_vdd</x:v>
      </x:c>
      <x:c r="L245" t="str">
        <x:v>model_nominal_vdd</x:v>
      </x:c>
      <x:c r="M245" t="n">
        <x:v>1</x:v>
      </x:c>
      <x:c r="N245" t="str">
        <x:v>simulation</x:v>
      </x:c>
      <x:c r="O245" t="str">
        <x:v>ngspice</x:v>
      </x:c>
      <x:c r="P245" t="str">
        <x:v>c9ed2e513523c57a76912a35b2860cb85e4aaa3402b69757d84efa9cc2fb8410</x:v>
      </x:c>
      <x:c r="Q245" t="str">
        <x:v>data/raw/ptm45_hp_vds_1v_raw.txt</x:v>
      </x:c>
    </x:row>
    <x:row r="246">
      <x:c r="A246" t="str">
        <x:v>PTM</x:v>
      </x:c>
      <x:c r="B246" t="str">
        <x:v>NMOS</x:v>
      </x:c>
      <x:c r="C246" s="97" t="n">
        <x:v>45</x:v>
      </x:c>
      <x:c r="D246" s="97" t="str">
        <x:v>HP</x:v>
      </x:c>
      <x:c r="E246" s="99" t="n">
        <x:v>1</x:v>
      </x:c>
      <x:c r="F246" s="99" t="n">
        <x:v>0.045</x:v>
      </x:c>
      <x:c r="G246" s="99" t="n">
        <x:v>25</x:v>
      </x:c>
      <x:c r="H246" s="99" t="n">
        <x:v>1</x:v>
      </x:c>
      <x:c r="I246" s="99" t="n">
        <x:v>-0.185</x:v>
      </x:c>
      <x:c r="J246" s="98" t="n">
        <x:v>4.990330642746987e-10</x:v>
      </x:c>
      <x:c r="K246" t="str">
        <x:v>nominal_vdd</x:v>
      </x:c>
      <x:c r="L246" t="str">
        <x:v>model_nominal_vdd</x:v>
      </x:c>
      <x:c r="M246" t="n">
        <x:v>1</x:v>
      </x:c>
      <x:c r="N246" t="str">
        <x:v>simulation</x:v>
      </x:c>
      <x:c r="O246" t="str">
        <x:v>ngspice</x:v>
      </x:c>
      <x:c r="P246" t="str">
        <x:v>c9ed2e513523c57a76912a35b2860cb85e4aaa3402b69757d84efa9cc2fb8410</x:v>
      </x:c>
      <x:c r="Q246" t="str">
        <x:v>data/raw/ptm45_hp_vds_1v_raw.txt</x:v>
      </x:c>
    </x:row>
    <x:row r="247">
      <x:c r="A247" t="str">
        <x:v>PTM</x:v>
      </x:c>
      <x:c r="B247" t="str">
        <x:v>NMOS</x:v>
      </x:c>
      <x:c r="C247" s="97" t="n">
        <x:v>45</x:v>
      </x:c>
      <x:c r="D247" s="97" t="str">
        <x:v>HP</x:v>
      </x:c>
      <x:c r="E247" s="99" t="n">
        <x:v>1</x:v>
      </x:c>
      <x:c r="F247" s="99" t="n">
        <x:v>0.045</x:v>
      </x:c>
      <x:c r="G247" s="99" t="n">
        <x:v>25</x:v>
      </x:c>
      <x:c r="H247" s="99" t="n">
        <x:v>1</x:v>
      </x:c>
      <x:c r="I247" s="99" t="n">
        <x:v>-0.18</x:v>
      </x:c>
      <x:c r="J247" s="98" t="n">
        <x:v>5.05913562123524e-10</x:v>
      </x:c>
      <x:c r="K247" t="str">
        <x:v>nominal_vdd</x:v>
      </x:c>
      <x:c r="L247" t="str">
        <x:v>model_nominal_vdd</x:v>
      </x:c>
      <x:c r="M247" t="n">
        <x:v>1</x:v>
      </x:c>
      <x:c r="N247" t="str">
        <x:v>simulation</x:v>
      </x:c>
      <x:c r="O247" t="str">
        <x:v>ngspice</x:v>
      </x:c>
      <x:c r="P247" t="str">
        <x:v>c9ed2e513523c57a76912a35b2860cb85e4aaa3402b69757d84efa9cc2fb8410</x:v>
      </x:c>
      <x:c r="Q247" t="str">
        <x:v>data/raw/ptm45_hp_vds_1v_raw.txt</x:v>
      </x:c>
    </x:row>
    <x:row r="248">
      <x:c r="A248" t="str">
        <x:v>PTM</x:v>
      </x:c>
      <x:c r="B248" t="str">
        <x:v>NMOS</x:v>
      </x:c>
      <x:c r="C248" s="97" t="n">
        <x:v>45</x:v>
      </x:c>
      <x:c r="D248" s="97" t="str">
        <x:v>HP</x:v>
      </x:c>
      <x:c r="E248" s="99" t="n">
        <x:v>1</x:v>
      </x:c>
      <x:c r="F248" s="99" t="n">
        <x:v>0.045</x:v>
      </x:c>
      <x:c r="G248" s="99" t="n">
        <x:v>25</x:v>
      </x:c>
      <x:c r="H248" s="99" t="n">
        <x:v>1</x:v>
      </x:c>
      <x:c r="I248" s="99" t="n">
        <x:v>-0.175</x:v>
      </x:c>
      <x:c r="J248" s="98" t="n">
        <x:v>5.172951347963915e-10</x:v>
      </x:c>
      <x:c r="K248" t="str">
        <x:v>nominal_vdd</x:v>
      </x:c>
      <x:c r="L248" t="str">
        <x:v>model_nominal_vdd</x:v>
      </x:c>
      <x:c r="M248" t="n">
        <x:v>1</x:v>
      </x:c>
      <x:c r="N248" t="str">
        <x:v>simulation</x:v>
      </x:c>
      <x:c r="O248" t="str">
        <x:v>ngspice</x:v>
      </x:c>
      <x:c r="P248" t="str">
        <x:v>c9ed2e513523c57a76912a35b2860cb85e4aaa3402b69757d84efa9cc2fb8410</x:v>
      </x:c>
      <x:c r="Q248" t="str">
        <x:v>data/raw/ptm45_hp_vds_1v_raw.txt</x:v>
      </x:c>
    </x:row>
    <x:row r="249">
      <x:c r="A249" t="str">
        <x:v>PTM</x:v>
      </x:c>
      <x:c r="B249" t="str">
        <x:v>NMOS</x:v>
      </x:c>
      <x:c r="C249" s="97" t="n">
        <x:v>45</x:v>
      </x:c>
      <x:c r="D249" s="97" t="str">
        <x:v>HP</x:v>
      </x:c>
      <x:c r="E249" s="99" t="n">
        <x:v>1</x:v>
      </x:c>
      <x:c r="F249" s="99" t="n">
        <x:v>0.045</x:v>
      </x:c>
      <x:c r="G249" s="99" t="n">
        <x:v>25</x:v>
      </x:c>
      <x:c r="H249" s="99" t="n">
        <x:v>1</x:v>
      </x:c>
      <x:c r="I249" s="99" t="n">
        <x:v>-0.17</x:v>
      </x:c>
      <x:c r="J249" s="98" t="n">
        <x:v>5.33272245024237e-10</x:v>
      </x:c>
      <x:c r="K249" t="str">
        <x:v>nominal_vdd</x:v>
      </x:c>
      <x:c r="L249" t="str">
        <x:v>model_nominal_vdd</x:v>
      </x:c>
      <x:c r="M249" t="n">
        <x:v>1</x:v>
      </x:c>
      <x:c r="N249" t="str">
        <x:v>simulation</x:v>
      </x:c>
      <x:c r="O249" t="str">
        <x:v>ngspice</x:v>
      </x:c>
      <x:c r="P249" t="str">
        <x:v>c9ed2e513523c57a76912a35b2860cb85e4aaa3402b69757d84efa9cc2fb8410</x:v>
      </x:c>
      <x:c r="Q249" t="str">
        <x:v>data/raw/ptm45_hp_vds_1v_raw.txt</x:v>
      </x:c>
    </x:row>
    <x:row r="250">
      <x:c r="A250" t="str">
        <x:v>PTM</x:v>
      </x:c>
      <x:c r="B250" t="str">
        <x:v>NMOS</x:v>
      </x:c>
      <x:c r="C250" s="97" t="n">
        <x:v>45</x:v>
      </x:c>
      <x:c r="D250" s="97" t="str">
        <x:v>HP</x:v>
      </x:c>
      <x:c r="E250" s="99" t="n">
        <x:v>1</x:v>
      </x:c>
      <x:c r="F250" s="99" t="n">
        <x:v>0.045</x:v>
      </x:c>
      <x:c r="G250" s="99" t="n">
        <x:v>25</x:v>
      </x:c>
      <x:c r="H250" s="99" t="n">
        <x:v>1</x:v>
      </x:c>
      <x:c r="I250" s="99" t="n">
        <x:v>-0.165</x:v>
      </x:c>
      <x:c r="J250" s="98" t="n">
        <x:v>5.540595432906033e-10</x:v>
      </x:c>
      <x:c r="K250" t="str">
        <x:v>nominal_vdd</x:v>
      </x:c>
      <x:c r="L250" t="str">
        <x:v>model_nominal_vdd</x:v>
      </x:c>
      <x:c r="M250" t="n">
        <x:v>1</x:v>
      </x:c>
      <x:c r="N250" t="str">
        <x:v>simulation</x:v>
      </x:c>
      <x:c r="O250" t="str">
        <x:v>ngspice</x:v>
      </x:c>
      <x:c r="P250" t="str">
        <x:v>c9ed2e513523c57a76912a35b2860cb85e4aaa3402b69757d84efa9cc2fb8410</x:v>
      </x:c>
      <x:c r="Q250" t="str">
        <x:v>data/raw/ptm45_hp_vds_1v_raw.txt</x:v>
      </x:c>
    </x:row>
    <x:row r="251">
      <x:c r="A251" t="str">
        <x:v>PTM</x:v>
      </x:c>
      <x:c r="B251" t="str">
        <x:v>NMOS</x:v>
      </x:c>
      <x:c r="C251" s="97" t="n">
        <x:v>45</x:v>
      </x:c>
      <x:c r="D251" s="97" t="str">
        <x:v>HP</x:v>
      </x:c>
      <x:c r="E251" s="99" t="n">
        <x:v>1</x:v>
      </x:c>
      <x:c r="F251" s="99" t="n">
        <x:v>0.045</x:v>
      </x:c>
      <x:c r="G251" s="99" t="n">
        <x:v>25</x:v>
      </x:c>
      <x:c r="H251" s="99" t="n">
        <x:v>1</x:v>
      </x:c>
      <x:c r="I251" s="99" t="n">
        <x:v>-0.16</x:v>
      </x:c>
      <x:c r="J251" s="98" t="n">
        <x:v>5.799903253714522e-10</x:v>
      </x:c>
      <x:c r="K251" t="str">
        <x:v>nominal_vdd</x:v>
      </x:c>
      <x:c r="L251" t="str">
        <x:v>model_nominal_vdd</x:v>
      </x:c>
      <x:c r="M251" t="n">
        <x:v>1</x:v>
      </x:c>
      <x:c r="N251" t="str">
        <x:v>simulation</x:v>
      </x:c>
      <x:c r="O251" t="str">
        <x:v>ngspice</x:v>
      </x:c>
      <x:c r="P251" t="str">
        <x:v>c9ed2e513523c57a76912a35b2860cb85e4aaa3402b69757d84efa9cc2fb8410</x:v>
      </x:c>
      <x:c r="Q251" t="str">
        <x:v>data/raw/ptm45_hp_vds_1v_raw.txt</x:v>
      </x:c>
    </x:row>
    <x:row r="252">
      <x:c r="A252" t="str">
        <x:v>PTM</x:v>
      </x:c>
      <x:c r="B252" t="str">
        <x:v>NMOS</x:v>
      </x:c>
      <x:c r="C252" s="97" t="n">
        <x:v>45</x:v>
      </x:c>
      <x:c r="D252" s="97" t="str">
        <x:v>HP</x:v>
      </x:c>
      <x:c r="E252" s="99" t="n">
        <x:v>1</x:v>
      </x:c>
      <x:c r="F252" s="99" t="n">
        <x:v>0.045</x:v>
      </x:c>
      <x:c r="G252" s="99" t="n">
        <x:v>25</x:v>
      </x:c>
      <x:c r="H252" s="99" t="n">
        <x:v>1</x:v>
      </x:c>
      <x:c r="I252" s="99" t="n">
        <x:v>-0.155</x:v>
      </x:c>
      <x:c r="J252" s="98" t="n">
        <x:v>6.11517628490725e-10</x:v>
      </x:c>
      <x:c r="K252" t="str">
        <x:v>nominal_vdd</x:v>
      </x:c>
      <x:c r="L252" t="str">
        <x:v>model_nominal_vdd</x:v>
      </x:c>
      <x:c r="M252" t="n">
        <x:v>1</x:v>
      </x:c>
      <x:c r="N252" t="str">
        <x:v>simulation</x:v>
      </x:c>
      <x:c r="O252" t="str">
        <x:v>ngspice</x:v>
      </x:c>
      <x:c r="P252" t="str">
        <x:v>c9ed2e513523c57a76912a35b2860cb85e4aaa3402b69757d84efa9cc2fb8410</x:v>
      </x:c>
      <x:c r="Q252" t="str">
        <x:v>data/raw/ptm45_hp_vds_1v_raw.txt</x:v>
      </x:c>
    </x:row>
    <x:row r="253">
      <x:c r="A253" t="str">
        <x:v>PTM</x:v>
      </x:c>
      <x:c r="B253" t="str">
        <x:v>NMOS</x:v>
      </x:c>
      <x:c r="C253" s="97" t="n">
        <x:v>45</x:v>
      </x:c>
      <x:c r="D253" s="97" t="str">
        <x:v>HP</x:v>
      </x:c>
      <x:c r="E253" s="99" t="n">
        <x:v>1</x:v>
      </x:c>
      <x:c r="F253" s="99" t="n">
        <x:v>0.045</x:v>
      </x:c>
      <x:c r="G253" s="99" t="n">
        <x:v>25</x:v>
      </x:c>
      <x:c r="H253" s="99" t="n">
        <x:v>1</x:v>
      </x:c>
      <x:c r="I253" s="99" t="n">
        <x:v>-0.15</x:v>
      </x:c>
      <x:c r="J253" s="98" t="n">
        <x:v>6.492179884146697e-10</x:v>
      </x:c>
      <x:c r="K253" t="str">
        <x:v>nominal_vdd</x:v>
      </x:c>
      <x:c r="L253" t="str">
        <x:v>model_nominal_vdd</x:v>
      </x:c>
      <x:c r="M253" t="n">
        <x:v>1</x:v>
      </x:c>
      <x:c r="N253" t="str">
        <x:v>simulation</x:v>
      </x:c>
      <x:c r="O253" t="str">
        <x:v>ngspice</x:v>
      </x:c>
      <x:c r="P253" t="str">
        <x:v>c9ed2e513523c57a76912a35b2860cb85e4aaa3402b69757d84efa9cc2fb8410</x:v>
      </x:c>
      <x:c r="Q253" t="str">
        <x:v>data/raw/ptm45_hp_vds_1v_raw.txt</x:v>
      </x:c>
    </x:row>
    <x:row r="254">
      <x:c r="A254" t="str">
        <x:v>PTM</x:v>
      </x:c>
      <x:c r="B254" t="str">
        <x:v>NMOS</x:v>
      </x:c>
      <x:c r="C254" s="97" t="n">
        <x:v>45</x:v>
      </x:c>
      <x:c r="D254" s="97" t="str">
        <x:v>HP</x:v>
      </x:c>
      <x:c r="E254" s="99" t="n">
        <x:v>1</x:v>
      </x:c>
      <x:c r="F254" s="99" t="n">
        <x:v>0.045</x:v>
      </x:c>
      <x:c r="G254" s="99" t="n">
        <x:v>25</x:v>
      </x:c>
      <x:c r="H254" s="99" t="n">
        <x:v>1</x:v>
      </x:c>
      <x:c r="I254" s="99" t="n">
        <x:v>-0.145</x:v>
      </x:c>
      <x:c r="J254" s="98" t="n">
        <x:v>6.93797913027349e-10</x:v>
      </x:c>
      <x:c r="K254" t="str">
        <x:v>nominal_vdd</x:v>
      </x:c>
      <x:c r="L254" t="str">
        <x:v>model_nominal_vdd</x:v>
      </x:c>
      <x:c r="M254" t="n">
        <x:v>1</x:v>
      </x:c>
      <x:c r="N254" t="str">
        <x:v>simulation</x:v>
      </x:c>
      <x:c r="O254" t="str">
        <x:v>ngspice</x:v>
      </x:c>
      <x:c r="P254" t="str">
        <x:v>c9ed2e513523c57a76912a35b2860cb85e4aaa3402b69757d84efa9cc2fb8410</x:v>
      </x:c>
      <x:c r="Q254" t="str">
        <x:v>data/raw/ptm45_hp_vds_1v_raw.txt</x:v>
      </x:c>
    </x:row>
    <x:row r="255">
      <x:c r="A255" t="str">
        <x:v>PTM</x:v>
      </x:c>
      <x:c r="B255" t="str">
        <x:v>NMOS</x:v>
      </x:c>
      <x:c r="C255" s="97" t="n">
        <x:v>45</x:v>
      </x:c>
      <x:c r="D255" s="97" t="str">
        <x:v>HP</x:v>
      </x:c>
      <x:c r="E255" s="99" t="n">
        <x:v>1</x:v>
      </x:c>
      <x:c r="F255" s="99" t="n">
        <x:v>0.045</x:v>
      </x:c>
      <x:c r="G255" s="99" t="n">
        <x:v>25</x:v>
      </x:c>
      <x:c r="H255" s="99" t="n">
        <x:v>1</x:v>
      </x:c>
      <x:c r="I255" s="99" t="n">
        <x:v>-0.14</x:v>
      </x:c>
      <x:c r="J255" s="98" t="n">
        <x:v>7.461031649478637e-10</x:v>
      </x:c>
      <x:c r="K255" t="str">
        <x:v>nominal_vdd</x:v>
      </x:c>
      <x:c r="L255" t="str">
        <x:v>model_nominal_vdd</x:v>
      </x:c>
      <x:c r="M255" t="n">
        <x:v>1</x:v>
      </x:c>
      <x:c r="N255" t="str">
        <x:v>simulation</x:v>
      </x:c>
      <x:c r="O255" t="str">
        <x:v>ngspice</x:v>
      </x:c>
      <x:c r="P255" t="str">
        <x:v>c9ed2e513523c57a76912a35b2860cb85e4aaa3402b69757d84efa9cc2fb8410</x:v>
      </x:c>
      <x:c r="Q255" t="str">
        <x:v>data/raw/ptm45_hp_vds_1v_raw.txt</x:v>
      </x:c>
    </x:row>
    <x:row r="256">
      <x:c r="A256" t="str">
        <x:v>PTM</x:v>
      </x:c>
      <x:c r="B256" t="str">
        <x:v>NMOS</x:v>
      </x:c>
      <x:c r="C256" s="97" t="n">
        <x:v>45</x:v>
      </x:c>
      <x:c r="D256" s="97" t="str">
        <x:v>HP</x:v>
      </x:c>
      <x:c r="E256" s="99" t="n">
        <x:v>1</x:v>
      </x:c>
      <x:c r="F256" s="99" t="n">
        <x:v>0.045</x:v>
      </x:c>
      <x:c r="G256" s="99" t="n">
        <x:v>25</x:v>
      </x:c>
      <x:c r="H256" s="99" t="n">
        <x:v>1</x:v>
      </x:c>
      <x:c r="I256" s="99" t="n">
        <x:v>-0.135</x:v>
      </x:c>
      <x:c r="J256" s="98" t="n">
        <x:v>8.071309868639366e-10</x:v>
      </x:c>
      <x:c r="K256" t="str">
        <x:v>nominal_vdd</x:v>
      </x:c>
      <x:c r="L256" t="str">
        <x:v>model_nominal_vdd</x:v>
      </x:c>
      <x:c r="M256" t="n">
        <x:v>1</x:v>
      </x:c>
      <x:c r="N256" t="str">
        <x:v>simulation</x:v>
      </x:c>
      <x:c r="O256" t="str">
        <x:v>ngspice</x:v>
      </x:c>
      <x:c r="P256" t="str">
        <x:v>c9ed2e513523c57a76912a35b2860cb85e4aaa3402b69757d84efa9cc2fb8410</x:v>
      </x:c>
      <x:c r="Q256" t="str">
        <x:v>data/raw/ptm45_hp_vds_1v_raw.txt</x:v>
      </x:c>
    </x:row>
    <x:row r="257">
      <x:c r="A257" t="str">
        <x:v>PTM</x:v>
      </x:c>
      <x:c r="B257" t="str">
        <x:v>NMOS</x:v>
      </x:c>
      <x:c r="C257" s="97" t="n">
        <x:v>45</x:v>
      </x:c>
      <x:c r="D257" s="97" t="str">
        <x:v>HP</x:v>
      </x:c>
      <x:c r="E257" s="99" t="n">
        <x:v>1</x:v>
      </x:c>
      <x:c r="F257" s="99" t="n">
        <x:v>0.045</x:v>
      </x:c>
      <x:c r="G257" s="99" t="n">
        <x:v>25</x:v>
      </x:c>
      <x:c r="H257" s="99" t="n">
        <x:v>1</x:v>
      </x:c>
      <x:c r="I257" s="99" t="n">
        <x:v>-0.1299999999999999</x:v>
      </x:c>
      <x:c r="J257" s="98" t="n">
        <x:v>8.780454488438361e-10</x:v>
      </x:c>
      <x:c r="K257" t="str">
        <x:v>nominal_vdd</x:v>
      </x:c>
      <x:c r="L257" t="str">
        <x:v>model_nominal_vdd</x:v>
      </x:c>
      <x:c r="M257" t="n">
        <x:v>1</x:v>
      </x:c>
      <x:c r="N257" t="str">
        <x:v>simulation</x:v>
      </x:c>
      <x:c r="O257" t="str">
        <x:v>ngspice</x:v>
      </x:c>
      <x:c r="P257" t="str">
        <x:v>c9ed2e513523c57a76912a35b2860cb85e4aaa3402b69757d84efa9cc2fb8410</x:v>
      </x:c>
      <x:c r="Q257" t="str">
        <x:v>data/raw/ptm45_hp_vds_1v_raw.txt</x:v>
      </x:c>
    </x:row>
    <x:row r="258">
      <x:c r="A258" t="str">
        <x:v>PTM</x:v>
      </x:c>
      <x:c r="B258" t="str">
        <x:v>NMOS</x:v>
      </x:c>
      <x:c r="C258" s="97" t="n">
        <x:v>45</x:v>
      </x:c>
      <x:c r="D258" s="97" t="str">
        <x:v>HP</x:v>
      </x:c>
      <x:c r="E258" s="99" t="n">
        <x:v>1</x:v>
      </x:c>
      <x:c r="F258" s="99" t="n">
        <x:v>0.045</x:v>
      </x:c>
      <x:c r="G258" s="99" t="n">
        <x:v>25</x:v>
      </x:c>
      <x:c r="H258" s="99" t="n">
        <x:v>1</x:v>
      </x:c>
      <x:c r="I258" s="99" t="n">
        <x:v>-0.1249999999999999</x:v>
      </x:c>
      <x:c r="J258" s="98" t="n">
        <x:v>9.601961473783615e-10</x:v>
      </x:c>
      <x:c r="K258" t="str">
        <x:v>nominal_vdd</x:v>
      </x:c>
      <x:c r="L258" t="str">
        <x:v>model_nominal_vdd</x:v>
      </x:c>
      <x:c r="M258" t="n">
        <x:v>1</x:v>
      </x:c>
      <x:c r="N258" t="str">
        <x:v>simulation</x:v>
      </x:c>
      <x:c r="O258" t="str">
        <x:v>ngspice</x:v>
      </x:c>
      <x:c r="P258" t="str">
        <x:v>c9ed2e513523c57a76912a35b2860cb85e4aaa3402b69757d84efa9cc2fb8410</x:v>
      </x:c>
      <x:c r="Q258" t="str">
        <x:v>data/raw/ptm45_hp_vds_1v_raw.txt</x:v>
      </x:c>
    </x:row>
    <x:row r="259">
      <x:c r="A259" t="str">
        <x:v>PTM</x:v>
      </x:c>
      <x:c r="B259" t="str">
        <x:v>NMOS</x:v>
      </x:c>
      <x:c r="C259" s="97" t="n">
        <x:v>45</x:v>
      </x:c>
      <x:c r="D259" s="97" t="str">
        <x:v>HP</x:v>
      </x:c>
      <x:c r="E259" s="99" t="n">
        <x:v>1</x:v>
      </x:c>
      <x:c r="F259" s="99" t="n">
        <x:v>0.045</x:v>
      </x:c>
      <x:c r="G259" s="99" t="n">
        <x:v>25</x:v>
      </x:c>
      <x:c r="H259" s="99" t="n">
        <x:v>1</x:v>
      </x:c>
      <x:c r="I259" s="99" t="n">
        <x:v>-0.1199999999999999</x:v>
      </x:c>
      <x:c r="J259" s="98" t="n">
        <x:v>1.055140541806699e-9</x:v>
      </x:c>
      <x:c r="K259" t="str">
        <x:v>nominal_vdd</x:v>
      </x:c>
      <x:c r="L259" t="str">
        <x:v>model_nominal_vdd</x:v>
      </x:c>
      <x:c r="M259" t="n">
        <x:v>1</x:v>
      </x:c>
      <x:c r="N259" t="str">
        <x:v>simulation</x:v>
      </x:c>
      <x:c r="O259" t="str">
        <x:v>ngspice</x:v>
      </x:c>
      <x:c r="P259" t="str">
        <x:v>c9ed2e513523c57a76912a35b2860cb85e4aaa3402b69757d84efa9cc2fb8410</x:v>
      </x:c>
      <x:c r="Q259" t="str">
        <x:v>data/raw/ptm45_hp_vds_1v_raw.txt</x:v>
      </x:c>
    </x:row>
    <x:row r="260">
      <x:c r="A260" t="str">
        <x:v>PTM</x:v>
      </x:c>
      <x:c r="B260" t="str">
        <x:v>NMOS</x:v>
      </x:c>
      <x:c r="C260" s="97" t="n">
        <x:v>45</x:v>
      </x:c>
      <x:c r="D260" s="97" t="str">
        <x:v>HP</x:v>
      </x:c>
      <x:c r="E260" s="99" t="n">
        <x:v>1</x:v>
      </x:c>
      <x:c r="F260" s="99" t="n">
        <x:v>0.045</x:v>
      </x:c>
      <x:c r="G260" s="99" t="n">
        <x:v>25</x:v>
      </x:c>
      <x:c r="H260" s="99" t="n">
        <x:v>1</x:v>
      </x:c>
      <x:c r="I260" s="99" t="n">
        <x:v>-0.1149999999999999</x:v>
      </x:c>
      <x:c r="J260" s="98" t="n">
        <x:v>1.16467027569472e-9</x:v>
      </x:c>
      <x:c r="K260" t="str">
        <x:v>nominal_vdd</x:v>
      </x:c>
      <x:c r="L260" t="str">
        <x:v>model_nominal_vdd</x:v>
      </x:c>
      <x:c r="M260" t="n">
        <x:v>1</x:v>
      </x:c>
      <x:c r="N260" t="str">
        <x:v>simulation</x:v>
      </x:c>
      <x:c r="O260" t="str">
        <x:v>ngspice</x:v>
      </x:c>
      <x:c r="P260" t="str">
        <x:v>c9ed2e513523c57a76912a35b2860cb85e4aaa3402b69757d84efa9cc2fb8410</x:v>
      </x:c>
      <x:c r="Q260" t="str">
        <x:v>data/raw/ptm45_hp_vds_1v_raw.txt</x:v>
      </x:c>
    </x:row>
    <x:row r="261">
      <x:c r="A261" t="str">
        <x:v>PTM</x:v>
      </x:c>
      <x:c r="B261" t="str">
        <x:v>NMOS</x:v>
      </x:c>
      <x:c r="C261" s="97" t="n">
        <x:v>45</x:v>
      </x:c>
      <x:c r="D261" s="97" t="str">
        <x:v>HP</x:v>
      </x:c>
      <x:c r="E261" s="99" t="n">
        <x:v>1</x:v>
      </x:c>
      <x:c r="F261" s="99" t="n">
        <x:v>0.045</x:v>
      </x:c>
      <x:c r="G261" s="99" t="n">
        <x:v>25</x:v>
      </x:c>
      <x:c r="H261" s="99" t="n">
        <x:v>1</x:v>
      </x:c>
      <x:c r="I261" s="99" t="n">
        <x:v>-0.1099999999999999</x:v>
      </x:c>
      <x:c r="J261" s="98" t="n">
        <x:v>1.290841899359029e-9</x:v>
      </x:c>
      <x:c r="K261" t="str">
        <x:v>nominal_vdd</x:v>
      </x:c>
      <x:c r="L261" t="str">
        <x:v>model_nominal_vdd</x:v>
      </x:c>
      <x:c r="M261" t="n">
        <x:v>1</x:v>
      </x:c>
      <x:c r="N261" t="str">
        <x:v>simulation</x:v>
      </x:c>
      <x:c r="O261" t="str">
        <x:v>ngspice</x:v>
      </x:c>
      <x:c r="P261" t="str">
        <x:v>c9ed2e513523c57a76912a35b2860cb85e4aaa3402b69757d84efa9cc2fb8410</x:v>
      </x:c>
      <x:c r="Q261" t="str">
        <x:v>data/raw/ptm45_hp_vds_1v_raw.txt</x:v>
      </x:c>
    </x:row>
    <x:row r="262">
      <x:c r="A262" t="str">
        <x:v>PTM</x:v>
      </x:c>
      <x:c r="B262" t="str">
        <x:v>NMOS</x:v>
      </x:c>
      <x:c r="C262" s="97" t="n">
        <x:v>45</x:v>
      </x:c>
      <x:c r="D262" s="97" t="str">
        <x:v>HP</x:v>
      </x:c>
      <x:c r="E262" s="99" t="n">
        <x:v>1</x:v>
      </x:c>
      <x:c r="F262" s="99" t="n">
        <x:v>0.045</x:v>
      </x:c>
      <x:c r="G262" s="99" t="n">
        <x:v>25</x:v>
      </x:c>
      <x:c r="H262" s="99" t="n">
        <x:v>1</x:v>
      </x:c>
      <x:c r="I262" s="99" t="n">
        <x:v>-0.1049999999999999</x:v>
      </x:c>
      <x:c r="J262" s="98" t="n">
        <x:v>1.436012485864877e-9</x:v>
      </x:c>
      <x:c r="K262" t="str">
        <x:v>nominal_vdd</x:v>
      </x:c>
      <x:c r="L262" t="str">
        <x:v>model_nominal_vdd</x:v>
      </x:c>
      <x:c r="M262" t="n">
        <x:v>1</x:v>
      </x:c>
      <x:c r="N262" t="str">
        <x:v>simulation</x:v>
      </x:c>
      <x:c r="O262" t="str">
        <x:v>ngspice</x:v>
      </x:c>
      <x:c r="P262" t="str">
        <x:v>c9ed2e513523c57a76912a35b2860cb85e4aaa3402b69757d84efa9cc2fb8410</x:v>
      </x:c>
      <x:c r="Q262" t="str">
        <x:v>data/raw/ptm45_hp_vds_1v_raw.txt</x:v>
      </x:c>
    </x:row>
    <x:row r="263">
      <x:c r="A263" t="str">
        <x:v>PTM</x:v>
      </x:c>
      <x:c r="B263" t="str">
        <x:v>NMOS</x:v>
      </x:c>
      <x:c r="C263" s="97" t="n">
        <x:v>45</x:v>
      </x:c>
      <x:c r="D263" s="97" t="str">
        <x:v>HP</x:v>
      </x:c>
      <x:c r="E263" s="99" t="n">
        <x:v>1</x:v>
      </x:c>
      <x:c r="F263" s="99" t="n">
        <x:v>0.045</x:v>
      </x:c>
      <x:c r="G263" s="99" t="n">
        <x:v>25</x:v>
      </x:c>
      <x:c r="H263" s="99" t="n">
        <x:v>1</x:v>
      </x:c>
      <x:c r="I263" s="99" t="n">
        <x:v>-0.09999999999999992</x:v>
      </x:c>
      <x:c r="J263" s="98" t="n">
        <x:v>1.602880717400002e-9</x:v>
      </x:c>
      <x:c r="K263" t="str">
        <x:v>nominal_vdd</x:v>
      </x:c>
      <x:c r="L263" t="str">
        <x:v>model_nominal_vdd</x:v>
      </x:c>
      <x:c r="M263" t="n">
        <x:v>1</x:v>
      </x:c>
      <x:c r="N263" t="str">
        <x:v>simulation</x:v>
      </x:c>
      <x:c r="O263" t="str">
        <x:v>ngspice</x:v>
      </x:c>
      <x:c r="P263" t="str">
        <x:v>c9ed2e513523c57a76912a35b2860cb85e4aaa3402b69757d84efa9cc2fb8410</x:v>
      </x:c>
      <x:c r="Q263" t="str">
        <x:v>data/raw/ptm45_hp_vds_1v_raw.txt</x:v>
      </x:c>
    </x:row>
    <x:row r="264">
      <x:c r="A264" t="str">
        <x:v>PTM</x:v>
      </x:c>
      <x:c r="B264" t="str">
        <x:v>NMOS</x:v>
      </x:c>
      <x:c r="C264" s="97" t="n">
        <x:v>45</x:v>
      </x:c>
      <x:c r="D264" s="97" t="str">
        <x:v>HP</x:v>
      </x:c>
      <x:c r="E264" s="99" t="n">
        <x:v>1</x:v>
      </x:c>
      <x:c r="F264" s="99" t="n">
        <x:v>0.045</x:v>
      </x:c>
      <x:c r="G264" s="99" t="n">
        <x:v>25</x:v>
      </x:c>
      <x:c r="H264" s="99" t="n">
        <x:v>1</x:v>
      </x:c>
      <x:c r="I264" s="99" t="n">
        <x:v>-0.09499999999999992</x:v>
      </x:c>
      <x:c r="J264" s="98" t="n">
        <x:v>1.79453411299549e-9</x:v>
      </x:c>
      <x:c r="K264" t="str">
        <x:v>nominal_vdd</x:v>
      </x:c>
      <x:c r="L264" t="str">
        <x:v>model_nominal_vdd</x:v>
      </x:c>
      <x:c r="M264" t="n">
        <x:v>1</x:v>
      </x:c>
      <x:c r="N264" t="str">
        <x:v>simulation</x:v>
      </x:c>
      <x:c r="O264" t="str">
        <x:v>ngspice</x:v>
      </x:c>
      <x:c r="P264" t="str">
        <x:v>c9ed2e513523c57a76912a35b2860cb85e4aaa3402b69757d84efa9cc2fb8410</x:v>
      </x:c>
      <x:c r="Q264" t="str">
        <x:v>data/raw/ptm45_hp_vds_1v_raw.txt</x:v>
      </x:c>
    </x:row>
    <x:row r="265">
      <x:c r="A265" t="str">
        <x:v>PTM</x:v>
      </x:c>
      <x:c r="B265" t="str">
        <x:v>NMOS</x:v>
      </x:c>
      <x:c r="C265" s="97" t="n">
        <x:v>45</x:v>
      </x:c>
      <x:c r="D265" s="97" t="str">
        <x:v>HP</x:v>
      </x:c>
      <x:c r="E265" s="99" t="n">
        <x:v>1</x:v>
      </x:c>
      <x:c r="F265" s="99" t="n">
        <x:v>0.045</x:v>
      </x:c>
      <x:c r="G265" s="99" t="n">
        <x:v>25</x:v>
      </x:c>
      <x:c r="H265" s="99" t="n">
        <x:v>1</x:v>
      </x:c>
      <x:c r="I265" s="99" t="n">
        <x:v>-0.08999999999999991</x:v>
      </x:c>
      <x:c r="J265" s="98" t="n">
        <x:v>2.014503173327516e-9</x:v>
      </x:c>
      <x:c r="K265" t="str">
        <x:v>nominal_vdd</x:v>
      </x:c>
      <x:c r="L265" t="str">
        <x:v>model_nominal_vdd</x:v>
      </x:c>
      <x:c r="M265" t="n">
        <x:v>1</x:v>
      </x:c>
      <x:c r="N265" t="str">
        <x:v>simulation</x:v>
      </x:c>
      <x:c r="O265" t="str">
        <x:v>ngspice</x:v>
      </x:c>
      <x:c r="P265" t="str">
        <x:v>c9ed2e513523c57a76912a35b2860cb85e4aaa3402b69757d84efa9cc2fb8410</x:v>
      </x:c>
      <x:c r="Q265" t="str">
        <x:v>data/raw/ptm45_hp_vds_1v_raw.txt</x:v>
      </x:c>
    </x:row>
    <x:row r="266">
      <x:c r="A266" t="str">
        <x:v>PTM</x:v>
      </x:c>
      <x:c r="B266" t="str">
        <x:v>NMOS</x:v>
      </x:c>
      <x:c r="C266" s="97" t="n">
        <x:v>45</x:v>
      </x:c>
      <x:c r="D266" s="97" t="str">
        <x:v>HP</x:v>
      </x:c>
      <x:c r="E266" s="99" t="n">
        <x:v>1</x:v>
      </x:c>
      <x:c r="F266" s="99" t="n">
        <x:v>0.045</x:v>
      </x:c>
      <x:c r="G266" s="99" t="n">
        <x:v>25</x:v>
      </x:c>
      <x:c r="H266" s="99" t="n">
        <x:v>1</x:v>
      </x:c>
      <x:c r="I266" s="99" t="n">
        <x:v>-0.08499999999999991</x:v>
      </x:c>
      <x:c r="J266" s="98" t="n">
        <x:v>2.266823335139018e-9</x:v>
      </x:c>
      <x:c r="K266" t="str">
        <x:v>nominal_vdd</x:v>
      </x:c>
      <x:c r="L266" t="str">
        <x:v>model_nominal_vdd</x:v>
      </x:c>
      <x:c r="M266" t="n">
        <x:v>1</x:v>
      </x:c>
      <x:c r="N266" t="str">
        <x:v>simulation</x:v>
      </x:c>
      <x:c r="O266" t="str">
        <x:v>ngspice</x:v>
      </x:c>
      <x:c r="P266" t="str">
        <x:v>c9ed2e513523c57a76912a35b2860cb85e4aaa3402b69757d84efa9cc2fb8410</x:v>
      </x:c>
      <x:c r="Q266" t="str">
        <x:v>data/raw/ptm45_hp_vds_1v_raw.txt</x:v>
      </x:c>
    </x:row>
    <x:row r="267">
      <x:c r="A267" t="str">
        <x:v>PTM</x:v>
      </x:c>
      <x:c r="B267" t="str">
        <x:v>NMOS</x:v>
      </x:c>
      <x:c r="C267" s="97" t="n">
        <x:v>45</x:v>
      </x:c>
      <x:c r="D267" s="97" t="str">
        <x:v>HP</x:v>
      </x:c>
      <x:c r="E267" s="99" t="n">
        <x:v>1</x:v>
      </x:c>
      <x:c r="F267" s="99" t="n">
        <x:v>0.045</x:v>
      </x:c>
      <x:c r="G267" s="99" t="n">
        <x:v>25</x:v>
      </x:c>
      <x:c r="H267" s="99" t="n">
        <x:v>1</x:v>
      </x:c>
      <x:c r="I267" s="99" t="n">
        <x:v>-0.0799999999999999</x:v>
      </x:c>
      <x:c r="J267" s="98" t="n">
        <x:v>2.556105758202359e-9</x:v>
      </x:c>
      <x:c r="K267" t="str">
        <x:v>nominal_vdd</x:v>
      </x:c>
      <x:c r="L267" t="str">
        <x:v>model_nominal_vdd</x:v>
      </x:c>
      <x:c r="M267" t="n">
        <x:v>1</x:v>
      </x:c>
      <x:c r="N267" t="str">
        <x:v>simulation</x:v>
      </x:c>
      <x:c r="O267" t="str">
        <x:v>ngspice</x:v>
      </x:c>
      <x:c r="P267" t="str">
        <x:v>c9ed2e513523c57a76912a35b2860cb85e4aaa3402b69757d84efa9cc2fb8410</x:v>
      </x:c>
      <x:c r="Q267" t="str">
        <x:v>data/raw/ptm45_hp_vds_1v_raw.txt</x:v>
      </x:c>
    </x:row>
    <x:row r="268">
      <x:c r="A268" t="str">
        <x:v>PTM</x:v>
      </x:c>
      <x:c r="B268" t="str">
        <x:v>NMOS</x:v>
      </x:c>
      <x:c r="C268" s="97" t="n">
        <x:v>45</x:v>
      </x:c>
      <x:c r="D268" s="97" t="str">
        <x:v>HP</x:v>
      </x:c>
      <x:c r="E268" s="99" t="n">
        <x:v>1</x:v>
      </x:c>
      <x:c r="F268" s="99" t="n">
        <x:v>0.045</x:v>
      </x:c>
      <x:c r="G268" s="99" t="n">
        <x:v>25</x:v>
      </x:c>
      <x:c r="H268" s="99" t="n">
        <x:v>1</x:v>
      </x:c>
      <x:c r="I268" s="99" t="n">
        <x:v>-0.0749999999999999</x:v>
      </x:c>
      <x:c r="J268" s="98" t="n">
        <x:v>2.887618113375948e-9</x:v>
      </x:c>
      <x:c r="K268" t="str">
        <x:v>nominal_vdd</x:v>
      </x:c>
      <x:c r="L268" t="str">
        <x:v>model_nominal_vdd</x:v>
      </x:c>
      <x:c r="M268" t="n">
        <x:v>1</x:v>
      </x:c>
      <x:c r="N268" t="str">
        <x:v>simulation</x:v>
      </x:c>
      <x:c r="O268" t="str">
        <x:v>ngspice</x:v>
      </x:c>
      <x:c r="P268" t="str">
        <x:v>c9ed2e513523c57a76912a35b2860cb85e4aaa3402b69757d84efa9cc2fb8410</x:v>
      </x:c>
      <x:c r="Q268" t="str">
        <x:v>data/raw/ptm45_hp_vds_1v_raw.txt</x:v>
      </x:c>
    </x:row>
    <x:row r="269">
      <x:c r="A269" t="str">
        <x:v>PTM</x:v>
      </x:c>
      <x:c r="B269" t="str">
        <x:v>NMOS</x:v>
      </x:c>
      <x:c r="C269" s="97" t="n">
        <x:v>45</x:v>
      </x:c>
      <x:c r="D269" s="97" t="str">
        <x:v>HP</x:v>
      </x:c>
      <x:c r="E269" s="99" t="n">
        <x:v>1</x:v>
      </x:c>
      <x:c r="F269" s="99" t="n">
        <x:v>0.045</x:v>
      </x:c>
      <x:c r="G269" s="99" t="n">
        <x:v>25</x:v>
      </x:c>
      <x:c r="H269" s="99" t="n">
        <x:v>1</x:v>
      </x:c>
      <x:c r="I269" s="99" t="n">
        <x:v>-0.0699999999999999</x:v>
      </x:c>
      <x:c r="J269" s="98" t="n">
        <x:v>3.267376703094192e-9</x:v>
      </x:c>
      <x:c r="K269" t="str">
        <x:v>nominal_vdd</x:v>
      </x:c>
      <x:c r="L269" t="str">
        <x:v>model_nominal_vdd</x:v>
      </x:c>
      <x:c r="M269" t="n">
        <x:v>1</x:v>
      </x:c>
      <x:c r="N269" t="str">
        <x:v>simulation</x:v>
      </x:c>
      <x:c r="O269" t="str">
        <x:v>ngspice</x:v>
      </x:c>
      <x:c r="P269" t="str">
        <x:v>c9ed2e513523c57a76912a35b2860cb85e4aaa3402b69757d84efa9cc2fb8410</x:v>
      </x:c>
      <x:c r="Q269" t="str">
        <x:v>data/raw/ptm45_hp_vds_1v_raw.txt</x:v>
      </x:c>
    </x:row>
    <x:row r="270">
      <x:c r="A270" t="str">
        <x:v>PTM</x:v>
      </x:c>
      <x:c r="B270" t="str">
        <x:v>NMOS</x:v>
      </x:c>
      <x:c r="C270" s="97" t="n">
        <x:v>45</x:v>
      </x:c>
      <x:c r="D270" s="97" t="str">
        <x:v>HP</x:v>
      </x:c>
      <x:c r="E270" s="99" t="n">
        <x:v>1</x:v>
      </x:c>
      <x:c r="F270" s="99" t="n">
        <x:v>0.045</x:v>
      </x:c>
      <x:c r="G270" s="99" t="n">
        <x:v>25</x:v>
      </x:c>
      <x:c r="H270" s="99" t="n">
        <x:v>1</x:v>
      </x:c>
      <x:c r="I270" s="99" t="n">
        <x:v>-0.06499999999999989</x:v>
      </x:c>
      <x:c r="J270" s="98" t="n">
        <x:v>3.702251427628463e-9</x:v>
      </x:c>
      <x:c r="K270" t="str">
        <x:v>nominal_vdd</x:v>
      </x:c>
      <x:c r="L270" t="str">
        <x:v>model_nominal_vdd</x:v>
      </x:c>
      <x:c r="M270" t="n">
        <x:v>1</x:v>
      </x:c>
      <x:c r="N270" t="str">
        <x:v>simulation</x:v>
      </x:c>
      <x:c r="O270" t="str">
        <x:v>ngspice</x:v>
      </x:c>
      <x:c r="P270" t="str">
        <x:v>c9ed2e513523c57a76912a35b2860cb85e4aaa3402b69757d84efa9cc2fb8410</x:v>
      </x:c>
      <x:c r="Q270" t="str">
        <x:v>data/raw/ptm45_hp_vds_1v_raw.txt</x:v>
      </x:c>
    </x:row>
    <x:row r="271">
      <x:c r="A271" t="str">
        <x:v>PTM</x:v>
      </x:c>
      <x:c r="B271" t="str">
        <x:v>NMOS</x:v>
      </x:c>
      <x:c r="C271" s="97" t="n">
        <x:v>45</x:v>
      </x:c>
      <x:c r="D271" s="97" t="str">
        <x:v>HP</x:v>
      </x:c>
      <x:c r="E271" s="99" t="n">
        <x:v>1</x:v>
      </x:c>
      <x:c r="F271" s="99" t="n">
        <x:v>0.045</x:v>
      </x:c>
      <x:c r="G271" s="99" t="n">
        <x:v>25</x:v>
      </x:c>
      <x:c r="H271" s="99" t="n">
        <x:v>1</x:v>
      </x:c>
      <x:c r="I271" s="99" t="n">
        <x:v>-0.05999999999999989</x:v>
      </x:c>
      <x:c r="J271" s="98" t="n">
        <x:v>4.20008531395974e-9</x:v>
      </x:c>
      <x:c r="K271" t="str">
        <x:v>nominal_vdd</x:v>
      </x:c>
      <x:c r="L271" t="str">
        <x:v>model_nominal_vdd</x:v>
      </x:c>
      <x:c r="M271" t="n">
        <x:v>1</x:v>
      </x:c>
      <x:c r="N271" t="str">
        <x:v>simulation</x:v>
      </x:c>
      <x:c r="O271" t="str">
        <x:v>ngspice</x:v>
      </x:c>
      <x:c r="P271" t="str">
        <x:v>c9ed2e513523c57a76912a35b2860cb85e4aaa3402b69757d84efa9cc2fb8410</x:v>
      </x:c>
      <x:c r="Q271" t="str">
        <x:v>data/raw/ptm45_hp_vds_1v_raw.txt</x:v>
      </x:c>
    </x:row>
    <x:row r="272">
      <x:c r="A272" t="str">
        <x:v>PTM</x:v>
      </x:c>
      <x:c r="B272" t="str">
        <x:v>NMOS</x:v>
      </x:c>
      <x:c r="C272" s="97" t="n">
        <x:v>45</x:v>
      </x:c>
      <x:c r="D272" s="97" t="str">
        <x:v>HP</x:v>
      </x:c>
      <x:c r="E272" s="99" t="n">
        <x:v>1</x:v>
      </x:c>
      <x:c r="F272" s="99" t="n">
        <x:v>0.045</x:v>
      </x:c>
      <x:c r="G272" s="99" t="n">
        <x:v>25</x:v>
      </x:c>
      <x:c r="H272" s="99" t="n">
        <x:v>1</x:v>
      </x:c>
      <x:c r="I272" s="99" t="n">
        <x:v>-0.0549999999999999</x:v>
      </x:c>
      <x:c r="J272" s="98" t="n">
        <x:v>4.769830551596083e-9</x:v>
      </x:c>
      <x:c r="K272" t="str">
        <x:v>nominal_vdd</x:v>
      </x:c>
      <x:c r="L272" t="str">
        <x:v>model_nominal_vdd</x:v>
      </x:c>
      <x:c r="M272" t="n">
        <x:v>1</x:v>
      </x:c>
      <x:c r="N272" t="str">
        <x:v>simulation</x:v>
      </x:c>
      <x:c r="O272" t="str">
        <x:v>ngspice</x:v>
      </x:c>
      <x:c r="P272" t="str">
        <x:v>c9ed2e513523c57a76912a35b2860cb85e4aaa3402b69757d84efa9cc2fb8410</x:v>
      </x:c>
      <x:c r="Q272" t="str">
        <x:v>data/raw/ptm45_hp_vds_1v_raw.txt</x:v>
      </x:c>
    </x:row>
    <x:row r="273">
      <x:c r="A273" t="str">
        <x:v>PTM</x:v>
      </x:c>
      <x:c r="B273" t="str">
        <x:v>NMOS</x:v>
      </x:c>
      <x:c r="C273" s="97" t="n">
        <x:v>45</x:v>
      </x:c>
      <x:c r="D273" s="97" t="str">
        <x:v>HP</x:v>
      </x:c>
      <x:c r="E273" s="99" t="n">
        <x:v>1</x:v>
      </x:c>
      <x:c r="F273" s="99" t="n">
        <x:v>0.045</x:v>
      </x:c>
      <x:c r="G273" s="99" t="n">
        <x:v>25</x:v>
      </x:c>
      <x:c r="H273" s="99" t="n">
        <x:v>1</x:v>
      </x:c>
      <x:c r="I273" s="99" t="n">
        <x:v>-0.0499999999999999</x:v>
      </x:c>
      <x:c r="J273" s="98" t="n">
        <x:v>5.421703233852641e-9</x:v>
      </x:c>
      <x:c r="K273" t="str">
        <x:v>nominal_vdd</x:v>
      </x:c>
      <x:c r="L273" t="str">
        <x:v>model_nominal_vdd</x:v>
      </x:c>
      <x:c r="M273" t="n">
        <x:v>1</x:v>
      </x:c>
      <x:c r="N273" t="str">
        <x:v>simulation</x:v>
      </x:c>
      <x:c r="O273" t="str">
        <x:v>ngspice</x:v>
      </x:c>
      <x:c r="P273" t="str">
        <x:v>c9ed2e513523c57a76912a35b2860cb85e4aaa3402b69757d84efa9cc2fb8410</x:v>
      </x:c>
      <x:c r="Q273" t="str">
        <x:v>data/raw/ptm45_hp_vds_1v_raw.txt</x:v>
      </x:c>
    </x:row>
    <x:row r="274">
      <x:c r="A274" t="str">
        <x:v>PTM</x:v>
      </x:c>
      <x:c r="B274" t="str">
        <x:v>NMOS</x:v>
      </x:c>
      <x:c r="C274" s="97" t="n">
        <x:v>45</x:v>
      </x:c>
      <x:c r="D274" s="97" t="str">
        <x:v>HP</x:v>
      </x:c>
      <x:c r="E274" s="99" t="n">
        <x:v>1</x:v>
      </x:c>
      <x:c r="F274" s="99" t="n">
        <x:v>0.045</x:v>
      </x:c>
      <x:c r="G274" s="99" t="n">
        <x:v>25</x:v>
      </x:c>
      <x:c r="H274" s="99" t="n">
        <x:v>1</x:v>
      </x:c>
      <x:c r="I274" s="99" t="n">
        <x:v>-0.0449999999999999</x:v>
      </x:c>
      <x:c r="J274" s="98" t="n">
        <x:v>6.167359286893276e-9</x:v>
      </x:c>
      <x:c r="K274" t="str">
        <x:v>nominal_vdd</x:v>
      </x:c>
      <x:c r="L274" t="str">
        <x:v>model_nominal_vdd</x:v>
      </x:c>
      <x:c r="M274" t="n">
        <x:v>1</x:v>
      </x:c>
      <x:c r="N274" t="str">
        <x:v>simulation</x:v>
      </x:c>
      <x:c r="O274" t="str">
        <x:v>ngspice</x:v>
      </x:c>
      <x:c r="P274" t="str">
        <x:v>c9ed2e513523c57a76912a35b2860cb85e4aaa3402b69757d84efa9cc2fb8410</x:v>
      </x:c>
      <x:c r="Q274" t="str">
        <x:v>data/raw/ptm45_hp_vds_1v_raw.txt</x:v>
      </x:c>
    </x:row>
    <x:row r="275">
      <x:c r="A275" t="str">
        <x:v>PTM</x:v>
      </x:c>
      <x:c r="B275" t="str">
        <x:v>NMOS</x:v>
      </x:c>
      <x:c r="C275" s="97" t="n">
        <x:v>45</x:v>
      </x:c>
      <x:c r="D275" s="97" t="str">
        <x:v>HP</x:v>
      </x:c>
      <x:c r="E275" s="99" t="n">
        <x:v>1</x:v>
      </x:c>
      <x:c r="F275" s="99" t="n">
        <x:v>0.045</x:v>
      </x:c>
      <x:c r="G275" s="99" t="n">
        <x:v>25</x:v>
      </x:c>
      <x:c r="H275" s="99" t="n">
        <x:v>1</x:v>
      </x:c>
      <x:c r="I275" s="99" t="n">
        <x:v>-0.0399999999999999</x:v>
      </x:c>
      <x:c r="J275" s="98" t="n">
        <x:v>7.02009438536202e-9</x:v>
      </x:c>
      <x:c r="K275" t="str">
        <x:v>nominal_vdd</x:v>
      </x:c>
      <x:c r="L275" t="str">
        <x:v>model_nominal_vdd</x:v>
      </x:c>
      <x:c r="M275" t="n">
        <x:v>1</x:v>
      </x:c>
      <x:c r="N275" t="str">
        <x:v>simulation</x:v>
      </x:c>
      <x:c r="O275" t="str">
        <x:v>ngspice</x:v>
      </x:c>
      <x:c r="P275" t="str">
        <x:v>c9ed2e513523c57a76912a35b2860cb85e4aaa3402b69757d84efa9cc2fb8410</x:v>
      </x:c>
      <x:c r="Q275" t="str">
        <x:v>data/raw/ptm45_hp_vds_1v_raw.txt</x:v>
      </x:c>
    </x:row>
    <x:row r="276">
      <x:c r="A276" t="str">
        <x:v>PTM</x:v>
      </x:c>
      <x:c r="B276" t="str">
        <x:v>NMOS</x:v>
      </x:c>
      <x:c r="C276" s="97" t="n">
        <x:v>45</x:v>
      </x:c>
      <x:c r="D276" s="97" t="str">
        <x:v>HP</x:v>
      </x:c>
      <x:c r="E276" s="99" t="n">
        <x:v>1</x:v>
      </x:c>
      <x:c r="F276" s="99" t="n">
        <x:v>0.045</x:v>
      </x:c>
      <x:c r="G276" s="99" t="n">
        <x:v>25</x:v>
      </x:c>
      <x:c r="H276" s="99" t="n">
        <x:v>1</x:v>
      </x:c>
      <x:c r="I276" s="99" t="n">
        <x:v>-0.03499999999999991</x:v>
      </x:c>
      <x:c r="J276" s="98" t="n">
        <x:v>7.995071005998663e-9</x:v>
      </x:c>
      <x:c r="K276" t="str">
        <x:v>nominal_vdd</x:v>
      </x:c>
      <x:c r="L276" t="str">
        <x:v>model_nominal_vdd</x:v>
      </x:c>
      <x:c r="M276" t="n">
        <x:v>1</x:v>
      </x:c>
      <x:c r="N276" t="str">
        <x:v>simulation</x:v>
      </x:c>
      <x:c r="O276" t="str">
        <x:v>ngspice</x:v>
      </x:c>
      <x:c r="P276" t="str">
        <x:v>c9ed2e513523c57a76912a35b2860cb85e4aaa3402b69757d84efa9cc2fb8410</x:v>
      </x:c>
      <x:c r="Q276" t="str">
        <x:v>data/raw/ptm45_hp_vds_1v_raw.txt</x:v>
      </x:c>
    </x:row>
    <x:row r="277">
      <x:c r="A277" t="str">
        <x:v>PTM</x:v>
      </x:c>
      <x:c r="B277" t="str">
        <x:v>NMOS</x:v>
      </x:c>
      <x:c r="C277" s="97" t="n">
        <x:v>45</x:v>
      </x:c>
      <x:c r="D277" s="97" t="str">
        <x:v>HP</x:v>
      </x:c>
      <x:c r="E277" s="99" t="n">
        <x:v>1</x:v>
      </x:c>
      <x:c r="F277" s="99" t="n">
        <x:v>0.045</x:v>
      </x:c>
      <x:c r="G277" s="99" t="n">
        <x:v>25</x:v>
      </x:c>
      <x:c r="H277" s="99" t="n">
        <x:v>1</x:v>
      </x:c>
      <x:c r="I277" s="99" t="n">
        <x:v>-0.02999999999999991</x:v>
      </x:c>
      <x:c r="J277" s="98" t="n">
        <x:v>9.109576162781831e-9</x:v>
      </x:c>
      <x:c r="K277" t="str">
        <x:v>nominal_vdd</x:v>
      </x:c>
      <x:c r="L277" t="str">
        <x:v>model_nominal_vdd</x:v>
      </x:c>
      <x:c r="M277" t="n">
        <x:v>1</x:v>
      </x:c>
      <x:c r="N277" t="str">
        <x:v>simulation</x:v>
      </x:c>
      <x:c r="O277" t="str">
        <x:v>ngspice</x:v>
      </x:c>
      <x:c r="P277" t="str">
        <x:v>c9ed2e513523c57a76912a35b2860cb85e4aaa3402b69757d84efa9cc2fb8410</x:v>
      </x:c>
      <x:c r="Q277" t="str">
        <x:v>data/raw/ptm45_hp_vds_1v_raw.txt</x:v>
      </x:c>
    </x:row>
    <x:row r="278">
      <x:c r="A278" t="str">
        <x:v>PTM</x:v>
      </x:c>
      <x:c r="B278" t="str">
        <x:v>NMOS</x:v>
      </x:c>
      <x:c r="C278" s="97" t="n">
        <x:v>45</x:v>
      </x:c>
      <x:c r="D278" s="97" t="str">
        <x:v>HP</x:v>
      </x:c>
      <x:c r="E278" s="99" t="n">
        <x:v>1</x:v>
      </x:c>
      <x:c r="F278" s="99" t="n">
        <x:v>0.045</x:v>
      </x:c>
      <x:c r="G278" s="99" t="n">
        <x:v>25</x:v>
      </x:c>
      <x:c r="H278" s="99" t="n">
        <x:v>1</x:v>
      </x:c>
      <x:c r="I278" s="99" t="n">
        <x:v>-0.0249999999999999</x:v>
      </x:c>
      <x:c r="J278" s="98" t="n">
        <x:v>1.038331380252642e-8</x:v>
      </x:c>
      <x:c r="K278" t="str">
        <x:v>nominal_vdd</x:v>
      </x:c>
      <x:c r="L278" t="str">
        <x:v>model_nominal_vdd</x:v>
      </x:c>
      <x:c r="M278" t="n">
        <x:v>1</x:v>
      </x:c>
      <x:c r="N278" t="str">
        <x:v>simulation</x:v>
      </x:c>
      <x:c r="O278" t="str">
        <x:v>ngspice</x:v>
      </x:c>
      <x:c r="P278" t="str">
        <x:v>c9ed2e513523c57a76912a35b2860cb85e4aaa3402b69757d84efa9cc2fb8410</x:v>
      </x:c>
      <x:c r="Q278" t="str">
        <x:v>data/raw/ptm45_hp_vds_1v_raw.txt</x:v>
      </x:c>
    </x:row>
    <x:row r="279">
      <x:c r="A279" t="str">
        <x:v>PTM</x:v>
      </x:c>
      <x:c r="B279" t="str">
        <x:v>NMOS</x:v>
      </x:c>
      <x:c r="C279" s="97" t="n">
        <x:v>45</x:v>
      </x:c>
      <x:c r="D279" s="97" t="str">
        <x:v>HP</x:v>
      </x:c>
      <x:c r="E279" s="99" t="n">
        <x:v>1</x:v>
      </x:c>
      <x:c r="F279" s="99" t="n">
        <x:v>0.045</x:v>
      </x:c>
      <x:c r="G279" s="99" t="n">
        <x:v>25</x:v>
      </x:c>
      <x:c r="H279" s="99" t="n">
        <x:v>1</x:v>
      </x:c>
      <x:c r="I279" s="99" t="n">
        <x:v>-0.0199999999999999</x:v>
      </x:c>
      <x:c r="J279" s="98" t="n">
        <x:v>1.183873632229351e-8</x:v>
      </x:c>
      <x:c r="K279" t="str">
        <x:v>nominal_vdd</x:v>
      </x:c>
      <x:c r="L279" t="str">
        <x:v>model_nominal_vdd</x:v>
      </x:c>
      <x:c r="M279" t="n">
        <x:v>1</x:v>
      </x:c>
      <x:c r="N279" t="str">
        <x:v>simulation</x:v>
      </x:c>
      <x:c r="O279" t="str">
        <x:v>ngspice</x:v>
      </x:c>
      <x:c r="P279" t="str">
        <x:v>c9ed2e513523c57a76912a35b2860cb85e4aaa3402b69757d84efa9cc2fb8410</x:v>
      </x:c>
      <x:c r="Q279" t="str">
        <x:v>data/raw/ptm45_hp_vds_1v_raw.txt</x:v>
      </x:c>
    </x:row>
    <x:row r="280">
      <x:c r="A280" t="str">
        <x:v>PTM</x:v>
      </x:c>
      <x:c r="B280" t="str">
        <x:v>NMOS</x:v>
      </x:c>
      <x:c r="C280" s="97" t="n">
        <x:v>45</x:v>
      </x:c>
      <x:c r="D280" s="97" t="str">
        <x:v>HP</x:v>
      </x:c>
      <x:c r="E280" s="99" t="n">
        <x:v>1</x:v>
      </x:c>
      <x:c r="F280" s="99" t="n">
        <x:v>0.045</x:v>
      </x:c>
      <x:c r="G280" s="99" t="n">
        <x:v>25</x:v>
      </x:c>
      <x:c r="H280" s="99" t="n">
        <x:v>1</x:v>
      </x:c>
      <x:c r="I280" s="99" t="n">
        <x:v>-0.0149999999999999</x:v>
      </x:c>
      <x:c r="J280" s="98" t="n">
        <x:v>1.350142020335369e-8</x:v>
      </x:c>
      <x:c r="K280" t="str">
        <x:v>nominal_vdd</x:v>
      </x:c>
      <x:c r="L280" t="str">
        <x:v>model_nominal_vdd</x:v>
      </x:c>
      <x:c r="M280" t="n">
        <x:v>1</x:v>
      </x:c>
      <x:c r="N280" t="str">
        <x:v>simulation</x:v>
      </x:c>
      <x:c r="O280" t="str">
        <x:v>ngspice</x:v>
      </x:c>
      <x:c r="P280" t="str">
        <x:v>c9ed2e513523c57a76912a35b2860cb85e4aaa3402b69757d84efa9cc2fb8410</x:v>
      </x:c>
      <x:c r="Q280" t="str">
        <x:v>data/raw/ptm45_hp_vds_1v_raw.txt</x:v>
      </x:c>
    </x:row>
    <x:row r="281">
      <x:c r="A281" t="str">
        <x:v>PTM</x:v>
      </x:c>
      <x:c r="B281" t="str">
        <x:v>NMOS</x:v>
      </x:c>
      <x:c r="C281" s="97" t="n">
        <x:v>45</x:v>
      </x:c>
      <x:c r="D281" s="97" t="str">
        <x:v>HP</x:v>
      </x:c>
      <x:c r="E281" s="99" t="n">
        <x:v>1</x:v>
      </x:c>
      <x:c r="F281" s="99" t="n">
        <x:v>0.045</x:v>
      </x:c>
      <x:c r="G281" s="99" t="n">
        <x:v>25</x:v>
      </x:c>
      <x:c r="H281" s="99" t="n">
        <x:v>1</x:v>
      </x:c>
      <x:c r="I281" s="99" t="n">
        <x:v>-0.009999999999999901</x:v>
      </x:c>
      <x:c r="J281" s="98" t="n">
        <x:v>1.540049134467929e-8</x:v>
      </x:c>
      <x:c r="K281" t="str">
        <x:v>nominal_vdd</x:v>
      </x:c>
      <x:c r="L281" t="str">
        <x:v>model_nominal_vdd</x:v>
      </x:c>
      <x:c r="M281" t="n">
        <x:v>1</x:v>
      </x:c>
      <x:c r="N281" t="str">
        <x:v>simulation</x:v>
      </x:c>
      <x:c r="O281" t="str">
        <x:v>ngspice</x:v>
      </x:c>
      <x:c r="P281" t="str">
        <x:v>c9ed2e513523c57a76912a35b2860cb85e4aaa3402b69757d84efa9cc2fb8410</x:v>
      </x:c>
      <x:c r="Q281" t="str">
        <x:v>data/raw/ptm45_hp_vds_1v_raw.txt</x:v>
      </x:c>
    </x:row>
    <x:row r="282">
      <x:c r="A282" t="str">
        <x:v>PTM</x:v>
      </x:c>
      <x:c r="B282" t="str">
        <x:v>NMOS</x:v>
      </x:c>
      <x:c r="C282" s="97" t="n">
        <x:v>45</x:v>
      </x:c>
      <x:c r="D282" s="97" t="str">
        <x:v>HP</x:v>
      </x:c>
      <x:c r="E282" s="99" t="n">
        <x:v>1</x:v>
      </x:c>
      <x:c r="F282" s="99" t="n">
        <x:v>0.045</x:v>
      </x:c>
      <x:c r="G282" s="99" t="n">
        <x:v>25</x:v>
      </x:c>
      <x:c r="H282" s="99" t="n">
        <x:v>1</x:v>
      </x:c>
      <x:c r="I282" s="99" t="n">
        <x:v>-0.004999999999999901</x:v>
      </x:c>
      <x:c r="J282" s="98" t="n">
        <x:v>1.756910632590914e-8</x:v>
      </x:c>
      <x:c r="K282" t="str">
        <x:v>nominal_vdd</x:v>
      </x:c>
      <x:c r="L282" t="str">
        <x:v>model_nominal_vdd</x:v>
      </x:c>
      <x:c r="M282" t="n">
        <x:v>1</x:v>
      </x:c>
      <x:c r="N282" t="str">
        <x:v>simulation</x:v>
      </x:c>
      <x:c r="O282" t="str">
        <x:v>ngspice</x:v>
      </x:c>
      <x:c r="P282" t="str">
        <x:v>c9ed2e513523c57a76912a35b2860cb85e4aaa3402b69757d84efa9cc2fb8410</x:v>
      </x:c>
      <x:c r="Q282" t="str">
        <x:v>data/raw/ptm45_hp_vds_1v_raw.txt</x:v>
      </x:c>
    </x:row>
    <x:row r="283">
      <x:c r="A283" t="str">
        <x:v>PTM</x:v>
      </x:c>
      <x:c r="B283" t="str">
        <x:v>NMOS</x:v>
      </x:c>
      <x:c r="C283" s="97" t="n">
        <x:v>45</x:v>
      </x:c>
      <x:c r="D283" s="97" t="str">
        <x:v>HP</x:v>
      </x:c>
      <x:c r="E283" s="99" t="n">
        <x:v>1</x:v>
      </x:c>
      <x:c r="F283" s="99" t="n">
        <x:v>0.045</x:v>
      </x:c>
      <x:c r="G283" s="99" t="n">
        <x:v>25</x:v>
      </x:c>
      <x:c r="H283" s="99" t="n">
        <x:v>1</x:v>
      </x:c>
      <x:c r="I283" s="99" t="n">
        <x:v>9.8879238130678e-17</x:v>
      </x:c>
      <x:c r="J283" s="98" t="n">
        <x:v>2.004499653917184e-8</x:v>
      </x:c>
      <x:c r="K283" t="str">
        <x:v>nominal_vdd</x:v>
      </x:c>
      <x:c r="L283" t="str">
        <x:v>model_nominal_vdd</x:v>
      </x:c>
      <x:c r="M283" t="n">
        <x:v>1</x:v>
      </x:c>
      <x:c r="N283" t="str">
        <x:v>simulation</x:v>
      </x:c>
      <x:c r="O283" t="str">
        <x:v>ngspice</x:v>
      </x:c>
      <x:c r="P283" t="str">
        <x:v>c9ed2e513523c57a76912a35b2860cb85e4aaa3402b69757d84efa9cc2fb8410</x:v>
      </x:c>
      <x:c r="Q283" t="str">
        <x:v>data/raw/ptm45_hp_vds_1v_raw.txt</x:v>
      </x:c>
    </x:row>
    <x:row r="284">
      <x:c r="A284" t="str">
        <x:v>PTM</x:v>
      </x:c>
      <x:c r="B284" t="str">
        <x:v>NMOS</x:v>
      </x:c>
      <x:c r="C284" s="97" t="n">
        <x:v>45</x:v>
      </x:c>
      <x:c r="D284" s="97" t="str">
        <x:v>HP</x:v>
      </x:c>
      <x:c r="E284" s="99" t="n">
        <x:v>1</x:v>
      </x:c>
      <x:c r="F284" s="99" t="n">
        <x:v>0.045</x:v>
      </x:c>
      <x:c r="G284" s="99" t="n">
        <x:v>25</x:v>
      </x:c>
      <x:c r="H284" s="99" t="n">
        <x:v>1</x:v>
      </x:c>
      <x:c r="I284" s="99" t="n">
        <x:v>0.005000000000000099</x:v>
      </x:c>
      <x:c r="J284" s="98" t="n">
        <x:v>2.287108290455236e-8</x:v>
      </x:c>
      <x:c r="K284" t="str">
        <x:v>nominal_vdd</x:v>
      </x:c>
      <x:c r="L284" t="str">
        <x:v>model_nominal_vdd</x:v>
      </x:c>
      <x:c r="M284" t="n">
        <x:v>1</x:v>
      </x:c>
      <x:c r="N284" t="str">
        <x:v>simulation</x:v>
      </x:c>
      <x:c r="O284" t="str">
        <x:v>ngspice</x:v>
      </x:c>
      <x:c r="P284" t="str">
        <x:v>c9ed2e513523c57a76912a35b2860cb85e4aaa3402b69757d84efa9cc2fb8410</x:v>
      </x:c>
      <x:c r="Q284" t="str">
        <x:v>data/raw/ptm45_hp_vds_1v_raw.txt</x:v>
      </x:c>
    </x:row>
    <x:row r="285">
      <x:c r="A285" t="str">
        <x:v>PTM</x:v>
      </x:c>
      <x:c r="B285" t="str">
        <x:v>NMOS</x:v>
      </x:c>
      <x:c r="C285" s="97" t="n">
        <x:v>45</x:v>
      </x:c>
      <x:c r="D285" s="97" t="str">
        <x:v>HP</x:v>
      </x:c>
      <x:c r="E285" s="99" t="n">
        <x:v>1</x:v>
      </x:c>
      <x:c r="F285" s="99" t="n">
        <x:v>0.045</x:v>
      </x:c>
      <x:c r="G285" s="99" t="n">
        <x:v>25</x:v>
      </x:c>
      <x:c r="H285" s="99" t="n">
        <x:v>1</x:v>
      </x:c>
      <x:c r="I285" s="99" t="n">
        <x:v>0.0100000000000001</x:v>
      </x:c>
      <x:c r="J285" s="98" t="n">
        <x:v>2.609616972837888e-8</x:v>
      </x:c>
      <x:c r="K285" t="str">
        <x:v>nominal_vdd</x:v>
      </x:c>
      <x:c r="L285" t="str">
        <x:v>model_nominal_vdd</x:v>
      </x:c>
      <x:c r="M285" t="n">
        <x:v>1</x:v>
      </x:c>
      <x:c r="N285" t="str">
        <x:v>simulation</x:v>
      </x:c>
      <x:c r="O285" t="str">
        <x:v>ngspice</x:v>
      </x:c>
      <x:c r="P285" t="str">
        <x:v>c9ed2e513523c57a76912a35b2860cb85e4aaa3402b69757d84efa9cc2fb8410</x:v>
      </x:c>
      <x:c r="Q285" t="str">
        <x:v>data/raw/ptm45_hp_vds_1v_raw.txt</x:v>
      </x:c>
    </x:row>
    <x:row r="286">
      <x:c r="A286" t="str">
        <x:v>PTM</x:v>
      </x:c>
      <x:c r="B286" t="str">
        <x:v>NMOS</x:v>
      </x:c>
      <x:c r="C286" s="97" t="n">
        <x:v>45</x:v>
      </x:c>
      <x:c r="D286" s="97" t="str">
        <x:v>HP</x:v>
      </x:c>
      <x:c r="E286" s="99" t="n">
        <x:v>1</x:v>
      </x:c>
      <x:c r="F286" s="99" t="n">
        <x:v>0.045</x:v>
      </x:c>
      <x:c r="G286" s="99" t="n">
        <x:v>25</x:v>
      </x:c>
      <x:c r="H286" s="99" t="n">
        <x:v>1</x:v>
      </x:c>
      <x:c r="I286" s="99" t="n">
        <x:v>0.0150000000000001</x:v>
      </x:c>
      <x:c r="J286" s="98" t="n">
        <x:v>2.977572717949469e-8</x:v>
      </x:c>
      <x:c r="K286" t="str">
        <x:v>nominal_vdd</x:v>
      </x:c>
      <x:c r="L286" t="str">
        <x:v>model_nominal_vdd</x:v>
      </x:c>
      <x:c r="M286" t="n">
        <x:v>1</x:v>
      </x:c>
      <x:c r="N286" t="str">
        <x:v>simulation</x:v>
      </x:c>
      <x:c r="O286" t="str">
        <x:v>ngspice</x:v>
      </x:c>
      <x:c r="P286" t="str">
        <x:v>c9ed2e513523c57a76912a35b2860cb85e4aaa3402b69757d84efa9cc2fb8410</x:v>
      </x:c>
      <x:c r="Q286" t="str">
        <x:v>data/raw/ptm45_hp_vds_1v_raw.txt</x:v>
      </x:c>
    </x:row>
    <x:row r="287">
      <x:c r="A287" t="str">
        <x:v>PTM</x:v>
      </x:c>
      <x:c r="B287" t="str">
        <x:v>NMOS</x:v>
      </x:c>
      <x:c r="C287" s="97" t="n">
        <x:v>45</x:v>
      </x:c>
      <x:c r="D287" s="97" t="str">
        <x:v>HP</x:v>
      </x:c>
      <x:c r="E287" s="99" t="n">
        <x:v>1</x:v>
      </x:c>
      <x:c r="F287" s="99" t="n">
        <x:v>0.045</x:v>
      </x:c>
      <x:c r="G287" s="99" t="n">
        <x:v>25</x:v>
      </x:c>
      <x:c r="H287" s="99" t="n">
        <x:v>1</x:v>
      </x:c>
      <x:c r="I287" s="99" t="n">
        <x:v>0.0200000000000001</x:v>
      </x:c>
      <x:c r="J287" s="98" t="n">
        <x:v>3.397277284792525e-8</x:v>
      </x:c>
      <x:c r="K287" t="str">
        <x:v>nominal_vdd</x:v>
      </x:c>
      <x:c r="L287" t="str">
        <x:v>model_nominal_vdd</x:v>
      </x:c>
      <x:c r="M287" t="n">
        <x:v>1</x:v>
      </x:c>
      <x:c r="N287" t="str">
        <x:v>simulation</x:v>
      </x:c>
      <x:c r="O287" t="str">
        <x:v>ngspice</x:v>
      </x:c>
      <x:c r="P287" t="str">
        <x:v>c9ed2e513523c57a76912a35b2860cb85e4aaa3402b69757d84efa9cc2fb8410</x:v>
      </x:c>
      <x:c r="Q287" t="str">
        <x:v>data/raw/ptm45_hp_vds_1v_raw.txt</x:v>
      </x:c>
    </x:row>
    <x:row r="288">
      <x:c r="A288" t="str">
        <x:v>PTM</x:v>
      </x:c>
      <x:c r="B288" t="str">
        <x:v>NMOS</x:v>
      </x:c>
      <x:c r="C288" s="97" t="n">
        <x:v>45</x:v>
      </x:c>
      <x:c r="D288" s="97" t="str">
        <x:v>HP</x:v>
      </x:c>
      <x:c r="E288" s="99" t="n">
        <x:v>1</x:v>
      </x:c>
      <x:c r="F288" s="99" t="n">
        <x:v>0.045</x:v>
      </x:c>
      <x:c r="G288" s="99" t="n">
        <x:v>25</x:v>
      </x:c>
      <x:c r="H288" s="99" t="n">
        <x:v>1</x:v>
      </x:c>
      <x:c r="I288" s="99" t="n">
        <x:v>0.0250000000000001</x:v>
      </x:c>
      <x:c r="J288" s="98" t="n">
        <x:v>3.875886391374027e-8</x:v>
      </x:c>
      <x:c r="K288" t="str">
        <x:v>nominal_vdd</x:v>
      </x:c>
      <x:c r="L288" t="str">
        <x:v>model_nominal_vdd</x:v>
      </x:c>
      <x:c r="M288" t="n">
        <x:v>1</x:v>
      </x:c>
      <x:c r="N288" t="str">
        <x:v>simulation</x:v>
      </x:c>
      <x:c r="O288" t="str">
        <x:v>ngspice</x:v>
      </x:c>
      <x:c r="P288" t="str">
        <x:v>c9ed2e513523c57a76912a35b2860cb85e4aaa3402b69757d84efa9cc2fb8410</x:v>
      </x:c>
      <x:c r="Q288" t="str">
        <x:v>data/raw/ptm45_hp_vds_1v_raw.txt</x:v>
      </x:c>
    </x:row>
    <x:row r="289">
      <x:c r="A289" t="str">
        <x:v>PTM</x:v>
      </x:c>
      <x:c r="B289" t="str">
        <x:v>NMOS</x:v>
      </x:c>
      <x:c r="C289" s="97" t="n">
        <x:v>45</x:v>
      </x:c>
      <x:c r="D289" s="97" t="str">
        <x:v>HP</x:v>
      </x:c>
      <x:c r="E289" s="99" t="n">
        <x:v>1</x:v>
      </x:c>
      <x:c r="F289" s="99" t="n">
        <x:v>0.045</x:v>
      </x:c>
      <x:c r="G289" s="99" t="n">
        <x:v>25</x:v>
      </x:c>
      <x:c r="H289" s="99" t="n">
        <x:v>1</x:v>
      </x:c>
      <x:c r="I289" s="99" t="n">
        <x:v>0.0300000000000001</x:v>
      </x:c>
      <x:c r="J289" s="98" t="n">
        <x:v>4.421521259087782e-8</x:v>
      </x:c>
      <x:c r="K289" t="str">
        <x:v>nominal_vdd</x:v>
      </x:c>
      <x:c r="L289" t="str">
        <x:v>model_nominal_vdd</x:v>
      </x:c>
      <x:c r="M289" t="n">
        <x:v>1</x:v>
      </x:c>
      <x:c r="N289" t="str">
        <x:v>simulation</x:v>
      </x:c>
      <x:c r="O289" t="str">
        <x:v>ngspice</x:v>
      </x:c>
      <x:c r="P289" t="str">
        <x:v>c9ed2e513523c57a76912a35b2860cb85e4aaa3402b69757d84efa9cc2fb8410</x:v>
      </x:c>
      <x:c r="Q289" t="str">
        <x:v>data/raw/ptm45_hp_vds_1v_raw.txt</x:v>
      </x:c>
    </x:row>
    <x:row r="290">
      <x:c r="A290" t="str">
        <x:v>PTM</x:v>
      </x:c>
      <x:c r="B290" t="str">
        <x:v>NMOS</x:v>
      </x:c>
      <x:c r="C290" s="97" t="n">
        <x:v>45</x:v>
      </x:c>
      <x:c r="D290" s="97" t="str">
        <x:v>HP</x:v>
      </x:c>
      <x:c r="E290" s="99" t="n">
        <x:v>1</x:v>
      </x:c>
      <x:c r="F290" s="99" t="n">
        <x:v>0.045</x:v>
      </x:c>
      <x:c r="G290" s="99" t="n">
        <x:v>25</x:v>
      </x:c>
      <x:c r="H290" s="99" t="n">
        <x:v>1</x:v>
      </x:c>
      <x:c r="I290" s="99" t="n">
        <x:v>0.0350000000000001</x:v>
      </x:c>
      <x:c r="J290" s="98" t="n">
        <x:v>5.043393871940648e-8</x:v>
      </x:c>
      <x:c r="K290" t="str">
        <x:v>nominal_vdd</x:v>
      </x:c>
      <x:c r="L290" t="str">
        <x:v>model_nominal_vdd</x:v>
      </x:c>
      <x:c r="M290" t="n">
        <x:v>1</x:v>
      </x:c>
      <x:c r="N290" t="str">
        <x:v>simulation</x:v>
      </x:c>
      <x:c r="O290" t="str">
        <x:v>ngspice</x:v>
      </x:c>
      <x:c r="P290" t="str">
        <x:v>c9ed2e513523c57a76912a35b2860cb85e4aaa3402b69757d84efa9cc2fb8410</x:v>
      </x:c>
      <x:c r="Q290" t="str">
        <x:v>data/raw/ptm45_hp_vds_1v_raw.txt</x:v>
      </x:c>
    </x:row>
    <x:row r="291">
      <x:c r="A291" t="str">
        <x:v>PTM</x:v>
      </x:c>
      <x:c r="B291" t="str">
        <x:v>NMOS</x:v>
      </x:c>
      <x:c r="C291" s="97" t="n">
        <x:v>45</x:v>
      </x:c>
      <x:c r="D291" s="97" t="str">
        <x:v>HP</x:v>
      </x:c>
      <x:c r="E291" s="99" t="n">
        <x:v>1</x:v>
      </x:c>
      <x:c r="F291" s="99" t="n">
        <x:v>0.045</x:v>
      </x:c>
      <x:c r="G291" s="99" t="n">
        <x:v>25</x:v>
      </x:c>
      <x:c r="H291" s="99" t="n">
        <x:v>1</x:v>
      </x:c>
      <x:c r="I291" s="99" t="n">
        <x:v>0.0400000000000001</x:v>
      </x:c>
      <x:c r="J291" s="98" t="n">
        <x:v>5.751947465615888e-8</x:v>
      </x:c>
      <x:c r="K291" t="str">
        <x:v>nominal_vdd</x:v>
      </x:c>
      <x:c r="L291" t="str">
        <x:v>model_nominal_vdd</x:v>
      </x:c>
      <x:c r="M291" t="n">
        <x:v>1</x:v>
      </x:c>
      <x:c r="N291" t="str">
        <x:v>simulation</x:v>
      </x:c>
      <x:c r="O291" t="str">
        <x:v>ngspice</x:v>
      </x:c>
      <x:c r="P291" t="str">
        <x:v>c9ed2e513523c57a76912a35b2860cb85e4aaa3402b69757d84efa9cc2fb8410</x:v>
      </x:c>
      <x:c r="Q291" t="str">
        <x:v>data/raw/ptm45_hp_vds_1v_raw.txt</x:v>
      </x:c>
    </x:row>
    <x:row r="292">
      <x:c r="A292" t="str">
        <x:v>PTM</x:v>
      </x:c>
      <x:c r="B292" t="str">
        <x:v>NMOS</x:v>
      </x:c>
      <x:c r="C292" s="97" t="n">
        <x:v>45</x:v>
      </x:c>
      <x:c r="D292" s="97" t="str">
        <x:v>HP</x:v>
      </x:c>
      <x:c r="E292" s="99" t="n">
        <x:v>1</x:v>
      </x:c>
      <x:c r="F292" s="99" t="n">
        <x:v>0.045</x:v>
      </x:c>
      <x:c r="G292" s="99" t="n">
        <x:v>25</x:v>
      </x:c>
      <x:c r="H292" s="99" t="n">
        <x:v>1</x:v>
      </x:c>
      <x:c r="I292" s="99" t="n">
        <x:v>0.0450000000000001</x:v>
      </x:c>
      <x:c r="J292" s="98" t="n">
        <x:v>6.559013895214705e-8</x:v>
      </x:c>
      <x:c r="K292" t="str">
        <x:v>nominal_vdd</x:v>
      </x:c>
      <x:c r="L292" t="str">
        <x:v>model_nominal_vdd</x:v>
      </x:c>
      <x:c r="M292" t="n">
        <x:v>1</x:v>
      </x:c>
      <x:c r="N292" t="str">
        <x:v>simulation</x:v>
      </x:c>
      <x:c r="O292" t="str">
        <x:v>ngspice</x:v>
      </x:c>
      <x:c r="P292" t="str">
        <x:v>c9ed2e513523c57a76912a35b2860cb85e4aaa3402b69757d84efa9cc2fb8410</x:v>
      </x:c>
      <x:c r="Q292" t="str">
        <x:v>data/raw/ptm45_hp_vds_1v_raw.txt</x:v>
      </x:c>
    </x:row>
    <x:row r="293">
      <x:c r="A293" t="str">
        <x:v>PTM</x:v>
      </x:c>
      <x:c r="B293" t="str">
        <x:v>NMOS</x:v>
      </x:c>
      <x:c r="C293" s="97" t="n">
        <x:v>45</x:v>
      </x:c>
      <x:c r="D293" s="97" t="str">
        <x:v>HP</x:v>
      </x:c>
      <x:c r="E293" s="99" t="n">
        <x:v>1</x:v>
      </x:c>
      <x:c r="F293" s="99" t="n">
        <x:v>0.045</x:v>
      </x:c>
      <x:c r="G293" s="99" t="n">
        <x:v>25</x:v>
      </x:c>
      <x:c r="H293" s="99" t="n">
        <x:v>1</x:v>
      </x:c>
      <x:c r="I293" s="99" t="n">
        <x:v>0.05000000000000009</x:v>
      </x:c>
      <x:c r="J293" s="98" t="n">
        <x:v>7.477989669704964e-8</x:v>
      </x:c>
      <x:c r="K293" t="str">
        <x:v>nominal_vdd</x:v>
      </x:c>
      <x:c r="L293" t="str">
        <x:v>model_nominal_vdd</x:v>
      </x:c>
      <x:c r="M293" t="n">
        <x:v>1</x:v>
      </x:c>
      <x:c r="N293" t="str">
        <x:v>simulation</x:v>
      </x:c>
      <x:c r="O293" t="str">
        <x:v>ngspice</x:v>
      </x:c>
      <x:c r="P293" t="str">
        <x:v>c9ed2e513523c57a76912a35b2860cb85e4aaa3402b69757d84efa9cc2fb8410</x:v>
      </x:c>
      <x:c r="Q293" t="str">
        <x:v>data/raw/ptm45_hp_vds_1v_raw.txt</x:v>
      </x:c>
    </x:row>
    <x:row r="294">
      <x:c r="A294" t="str">
        <x:v>PTM</x:v>
      </x:c>
      <x:c r="B294" t="str">
        <x:v>NMOS</x:v>
      </x:c>
      <x:c r="C294" s="97" t="n">
        <x:v>45</x:v>
      </x:c>
      <x:c r="D294" s="97" t="str">
        <x:v>HP</x:v>
      </x:c>
      <x:c r="E294" s="99" t="n">
        <x:v>1</x:v>
      </x:c>
      <x:c r="F294" s="99" t="n">
        <x:v>0.045</x:v>
      </x:c>
      <x:c r="G294" s="99" t="n">
        <x:v>25</x:v>
      </x:c>
      <x:c r="H294" s="99" t="n">
        <x:v>1</x:v>
      </x:c>
      <x:c r="I294" s="99" t="n">
        <x:v>0.05500000000000009</x:v>
      </x:c>
      <x:c r="J294" s="98" t="n">
        <x:v>8.524032584503317e-8</x:v>
      </x:c>
      <x:c r="K294" t="str">
        <x:v>nominal_vdd</x:v>
      </x:c>
      <x:c r="L294" t="str">
        <x:v>model_nominal_vdd</x:v>
      </x:c>
      <x:c r="M294" t="n">
        <x:v>1</x:v>
      </x:c>
      <x:c r="N294" t="str">
        <x:v>simulation</x:v>
      </x:c>
      <x:c r="O294" t="str">
        <x:v>ngspice</x:v>
      </x:c>
      <x:c r="P294" t="str">
        <x:v>c9ed2e513523c57a76912a35b2860cb85e4aaa3402b69757d84efa9cc2fb8410</x:v>
      </x:c>
      <x:c r="Q294" t="str">
        <x:v>data/raw/ptm45_hp_vds_1v_raw.txt</x:v>
      </x:c>
    </x:row>
    <x:row r="295">
      <x:c r="A295" t="str">
        <x:v>PTM</x:v>
      </x:c>
      <x:c r="B295" t="str">
        <x:v>NMOS</x:v>
      </x:c>
      <x:c r="C295" s="97" t="n">
        <x:v>45</x:v>
      </x:c>
      <x:c r="D295" s="97" t="str">
        <x:v>HP</x:v>
      </x:c>
      <x:c r="E295" s="99" t="n">
        <x:v>1</x:v>
      </x:c>
      <x:c r="F295" s="99" t="n">
        <x:v>0.045</x:v>
      </x:c>
      <x:c r="G295" s="99" t="n">
        <x:v>25</x:v>
      </x:c>
      <x:c r="H295" s="99" t="n">
        <x:v>1</x:v>
      </x:c>
      <x:c r="I295" s="99" t="n">
        <x:v>0.06000000000000009</x:v>
      </x:c>
      <x:c r="J295" s="98" t="n">
        <x:v>9.714281029803717e-8</x:v>
      </x:c>
      <x:c r="K295" t="str">
        <x:v>nominal_vdd</x:v>
      </x:c>
      <x:c r="L295" t="str">
        <x:v>model_nominal_vdd</x:v>
      </x:c>
      <x:c r="M295" t="n">
        <x:v>1</x:v>
      </x:c>
      <x:c r="N295" t="str">
        <x:v>simulation</x:v>
      </x:c>
      <x:c r="O295" t="str">
        <x:v>ngspice</x:v>
      </x:c>
      <x:c r="P295" t="str">
        <x:v>c9ed2e513523c57a76912a35b2860cb85e4aaa3402b69757d84efa9cc2fb8410</x:v>
      </x:c>
      <x:c r="Q295" t="str">
        <x:v>data/raw/ptm45_hp_vds_1v_raw.txt</x:v>
      </x:c>
    </x:row>
    <x:row r="296">
      <x:c r="A296" t="str">
        <x:v>PTM</x:v>
      </x:c>
      <x:c r="B296" t="str">
        <x:v>NMOS</x:v>
      </x:c>
      <x:c r="C296" s="97" t="n">
        <x:v>45</x:v>
      </x:c>
      <x:c r="D296" s="97" t="str">
        <x:v>HP</x:v>
      </x:c>
      <x:c r="E296" s="99" t="n">
        <x:v>1</x:v>
      </x:c>
      <x:c r="F296" s="99" t="n">
        <x:v>0.045</x:v>
      </x:c>
      <x:c r="G296" s="99" t="n">
        <x:v>25</x:v>
      </x:c>
      <x:c r="H296" s="99" t="n">
        <x:v>1</x:v>
      </x:c>
      <x:c r="I296" s="99" t="n">
        <x:v>0.06500000000000009</x:v>
      </x:c>
      <x:c r="J296" s="98" t="n">
        <x:v>1.106809819940524e-7</x:v>
      </x:c>
      <x:c r="K296" t="str">
        <x:v>nominal_vdd</x:v>
      </x:c>
      <x:c r="L296" t="str">
        <x:v>model_nominal_vdd</x:v>
      </x:c>
      <x:c r="M296" t="n">
        <x:v>1</x:v>
      </x:c>
      <x:c r="N296" t="str">
        <x:v>simulation</x:v>
      </x:c>
      <x:c r="O296" t="str">
        <x:v>ngspice</x:v>
      </x:c>
      <x:c r="P296" t="str">
        <x:v>c9ed2e513523c57a76912a35b2860cb85e4aaa3402b69757d84efa9cc2fb8410</x:v>
      </x:c>
      <x:c r="Q296" t="str">
        <x:v>data/raw/ptm45_hp_vds_1v_raw.txt</x:v>
      </x:c>
    </x:row>
    <x:row r="297">
      <x:c r="A297" t="str">
        <x:v>PTM</x:v>
      </x:c>
      <x:c r="B297" t="str">
        <x:v>NMOS</x:v>
      </x:c>
      <x:c r="C297" s="97" t="n">
        <x:v>45</x:v>
      </x:c>
      <x:c r="D297" s="97" t="str">
        <x:v>HP</x:v>
      </x:c>
      <x:c r="E297" s="99" t="n">
        <x:v>1</x:v>
      </x:c>
      <x:c r="F297" s="99" t="n">
        <x:v>0.045</x:v>
      </x:c>
      <x:c r="G297" s="99" t="n">
        <x:v>25</x:v>
      </x:c>
      <x:c r="H297" s="99" t="n">
        <x:v>1</x:v>
      </x:c>
      <x:c r="I297" s="99" t="n">
        <x:v>0.07000000000000009</x:v>
      </x:c>
      <x:c r="J297" s="98" t="n">
        <x:v>1.260734357078407e-7</x:v>
      </x:c>
      <x:c r="K297" t="str">
        <x:v>nominal_vdd</x:v>
      </x:c>
      <x:c r="L297" t="str">
        <x:v>model_nominal_vdd</x:v>
      </x:c>
      <x:c r="M297" t="n">
        <x:v>1</x:v>
      </x:c>
      <x:c r="N297" t="str">
        <x:v>simulation</x:v>
      </x:c>
      <x:c r="O297" t="str">
        <x:v>ngspice</x:v>
      </x:c>
      <x:c r="P297" t="str">
        <x:v>c9ed2e513523c57a76912a35b2860cb85e4aaa3402b69757d84efa9cc2fb8410</x:v>
      </x:c>
      <x:c r="Q297" t="str">
        <x:v>data/raw/ptm45_hp_vds_1v_raw.txt</x:v>
      </x:c>
    </x:row>
    <x:row r="298">
      <x:c r="A298" t="str">
        <x:v>PTM</x:v>
      </x:c>
      <x:c r="B298" t="str">
        <x:v>NMOS</x:v>
      </x:c>
      <x:c r="C298" s="97" t="n">
        <x:v>45</x:v>
      </x:c>
      <x:c r="D298" s="97" t="str">
        <x:v>HP</x:v>
      </x:c>
      <x:c r="E298" s="99" t="n">
        <x:v>1</x:v>
      </x:c>
      <x:c r="F298" s="99" t="n">
        <x:v>0.045</x:v>
      </x:c>
      <x:c r="G298" s="99" t="n">
        <x:v>25</x:v>
      </x:c>
      <x:c r="H298" s="99" t="n">
        <x:v>1</x:v>
      </x:c>
      <x:c r="I298" s="99" t="n">
        <x:v>0.0750000000000001</x:v>
      </x:c>
      <x:c r="J298" s="98" t="n">
        <x:v>1.435667416938999e-7</x:v>
      </x:c>
      <x:c r="K298" t="str">
        <x:v>nominal_vdd</x:v>
      </x:c>
      <x:c r="L298" t="str">
        <x:v>model_nominal_vdd</x:v>
      </x:c>
      <x:c r="M298" t="n">
        <x:v>1</x:v>
      </x:c>
      <x:c r="N298" t="str">
        <x:v>simulation</x:v>
      </x:c>
      <x:c r="O298" t="str">
        <x:v>ngspice</x:v>
      </x:c>
      <x:c r="P298" t="str">
        <x:v>c9ed2e513523c57a76912a35b2860cb85e4aaa3402b69757d84efa9cc2fb8410</x:v>
      </x:c>
      <x:c r="Q298" t="str">
        <x:v>data/raw/ptm45_hp_vds_1v_raw.txt</x:v>
      </x:c>
    </x:row>
    <x:row r="299">
      <x:c r="A299" t="str">
        <x:v>PTM</x:v>
      </x:c>
      <x:c r="B299" t="str">
        <x:v>NMOS</x:v>
      </x:c>
      <x:c r="C299" s="97" t="n">
        <x:v>45</x:v>
      </x:c>
      <x:c r="D299" s="97" t="str">
        <x:v>HP</x:v>
      </x:c>
      <x:c r="E299" s="99" t="n">
        <x:v>1</x:v>
      </x:c>
      <x:c r="F299" s="99" t="n">
        <x:v>0.045</x:v>
      </x:c>
      <x:c r="G299" s="99" t="n">
        <x:v>25</x:v>
      </x:c>
      <x:c r="H299" s="99" t="n">
        <x:v>1</x:v>
      </x:c>
      <x:c r="I299" s="99" t="n">
        <x:v>0.0800000000000001</x:v>
      </x:c>
      <x:c r="J299" s="98" t="n">
        <x:v>1.634387826574535e-7</x:v>
      </x:c>
      <x:c r="K299" t="str">
        <x:v>nominal_vdd</x:v>
      </x:c>
      <x:c r="L299" t="str">
        <x:v>model_nominal_vdd</x:v>
      </x:c>
      <x:c r="M299" t="n">
        <x:v>1</x:v>
      </x:c>
      <x:c r="N299" t="str">
        <x:v>simulation</x:v>
      </x:c>
      <x:c r="O299" t="str">
        <x:v>ngspice</x:v>
      </x:c>
      <x:c r="P299" t="str">
        <x:v>c9ed2e513523c57a76912a35b2860cb85e4aaa3402b69757d84efa9cc2fb8410</x:v>
      </x:c>
      <x:c r="Q299" t="str">
        <x:v>data/raw/ptm45_hp_vds_1v_raw.txt</x:v>
      </x:c>
    </x:row>
    <x:row r="300">
      <x:c r="A300" t="str">
        <x:v>PTM</x:v>
      </x:c>
      <x:c r="B300" t="str">
        <x:v>NMOS</x:v>
      </x:c>
      <x:c r="C300" s="97" t="n">
        <x:v>45</x:v>
      </x:c>
      <x:c r="D300" s="97" t="str">
        <x:v>HP</x:v>
      </x:c>
      <x:c r="E300" s="99" t="n">
        <x:v>1</x:v>
      </x:c>
      <x:c r="F300" s="99" t="n">
        <x:v>0.045</x:v>
      </x:c>
      <x:c r="G300" s="99" t="n">
        <x:v>25</x:v>
      </x:c>
      <x:c r="H300" s="99" t="n">
        <x:v>1</x:v>
      </x:c>
      <x:c r="I300" s="99" t="n">
        <x:v>0.0850000000000001</x:v>
      </x:c>
      <x:c r="J300" s="98" t="n">
        <x:v>1.860024427952476e-7</x:v>
      </x:c>
      <x:c r="K300" t="str">
        <x:v>nominal_vdd</x:v>
      </x:c>
      <x:c r="L300" t="str">
        <x:v>model_nominal_vdd</x:v>
      </x:c>
      <x:c r="M300" t="n">
        <x:v>1</x:v>
      </x:c>
      <x:c r="N300" t="str">
        <x:v>simulation</x:v>
      </x:c>
      <x:c r="O300" t="str">
        <x:v>ngspice</x:v>
      </x:c>
      <x:c r="P300" t="str">
        <x:v>c9ed2e513523c57a76912a35b2860cb85e4aaa3402b69757d84efa9cc2fb8410</x:v>
      </x:c>
      <x:c r="Q300" t="str">
        <x:v>data/raw/ptm45_hp_vds_1v_raw.txt</x:v>
      </x:c>
    </x:row>
    <x:row r="301">
      <x:c r="A301" t="str">
        <x:v>PTM</x:v>
      </x:c>
      <x:c r="B301" t="str">
        <x:v>NMOS</x:v>
      </x:c>
      <x:c r="C301" s="97" t="n">
        <x:v>45</x:v>
      </x:c>
      <x:c r="D301" s="97" t="str">
        <x:v>HP</x:v>
      </x:c>
      <x:c r="E301" s="99" t="n">
        <x:v>1</x:v>
      </x:c>
      <x:c r="F301" s="99" t="n">
        <x:v>0.045</x:v>
      </x:c>
      <x:c r="G301" s="99" t="n">
        <x:v>25</x:v>
      </x:c>
      <x:c r="H301" s="99" t="n">
        <x:v>1</x:v>
      </x:c>
      <x:c r="I301" s="99" t="n">
        <x:v>0.09000000000000011</x:v>
      </x:c>
      <x:c r="J301" s="98" t="n">
        <x:v>2.116096777673938e-7</x:v>
      </x:c>
      <x:c r="K301" t="str">
        <x:v>nominal_vdd</x:v>
      </x:c>
      <x:c r="L301" t="str">
        <x:v>model_nominal_vdd</x:v>
      </x:c>
      <x:c r="M301" t="n">
        <x:v>1</x:v>
      </x:c>
      <x:c r="N301" t="str">
        <x:v>simulation</x:v>
      </x:c>
      <x:c r="O301" t="str">
        <x:v>ngspice</x:v>
      </x:c>
      <x:c r="P301" t="str">
        <x:v>c9ed2e513523c57a76912a35b2860cb85e4aaa3402b69757d84efa9cc2fb8410</x:v>
      </x:c>
      <x:c r="Q301" t="str">
        <x:v>data/raw/ptm45_hp_vds_1v_raw.txt</x:v>
      </x:c>
    </x:row>
    <x:row r="302">
      <x:c r="A302" t="str">
        <x:v>PTM</x:v>
      </x:c>
      <x:c r="B302" t="str">
        <x:v>NMOS</x:v>
      </x:c>
      <x:c r="C302" s="97" t="n">
        <x:v>45</x:v>
      </x:c>
      <x:c r="D302" s="97" t="str">
        <x:v>HP</x:v>
      </x:c>
      <x:c r="E302" s="99" t="n">
        <x:v>1</x:v>
      </x:c>
      <x:c r="F302" s="99" t="n">
        <x:v>0.045</x:v>
      </x:c>
      <x:c r="G302" s="99" t="n">
        <x:v>25</x:v>
      </x:c>
      <x:c r="H302" s="99" t="n">
        <x:v>1</x:v>
      </x:c>
      <x:c r="I302" s="99" t="n">
        <x:v>0.09500000000000011</x:v>
      </x:c>
      <x:c r="J302" s="98" t="n">
        <x:v>2.406559954042008e-7</x:v>
      </x:c>
      <x:c r="K302" t="str">
        <x:v>nominal_vdd</x:v>
      </x:c>
      <x:c r="L302" t="str">
        <x:v>model_nominal_vdd</x:v>
      </x:c>
      <x:c r="M302" t="n">
        <x:v>1</x:v>
      </x:c>
      <x:c r="N302" t="str">
        <x:v>simulation</x:v>
      </x:c>
      <x:c r="O302" t="str">
        <x:v>ngspice</x:v>
      </x:c>
      <x:c r="P302" t="str">
        <x:v>c9ed2e513523c57a76912a35b2860cb85e4aaa3402b69757d84efa9cc2fb8410</x:v>
      </x:c>
      <x:c r="Q302" t="str">
        <x:v>data/raw/ptm45_hp_vds_1v_raw.txt</x:v>
      </x:c>
    </x:row>
    <x:row r="303">
      <x:c r="A303" t="str">
        <x:v>PTM</x:v>
      </x:c>
      <x:c r="B303" t="str">
        <x:v>NMOS</x:v>
      </x:c>
      <x:c r="C303" s="97" t="n">
        <x:v>45</x:v>
      </x:c>
      <x:c r="D303" s="97" t="str">
        <x:v>HP</x:v>
      </x:c>
      <x:c r="E303" s="99" t="n">
        <x:v>1</x:v>
      </x:c>
      <x:c r="F303" s="99" t="n">
        <x:v>0.045</x:v>
      </x:c>
      <x:c r="G303" s="99" t="n">
        <x:v>25</x:v>
      </x:c>
      <x:c r="H303" s="99" t="n">
        <x:v>1</x:v>
      </x:c>
      <x:c r="I303" s="99" t="n">
        <x:v>0.1000000000000001</x:v>
      </x:c>
      <x:c r="J303" s="98" t="n">
        <x:v>2.735853776753727e-7</x:v>
      </x:c>
      <x:c r="K303" t="str">
        <x:v>nominal_vdd</x:v>
      </x:c>
      <x:c r="L303" t="str">
        <x:v>model_nominal_vdd</x:v>
      </x:c>
      <x:c r="M303" t="n">
        <x:v>1</x:v>
      </x:c>
      <x:c r="N303" t="str">
        <x:v>simulation</x:v>
      </x:c>
      <x:c r="O303" t="str">
        <x:v>ngspice</x:v>
      </x:c>
      <x:c r="P303" t="str">
        <x:v>c9ed2e513523c57a76912a35b2860cb85e4aaa3402b69757d84efa9cc2fb8410</x:v>
      </x:c>
      <x:c r="Q303" t="str">
        <x:v>data/raw/ptm45_hp_vds_1v_raw.txt</x:v>
      </x:c>
    </x:row>
    <x:row r="304">
      <x:c r="A304" t="str">
        <x:v>PTM</x:v>
      </x:c>
      <x:c r="B304" t="str">
        <x:v>NMOS</x:v>
      </x:c>
      <x:c r="C304" s="97" t="n">
        <x:v>45</x:v>
      </x:c>
      <x:c r="D304" s="97" t="str">
        <x:v>HP</x:v>
      </x:c>
      <x:c r="E304" s="99" t="n">
        <x:v>1</x:v>
      </x:c>
      <x:c r="F304" s="99" t="n">
        <x:v>0.045</x:v>
      </x:c>
      <x:c r="G304" s="99" t="n">
        <x:v>25</x:v>
      </x:c>
      <x:c r="H304" s="99" t="n">
        <x:v>1</x:v>
      </x:c>
      <x:c r="I304" s="99" t="n">
        <x:v>0.1050000000000001</x:v>
      </x:c>
      <x:c r="J304" s="98" t="n">
        <x:v>3.108956749076387e-7</x:v>
      </x:c>
      <x:c r="K304" t="str">
        <x:v>nominal_vdd</x:v>
      </x:c>
      <x:c r="L304" t="str">
        <x:v>model_nominal_vdd</x:v>
      </x:c>
      <x:c r="M304" t="n">
        <x:v>1</x:v>
      </x:c>
      <x:c r="N304" t="str">
        <x:v>simulation</x:v>
      </x:c>
      <x:c r="O304" t="str">
        <x:v>ngspice</x:v>
      </x:c>
      <x:c r="P304" t="str">
        <x:v>c9ed2e513523c57a76912a35b2860cb85e4aaa3402b69757d84efa9cc2fb8410</x:v>
      </x:c>
      <x:c r="Q304" t="str">
        <x:v>data/raw/ptm45_hp_vds_1v_raw.txt</x:v>
      </x:c>
    </x:row>
    <x:row r="305">
      <x:c r="A305" t="str">
        <x:v>PTM</x:v>
      </x:c>
      <x:c r="B305" t="str">
        <x:v>NMOS</x:v>
      </x:c>
      <x:c r="C305" s="97" t="n">
        <x:v>45</x:v>
      </x:c>
      <x:c r="D305" s="97" t="str">
        <x:v>HP</x:v>
      </x:c>
      <x:c r="E305" s="99" t="n">
        <x:v>1</x:v>
      </x:c>
      <x:c r="F305" s="99" t="n">
        <x:v>0.045</x:v>
      </x:c>
      <x:c r="G305" s="99" t="n">
        <x:v>25</x:v>
      </x:c>
      <x:c r="H305" s="99" t="n">
        <x:v>1</x:v>
      </x:c>
      <x:c r="I305" s="99" t="n">
        <x:v>0.1100000000000001</x:v>
      </x:c>
      <x:c r="J305" s="98" t="n">
        <x:v>3.531445033858148e-7</x:v>
      </x:c>
      <x:c r="K305" t="str">
        <x:v>nominal_vdd</x:v>
      </x:c>
      <x:c r="L305" t="str">
        <x:v>model_nominal_vdd</x:v>
      </x:c>
      <x:c r="M305" t="n">
        <x:v>1</x:v>
      </x:c>
      <x:c r="N305" t="str">
        <x:v>simulation</x:v>
      </x:c>
      <x:c r="O305" t="str">
        <x:v>ngspice</x:v>
      </x:c>
      <x:c r="P305" t="str">
        <x:v>c9ed2e513523c57a76912a35b2860cb85e4aaa3402b69757d84efa9cc2fb8410</x:v>
      </x:c>
      <x:c r="Q305" t="str">
        <x:v>data/raw/ptm45_hp_vds_1v_raw.txt</x:v>
      </x:c>
    </x:row>
    <x:row r="306">
      <x:c r="A306" t="str">
        <x:v>PTM</x:v>
      </x:c>
      <x:c r="B306" t="str">
        <x:v>NMOS</x:v>
      </x:c>
      <x:c r="C306" s="97" t="n">
        <x:v>45</x:v>
      </x:c>
      <x:c r="D306" s="97" t="str">
        <x:v>HP</x:v>
      </x:c>
      <x:c r="E306" s="99" t="n">
        <x:v>1</x:v>
      </x:c>
      <x:c r="F306" s="99" t="n">
        <x:v>0.045</x:v>
      </x:c>
      <x:c r="G306" s="99" t="n">
        <x:v>25</x:v>
      </x:c>
      <x:c r="H306" s="99" t="n">
        <x:v>1</x:v>
      </x:c>
      <x:c r="I306" s="99" t="n">
        <x:v>0.1150000000000001</x:v>
      </x:c>
      <x:c r="J306" s="98" t="n">
        <x:v>4.009556772627965e-7</x:v>
      </x:c>
      <x:c r="K306" t="str">
        <x:v>nominal_vdd</x:v>
      </x:c>
      <x:c r="L306" t="str">
        <x:v>model_nominal_vdd</x:v>
      </x:c>
      <x:c r="M306" t="n">
        <x:v>1</x:v>
      </x:c>
      <x:c r="N306" t="str">
        <x:v>simulation</x:v>
      </x:c>
      <x:c r="O306" t="str">
        <x:v>ngspice</x:v>
      </x:c>
      <x:c r="P306" t="str">
        <x:v>c9ed2e513523c57a76912a35b2860cb85e4aaa3402b69757d84efa9cc2fb8410</x:v>
      </x:c>
      <x:c r="Q306" t="str">
        <x:v>data/raw/ptm45_hp_vds_1v_raw.txt</x:v>
      </x:c>
    </x:row>
    <x:row r="307">
      <x:c r="A307" t="str">
        <x:v>PTM</x:v>
      </x:c>
      <x:c r="B307" t="str">
        <x:v>NMOS</x:v>
      </x:c>
      <x:c r="C307" s="97" t="n">
        <x:v>45</x:v>
      </x:c>
      <x:c r="D307" s="97" t="str">
        <x:v>HP</x:v>
      </x:c>
      <x:c r="E307" s="99" t="n">
        <x:v>1</x:v>
      </x:c>
      <x:c r="F307" s="99" t="n">
        <x:v>0.045</x:v>
      </x:c>
      <x:c r="G307" s="99" t="n">
        <x:v>25</x:v>
      </x:c>
      <x:c r="H307" s="99" t="n">
        <x:v>1</x:v>
      </x:c>
      <x:c r="I307" s="99" t="n">
        <x:v>0.1200000000000001</x:v>
      </x:c>
      <x:c r="J307" s="98" t="n">
        <x:v>4.550262050904381e-7</x:v>
      </x:c>
      <x:c r="K307" t="str">
        <x:v>nominal_vdd</x:v>
      </x:c>
      <x:c r="L307" t="str">
        <x:v>model_nominal_vdd</x:v>
      </x:c>
      <x:c r="M307" t="n">
        <x:v>1</x:v>
      </x:c>
      <x:c r="N307" t="str">
        <x:v>simulation</x:v>
      </x:c>
      <x:c r="O307" t="str">
        <x:v>ngspice</x:v>
      </x:c>
      <x:c r="P307" t="str">
        <x:v>c9ed2e513523c57a76912a35b2860cb85e4aaa3402b69757d84efa9cc2fb8410</x:v>
      </x:c>
      <x:c r="Q307" t="str">
        <x:v>data/raw/ptm45_hp_vds_1v_raw.txt</x:v>
      </x:c>
    </x:row>
    <x:row r="308">
      <x:c r="A308" t="str">
        <x:v>PTM</x:v>
      </x:c>
      <x:c r="B308" t="str">
        <x:v>NMOS</x:v>
      </x:c>
      <x:c r="C308" s="97" t="n">
        <x:v>45</x:v>
      </x:c>
      <x:c r="D308" s="97" t="str">
        <x:v>HP</x:v>
      </x:c>
      <x:c r="E308" s="99" t="n">
        <x:v>1</x:v>
      </x:c>
      <x:c r="F308" s="99" t="n">
        <x:v>0.045</x:v>
      </x:c>
      <x:c r="G308" s="99" t="n">
        <x:v>25</x:v>
      </x:c>
      <x:c r="H308" s="99" t="n">
        <x:v>1</x:v>
      </x:c>
      <x:c r="I308" s="99" t="n">
        <x:v>0.1250000000000001</x:v>
      </x:c>
      <x:c r="J308" s="98" t="n">
        <x:v>5.161338802160976e-7</x:v>
      </x:c>
      <x:c r="K308" t="str">
        <x:v>nominal_vdd</x:v>
      </x:c>
      <x:c r="L308" t="str">
        <x:v>model_nominal_vdd</x:v>
      </x:c>
      <x:c r="M308" t="n">
        <x:v>1</x:v>
      </x:c>
      <x:c r="N308" t="str">
        <x:v>simulation</x:v>
      </x:c>
      <x:c r="O308" t="str">
        <x:v>ngspice</x:v>
      </x:c>
      <x:c r="P308" t="str">
        <x:v>c9ed2e513523c57a76912a35b2860cb85e4aaa3402b69757d84efa9cc2fb8410</x:v>
      </x:c>
      <x:c r="Q308" t="str">
        <x:v>data/raw/ptm45_hp_vds_1v_raw.txt</x:v>
      </x:c>
    </x:row>
    <x:row r="309">
      <x:c r="A309" t="str">
        <x:v>PTM</x:v>
      </x:c>
      <x:c r="B309" t="str">
        <x:v>NMOS</x:v>
      </x:c>
      <x:c r="C309" s="97" t="n">
        <x:v>45</x:v>
      </x:c>
      <x:c r="D309" s="97" t="str">
        <x:v>HP</x:v>
      </x:c>
      <x:c r="E309" s="99" t="n">
        <x:v>1</x:v>
      </x:c>
      <x:c r="F309" s="99" t="n">
        <x:v>0.045</x:v>
      </x:c>
      <x:c r="G309" s="99" t="n">
        <x:v>25</x:v>
      </x:c>
      <x:c r="H309" s="99" t="n">
        <x:v>1</x:v>
      </x:c>
      <x:c r="I309" s="99" t="n">
        <x:v>0.1300000000000001</x:v>
      </x:c>
      <x:c r="J309" s="98" t="n">
        <x:v>5.851454927207171e-7</x:v>
      </x:c>
      <x:c r="K309" t="str">
        <x:v>nominal_vdd</x:v>
      </x:c>
      <x:c r="L309" t="str">
        <x:v>model_nominal_vdd</x:v>
      </x:c>
      <x:c r="M309" t="n">
        <x:v>1</x:v>
      </x:c>
      <x:c r="N309" t="str">
        <x:v>simulation</x:v>
      </x:c>
      <x:c r="O309" t="str">
        <x:v>ngspice</x:v>
      </x:c>
      <x:c r="P309" t="str">
        <x:v>c9ed2e513523c57a76912a35b2860cb85e4aaa3402b69757d84efa9cc2fb8410</x:v>
      </x:c>
      <x:c r="Q309" t="str">
        <x:v>data/raw/ptm45_hp_vds_1v_raw.txt</x:v>
      </x:c>
    </x:row>
    <x:row r="310">
      <x:c r="A310" t="str">
        <x:v>PTM</x:v>
      </x:c>
      <x:c r="B310" t="str">
        <x:v>NMOS</x:v>
      </x:c>
      <x:c r="C310" s="97" t="n">
        <x:v>45</x:v>
      </x:c>
      <x:c r="D310" s="97" t="str">
        <x:v>HP</x:v>
      </x:c>
      <x:c r="E310" s="99" t="n">
        <x:v>1</x:v>
      </x:c>
      <x:c r="F310" s="99" t="n">
        <x:v>0.045</x:v>
      </x:c>
      <x:c r="G310" s="99" t="n">
        <x:v>25</x:v>
      </x:c>
      <x:c r="H310" s="99" t="n">
        <x:v>1</x:v>
      </x:c>
      <x:c r="I310" s="99" t="n">
        <x:v>0.1350000000000001</x:v>
      </x:c>
      <x:c r="J310" s="98" t="n">
        <x:v>6.630256884499344e-7</x:v>
      </x:c>
      <x:c r="K310" t="str">
        <x:v>nominal_vdd</x:v>
      </x:c>
      <x:c r="L310" t="str">
        <x:v>model_nominal_vdd</x:v>
      </x:c>
      <x:c r="M310" t="n">
        <x:v>1</x:v>
      </x:c>
      <x:c r="N310" t="str">
        <x:v>simulation</x:v>
      </x:c>
      <x:c r="O310" t="str">
        <x:v>ngspice</x:v>
      </x:c>
      <x:c r="P310" t="str">
        <x:v>c9ed2e513523c57a76912a35b2860cb85e4aaa3402b69757d84efa9cc2fb8410</x:v>
      </x:c>
      <x:c r="Q310" t="str">
        <x:v>data/raw/ptm45_hp_vds_1v_raw.txt</x:v>
      </x:c>
    </x:row>
    <x:row r="311">
      <x:c r="A311" t="str">
        <x:v>PTM</x:v>
      </x:c>
      <x:c r="B311" t="str">
        <x:v>NMOS</x:v>
      </x:c>
      <x:c r="C311" s="97" t="n">
        <x:v>45</x:v>
      </x:c>
      <x:c r="D311" s="97" t="str">
        <x:v>HP</x:v>
      </x:c>
      <x:c r="E311" s="99" t="n">
        <x:v>1</x:v>
      </x:c>
      <x:c r="F311" s="99" t="n">
        <x:v>0.045</x:v>
      </x:c>
      <x:c r="G311" s="99" t="n">
        <x:v>25</x:v>
      </x:c>
      <x:c r="H311" s="99" t="n">
        <x:v>1</x:v>
      </x:c>
      <x:c r="I311" s="99" t="n">
        <x:v>0.1400000000000002</x:v>
      </x:c>
      <x:c r="J311" s="98" t="n">
        <x:v>7.508464979502032e-7</x:v>
      </x:c>
      <x:c r="K311" t="str">
        <x:v>nominal_vdd</x:v>
      </x:c>
      <x:c r="L311" t="str">
        <x:v>model_nominal_vdd</x:v>
      </x:c>
      <x:c r="M311" t="n">
        <x:v>1</x:v>
      </x:c>
      <x:c r="N311" t="str">
        <x:v>simulation</x:v>
      </x:c>
      <x:c r="O311" t="str">
        <x:v>ngspice</x:v>
      </x:c>
      <x:c r="P311" t="str">
        <x:v>c9ed2e513523c57a76912a35b2860cb85e4aaa3402b69757d84efa9cc2fb8410</x:v>
      </x:c>
      <x:c r="Q311" t="str">
        <x:v>data/raw/ptm45_hp_vds_1v_raw.txt</x:v>
      </x:c>
    </x:row>
    <x:row r="312">
      <x:c r="A312" t="str">
        <x:v>PTM</x:v>
      </x:c>
      <x:c r="B312" t="str">
        <x:v>NMOS</x:v>
      </x:c>
      <x:c r="C312" s="97" t="n">
        <x:v>45</x:v>
      </x:c>
      <x:c r="D312" s="97" t="str">
        <x:v>HP</x:v>
      </x:c>
      <x:c r="E312" s="99" t="n">
        <x:v>1</x:v>
      </x:c>
      <x:c r="F312" s="99" t="n">
        <x:v>0.045</x:v>
      </x:c>
      <x:c r="G312" s="99" t="n">
        <x:v>25</x:v>
      </x:c>
      <x:c r="H312" s="99" t="n">
        <x:v>1</x:v>
      </x:c>
      <x:c r="I312" s="99" t="n">
        <x:v>0.1450000000000002</x:v>
      </x:c>
      <x:c r="J312" s="98" t="n">
        <x:v>8.497975546936707e-7</x:v>
      </x:c>
      <x:c r="K312" t="str">
        <x:v>nominal_vdd</x:v>
      </x:c>
      <x:c r="L312" t="str">
        <x:v>model_nominal_vdd</x:v>
      </x:c>
      <x:c r="M312" t="n">
        <x:v>1</x:v>
      </x:c>
      <x:c r="N312" t="str">
        <x:v>simulation</x:v>
      </x:c>
      <x:c r="O312" t="str">
        <x:v>ngspice</x:v>
      </x:c>
      <x:c r="P312" t="str">
        <x:v>c9ed2e513523c57a76912a35b2860cb85e4aaa3402b69757d84efa9cc2fb8410</x:v>
      </x:c>
      <x:c r="Q312" t="str">
        <x:v>data/raw/ptm45_hp_vds_1v_raw.txt</x:v>
      </x:c>
    </x:row>
    <x:row r="313">
      <x:c r="A313" t="str">
        <x:v>PTM</x:v>
      </x:c>
      <x:c r="B313" t="str">
        <x:v>NMOS</x:v>
      </x:c>
      <x:c r="C313" s="97" t="n">
        <x:v>45</x:v>
      </x:c>
      <x:c r="D313" s="97" t="str">
        <x:v>HP</x:v>
      </x:c>
      <x:c r="E313" s="99" t="n">
        <x:v>1</x:v>
      </x:c>
      <x:c r="F313" s="99" t="n">
        <x:v>0.045</x:v>
      </x:c>
      <x:c r="G313" s="99" t="n">
        <x:v>25</x:v>
      </x:c>
      <x:c r="H313" s="99" t="n">
        <x:v>1</x:v>
      </x:c>
      <x:c r="I313" s="99" t="n">
        <x:v>0.1500000000000002</x:v>
      </x:c>
      <x:c r="J313" s="98" t="n">
        <x:v>9.611970177636994e-7</x:v>
      </x:c>
      <x:c r="K313" t="str">
        <x:v>nominal_vdd</x:v>
      </x:c>
      <x:c r="L313" t="str">
        <x:v>model_nominal_vdd</x:v>
      </x:c>
      <x:c r="M313" t="n">
        <x:v>1</x:v>
      </x:c>
      <x:c r="N313" t="str">
        <x:v>simulation</x:v>
      </x:c>
      <x:c r="O313" t="str">
        <x:v>ngspice</x:v>
      </x:c>
      <x:c r="P313" t="str">
        <x:v>c9ed2e513523c57a76912a35b2860cb85e4aaa3402b69757d84efa9cc2fb8410</x:v>
      </x:c>
      <x:c r="Q313" t="str">
        <x:v>data/raw/ptm45_hp_vds_1v_raw.txt</x:v>
      </x:c>
    </x:row>
    <x:row r="314">
      <x:c r="A314" t="str">
        <x:v>PTM</x:v>
      </x:c>
      <x:c r="B314" t="str">
        <x:v>NMOS</x:v>
      </x:c>
      <x:c r="C314" s="97" t="n">
        <x:v>45</x:v>
      </x:c>
      <x:c r="D314" s="97" t="str">
        <x:v>HP</x:v>
      </x:c>
      <x:c r="E314" s="99" t="n">
        <x:v>1</x:v>
      </x:c>
      <x:c r="F314" s="99" t="n">
        <x:v>0.045</x:v>
      </x:c>
      <x:c r="G314" s="99" t="n">
        <x:v>25</x:v>
      </x:c>
      <x:c r="H314" s="99" t="n">
        <x:v>1</x:v>
      </x:c>
      <x:c r="I314" s="99" t="n">
        <x:v>0.1550000000000002</x:v>
      </x:c>
      <x:c r="J314" s="98" t="n">
        <x:v>0.000001086503209050449</x:v>
      </x:c>
      <x:c r="K314" t="str">
        <x:v>nominal_vdd</x:v>
      </x:c>
      <x:c r="L314" t="str">
        <x:v>model_nominal_vdd</x:v>
      </x:c>
      <x:c r="M314" t="n">
        <x:v>1</x:v>
      </x:c>
      <x:c r="N314" t="str">
        <x:v>simulation</x:v>
      </x:c>
      <x:c r="O314" t="str">
        <x:v>ngspice</x:v>
      </x:c>
      <x:c r="P314" t="str">
        <x:v>c9ed2e513523c57a76912a35b2860cb85e4aaa3402b69757d84efa9cc2fb8410</x:v>
      </x:c>
      <x:c r="Q314" t="str">
        <x:v>data/raw/ptm45_hp_vds_1v_raw.txt</x:v>
      </x:c>
    </x:row>
    <x:row r="315">
      <x:c r="A315" t="str">
        <x:v>PTM</x:v>
      </x:c>
      <x:c r="B315" t="str">
        <x:v>NMOS</x:v>
      </x:c>
      <x:c r="C315" s="97" t="n">
        <x:v>45</x:v>
      </x:c>
      <x:c r="D315" s="97" t="str">
        <x:v>HP</x:v>
      </x:c>
      <x:c r="E315" s="99" t="n">
        <x:v>1</x:v>
      </x:c>
      <x:c r="F315" s="99" t="n">
        <x:v>0.045</x:v>
      </x:c>
      <x:c r="G315" s="99" t="n">
        <x:v>25</x:v>
      </x:c>
      <x:c r="H315" s="99" t="n">
        <x:v>1</x:v>
      </x:c>
      <x:c r="I315" s="99" t="n">
        <x:v>0.1600000000000002</x:v>
      </x:c>
      <x:c r="J315" s="98" t="n">
        <x:v>0.000001227326968797892</x:v>
      </x:c>
      <x:c r="K315" t="str">
        <x:v>nominal_vdd</x:v>
      </x:c>
      <x:c r="L315" t="str">
        <x:v>model_nominal_vdd</x:v>
      </x:c>
      <x:c r="M315" t="n">
        <x:v>1</x:v>
      </x:c>
      <x:c r="N315" t="str">
        <x:v>simulation</x:v>
      </x:c>
      <x:c r="O315" t="str">
        <x:v>ngspice</x:v>
      </x:c>
      <x:c r="P315" t="str">
        <x:v>c9ed2e513523c57a76912a35b2860cb85e4aaa3402b69757d84efa9cc2fb8410</x:v>
      </x:c>
      <x:c r="Q315" t="str">
        <x:v>data/raw/ptm45_hp_vds_1v_raw.txt</x:v>
      </x:c>
    </x:row>
    <x:row r="316">
      <x:c r="A316" t="str">
        <x:v>PTM</x:v>
      </x:c>
      <x:c r="B316" t="str">
        <x:v>NMOS</x:v>
      </x:c>
      <x:c r="C316" s="97" t="n">
        <x:v>45</x:v>
      </x:c>
      <x:c r="D316" s="97" t="str">
        <x:v>HP</x:v>
      </x:c>
      <x:c r="E316" s="99" t="n">
        <x:v>1</x:v>
      </x:c>
      <x:c r="F316" s="99" t="n">
        <x:v>0.045</x:v>
      </x:c>
      <x:c r="G316" s="99" t="n">
        <x:v>25</x:v>
      </x:c>
      <x:c r="H316" s="99" t="n">
        <x:v>1</x:v>
      </x:c>
      <x:c r="I316" s="99" t="n">
        <x:v>0.1650000000000002</x:v>
      </x:c>
      <x:c r="J316" s="98" t="n">
        <x:v>0.000001385444725812803</x:v>
      </x:c>
      <x:c r="K316" t="str">
        <x:v>nominal_vdd</x:v>
      </x:c>
      <x:c r="L316" t="str">
        <x:v>model_nominal_vdd</x:v>
      </x:c>
      <x:c r="M316" t="n">
        <x:v>1</x:v>
      </x:c>
      <x:c r="N316" t="str">
        <x:v>simulation</x:v>
      </x:c>
      <x:c r="O316" t="str">
        <x:v>ngspice</x:v>
      </x:c>
      <x:c r="P316" t="str">
        <x:v>c9ed2e513523c57a76912a35b2860cb85e4aaa3402b69757d84efa9cc2fb8410</x:v>
      </x:c>
      <x:c r="Q316" t="str">
        <x:v>data/raw/ptm45_hp_vds_1v_raw.txt</x:v>
      </x:c>
    </x:row>
    <x:row r="317">
      <x:c r="A317" t="str">
        <x:v>PTM</x:v>
      </x:c>
      <x:c r="B317" t="str">
        <x:v>NMOS</x:v>
      </x:c>
      <x:c r="C317" s="97" t="n">
        <x:v>45</x:v>
      </x:c>
      <x:c r="D317" s="97" t="str">
        <x:v>HP</x:v>
      </x:c>
      <x:c r="E317" s="99" t="n">
        <x:v>1</x:v>
      </x:c>
      <x:c r="F317" s="99" t="n">
        <x:v>0.045</x:v>
      </x:c>
      <x:c r="G317" s="99" t="n">
        <x:v>25</x:v>
      </x:c>
      <x:c r="H317" s="99" t="n">
        <x:v>1</x:v>
      </x:c>
      <x:c r="I317" s="99" t="n">
        <x:v>0.1700000000000002</x:v>
      </x:c>
      <x:c r="J317" s="98" t="n">
        <x:v>0.000001562812269466721</x:v>
      </x:c>
      <x:c r="K317" t="str">
        <x:v>nominal_vdd</x:v>
      </x:c>
      <x:c r="L317" t="str">
        <x:v>model_nominal_vdd</x:v>
      </x:c>
      <x:c r="M317" t="n">
        <x:v>1</x:v>
      </x:c>
      <x:c r="N317" t="str">
        <x:v>simulation</x:v>
      </x:c>
      <x:c r="O317" t="str">
        <x:v>ngspice</x:v>
      </x:c>
      <x:c r="P317" t="str">
        <x:v>c9ed2e513523c57a76912a35b2860cb85e4aaa3402b69757d84efa9cc2fb8410</x:v>
      </x:c>
      <x:c r="Q317" t="str">
        <x:v>data/raw/ptm45_hp_vds_1v_raw.txt</x:v>
      </x:c>
    </x:row>
    <x:row r="318">
      <x:c r="A318" t="str">
        <x:v>PTM</x:v>
      </x:c>
      <x:c r="B318" t="str">
        <x:v>NMOS</x:v>
      </x:c>
      <x:c r="C318" s="97" t="n">
        <x:v>45</x:v>
      </x:c>
      <x:c r="D318" s="97" t="str">
        <x:v>HP</x:v>
      </x:c>
      <x:c r="E318" s="99" t="n">
        <x:v>1</x:v>
      </x:c>
      <x:c r="F318" s="99" t="n">
        <x:v>0.045</x:v>
      </x:c>
      <x:c r="G318" s="99" t="n">
        <x:v>25</x:v>
      </x:c>
      <x:c r="H318" s="99" t="n">
        <x:v>1</x:v>
      </x:c>
      <x:c r="I318" s="99" t="n">
        <x:v>0.1750000000000002</x:v>
      </x:c>
      <x:c r="J318" s="98" t="n">
        <x:v>0.000001761579199377998</x:v>
      </x:c>
      <x:c r="K318" t="str">
        <x:v>nominal_vdd</x:v>
      </x:c>
      <x:c r="L318" t="str">
        <x:v>model_nominal_vdd</x:v>
      </x:c>
      <x:c r="M318" t="n">
        <x:v>1</x:v>
      </x:c>
      <x:c r="N318" t="str">
        <x:v>simulation</x:v>
      </x:c>
      <x:c r="O318" t="str">
        <x:v>ngspice</x:v>
      </x:c>
      <x:c r="P318" t="str">
        <x:v>c9ed2e513523c57a76912a35b2860cb85e4aaa3402b69757d84efa9cc2fb8410</x:v>
      </x:c>
      <x:c r="Q318" t="str">
        <x:v>data/raw/ptm45_hp_vds_1v_raw.txt</x:v>
      </x:c>
    </x:row>
    <x:row r="319">
      <x:c r="A319" t="str">
        <x:v>PTM</x:v>
      </x:c>
      <x:c r="B319" t="str">
        <x:v>NMOS</x:v>
      </x:c>
      <x:c r="C319" s="97" t="n">
        <x:v>45</x:v>
      </x:c>
      <x:c r="D319" s="97" t="str">
        <x:v>HP</x:v>
      </x:c>
      <x:c r="E319" s="99" t="n">
        <x:v>1</x:v>
      </x:c>
      <x:c r="F319" s="99" t="n">
        <x:v>0.045</x:v>
      </x:c>
      <x:c r="G319" s="99" t="n">
        <x:v>25</x:v>
      </x:c>
      <x:c r="H319" s="99" t="n">
        <x:v>1</x:v>
      </x:c>
      <x:c r="I319" s="99" t="n">
        <x:v>0.1800000000000002</x:v>
      </x:c>
      <x:c r="J319" s="98" t="n">
        <x:v>0.000001984104014801174</x:v>
      </x:c>
      <x:c r="K319" t="str">
        <x:v>nominal_vdd</x:v>
      </x:c>
      <x:c r="L319" t="str">
        <x:v>model_nominal_vdd</x:v>
      </x:c>
      <x:c r="M319" t="n">
        <x:v>1</x:v>
      </x:c>
      <x:c r="N319" t="str">
        <x:v>simulation</x:v>
      </x:c>
      <x:c r="O319" t="str">
        <x:v>ngspice</x:v>
      </x:c>
      <x:c r="P319" t="str">
        <x:v>c9ed2e513523c57a76912a35b2860cb85e4aaa3402b69757d84efa9cc2fb8410</x:v>
      </x:c>
      <x:c r="Q319" t="str">
        <x:v>data/raw/ptm45_hp_vds_1v_raw.txt</x:v>
      </x:c>
    </x:row>
    <x:row r="320">
      <x:c r="A320" t="str">
        <x:v>PTM</x:v>
      </x:c>
      <x:c r="B320" t="str">
        <x:v>NMOS</x:v>
      </x:c>
      <x:c r="C320" s="97" t="n">
        <x:v>45</x:v>
      </x:c>
      <x:c r="D320" s="97" t="str">
        <x:v>HP</x:v>
      </x:c>
      <x:c r="E320" s="99" t="n">
        <x:v>1</x:v>
      </x:c>
      <x:c r="F320" s="99" t="n">
        <x:v>0.045</x:v>
      </x:c>
      <x:c r="G320" s="99" t="n">
        <x:v>25</x:v>
      </x:c>
      <x:c r="H320" s="99" t="n">
        <x:v>1</x:v>
      </x:c>
      <x:c r="I320" s="99" t="n">
        <x:v>0.1850000000000002</x:v>
      </x:c>
      <x:c r="J320" s="98" t="n">
        <x:v>0.000002232969788608805</x:v>
      </x:c>
      <x:c r="K320" t="str">
        <x:v>nominal_vdd</x:v>
      </x:c>
      <x:c r="L320" t="str">
        <x:v>model_nominal_vdd</x:v>
      </x:c>
      <x:c r="M320" t="n">
        <x:v>1</x:v>
      </x:c>
      <x:c r="N320" t="str">
        <x:v>simulation</x:v>
      </x:c>
      <x:c r="O320" t="str">
        <x:v>ngspice</x:v>
      </x:c>
      <x:c r="P320" t="str">
        <x:v>c9ed2e513523c57a76912a35b2860cb85e4aaa3402b69757d84efa9cc2fb8410</x:v>
      </x:c>
      <x:c r="Q320" t="str">
        <x:v>data/raw/ptm45_hp_vds_1v_raw.txt</x:v>
      </x:c>
    </x:row>
    <x:row r="321">
      <x:c r="A321" t="str">
        <x:v>PTM</x:v>
      </x:c>
      <x:c r="B321" t="str">
        <x:v>NMOS</x:v>
      </x:c>
      <x:c r="C321" s="97" t="n">
        <x:v>45</x:v>
      </x:c>
      <x:c r="D321" s="97" t="str">
        <x:v>HP</x:v>
      </x:c>
      <x:c r="E321" s="99" t="n">
        <x:v>1</x:v>
      </x:c>
      <x:c r="F321" s="99" t="n">
        <x:v>0.045</x:v>
      </x:c>
      <x:c r="G321" s="99" t="n">
        <x:v>25</x:v>
      </x:c>
      <x:c r="H321" s="99" t="n">
        <x:v>1</x:v>
      </x:c>
      <x:c r="I321" s="99" t="n">
        <x:v>0.1900000000000002</x:v>
      </x:c>
      <x:c r="J321" s="98" t="n">
        <x:v>0.000002511000349515585</x:v>
      </x:c>
      <x:c r="K321" t="str">
        <x:v>nominal_vdd</x:v>
      </x:c>
      <x:c r="L321" t="str">
        <x:v>model_nominal_vdd</x:v>
      </x:c>
      <x:c r="M321" t="n">
        <x:v>1</x:v>
      </x:c>
      <x:c r="N321" t="str">
        <x:v>simulation</x:v>
      </x:c>
      <x:c r="O321" t="str">
        <x:v>ngspice</x:v>
      </x:c>
      <x:c r="P321" t="str">
        <x:v>c9ed2e513523c57a76912a35b2860cb85e4aaa3402b69757d84efa9cc2fb8410</x:v>
      </x:c>
      <x:c r="Q321" t="str">
        <x:v>data/raw/ptm45_hp_vds_1v_raw.txt</x:v>
      </x:c>
    </x:row>
    <x:row r="322">
      <x:c r="A322" t="str">
        <x:v>PTM</x:v>
      </x:c>
      <x:c r="B322" t="str">
        <x:v>NMOS</x:v>
      </x:c>
      <x:c r="C322" s="97" t="n">
        <x:v>45</x:v>
      </x:c>
      <x:c r="D322" s="97" t="str">
        <x:v>HP</x:v>
      </x:c>
      <x:c r="E322" s="99" t="n">
        <x:v>1</x:v>
      </x:c>
      <x:c r="F322" s="99" t="n">
        <x:v>0.045</x:v>
      </x:c>
      <x:c r="G322" s="99" t="n">
        <x:v>25</x:v>
      </x:c>
      <x:c r="H322" s="99" t="n">
        <x:v>1</x:v>
      </x:c>
      <x:c r="I322" s="99" t="n">
        <x:v>0.1950000000000002</x:v>
      </x:c>
      <x:c r="J322" s="98" t="n">
        <x:v>0.000002821276869952502</x:v>
      </x:c>
      <x:c r="K322" t="str">
        <x:v>nominal_vdd</x:v>
      </x:c>
      <x:c r="L322" t="str">
        <x:v>model_nominal_vdd</x:v>
      </x:c>
      <x:c r="M322" t="n">
        <x:v>1</x:v>
      </x:c>
      <x:c r="N322" t="str">
        <x:v>simulation</x:v>
      </x:c>
      <x:c r="O322" t="str">
        <x:v>ngspice</x:v>
      </x:c>
      <x:c r="P322" t="str">
        <x:v>c9ed2e513523c57a76912a35b2860cb85e4aaa3402b69757d84efa9cc2fb8410</x:v>
      </x:c>
      <x:c r="Q322" t="str">
        <x:v>data/raw/ptm45_hp_vds_1v_raw.txt</x:v>
      </x:c>
    </x:row>
    <x:row r="323">
      <x:c r="A323" t="str">
        <x:v>PTM</x:v>
      </x:c>
      <x:c r="B323" t="str">
        <x:v>NMOS</x:v>
      </x:c>
      <x:c r="C323" s="97" t="n">
        <x:v>45</x:v>
      </x:c>
      <x:c r="D323" s="97" t="str">
        <x:v>HP</x:v>
      </x:c>
      <x:c r="E323" s="99" t="n">
        <x:v>1</x:v>
      </x:c>
      <x:c r="F323" s="99" t="n">
        <x:v>0.045</x:v>
      </x:c>
      <x:c r="G323" s="99" t="n">
        <x:v>25</x:v>
      </x:c>
      <x:c r="H323" s="99" t="n">
        <x:v>1</x:v>
      </x:c>
      <x:c r="I323" s="99" t="n">
        <x:v>0.2000000000000002</x:v>
      </x:c>
      <x:c r="J323" s="98" t="n">
        <x:v>0.000003167154724744083</x:v>
      </x:c>
      <x:c r="K323" t="str">
        <x:v>nominal_vdd</x:v>
      </x:c>
      <x:c r="L323" t="str">
        <x:v>model_nominal_vdd</x:v>
      </x:c>
      <x:c r="M323" t="n">
        <x:v>1</x:v>
      </x:c>
      <x:c r="N323" t="str">
        <x:v>simulation</x:v>
      </x:c>
      <x:c r="O323" t="str">
        <x:v>ngspice</x:v>
      </x:c>
      <x:c r="P323" t="str">
        <x:v>c9ed2e513523c57a76912a35b2860cb85e4aaa3402b69757d84efa9cc2fb8410</x:v>
      </x:c>
      <x:c r="Q323" t="str">
        <x:v>data/raw/ptm45_hp_vds_1v_raw.txt</x:v>
      </x:c>
    </x:row>
    <x:row r="324">
      <x:c r="A324" t="str">
        <x:v>PTM</x:v>
      </x:c>
      <x:c r="B324" t="str">
        <x:v>NMOS</x:v>
      </x:c>
      <x:c r="C324" s="97" t="n">
        <x:v>45</x:v>
      </x:c>
      <x:c r="D324" s="97" t="str">
        <x:v>HP</x:v>
      </x:c>
      <x:c r="E324" s="99" t="n">
        <x:v>1</x:v>
      </x:c>
      <x:c r="F324" s="99" t="n">
        <x:v>0.045</x:v>
      </x:c>
      <x:c r="G324" s="99" t="n">
        <x:v>25</x:v>
      </x:c>
      <x:c r="H324" s="99" t="n">
        <x:v>1</x:v>
      </x:c>
      <x:c r="I324" s="99" t="n">
        <x:v>0.2050000000000002</x:v>
      </x:c>
      <x:c r="J324" s="98" t="n">
        <x:v>0.000003552280446487783</x:v>
      </x:c>
      <x:c r="K324" t="str">
        <x:v>nominal_vdd</x:v>
      </x:c>
      <x:c r="L324" t="str">
        <x:v>model_nominal_vdd</x:v>
      </x:c>
      <x:c r="M324" t="n">
        <x:v>1</x:v>
      </x:c>
      <x:c r="N324" t="str">
        <x:v>simulation</x:v>
      </x:c>
      <x:c r="O324" t="str">
        <x:v>ngspice</x:v>
      </x:c>
      <x:c r="P324" t="str">
        <x:v>c9ed2e513523c57a76912a35b2860cb85e4aaa3402b69757d84efa9cc2fb8410</x:v>
      </x:c>
      <x:c r="Q324" t="str">
        <x:v>data/raw/ptm45_hp_vds_1v_raw.txt</x:v>
      </x:c>
    </x:row>
    <x:row r="325">
      <x:c r="A325" t="str">
        <x:v>PTM</x:v>
      </x:c>
      <x:c r="B325" t="str">
        <x:v>NMOS</x:v>
      </x:c>
      <x:c r="C325" s="97" t="n">
        <x:v>45</x:v>
      </x:c>
      <x:c r="D325" s="97" t="str">
        <x:v>HP</x:v>
      </x:c>
      <x:c r="E325" s="99" t="n">
        <x:v>1</x:v>
      </x:c>
      <x:c r="F325" s="99" t="n">
        <x:v>0.045</x:v>
      </x:c>
      <x:c r="G325" s="99" t="n">
        <x:v>25</x:v>
      </x:c>
      <x:c r="H325" s="99" t="n">
        <x:v>1</x:v>
      </x:c>
      <x:c r="I325" s="99" t="n">
        <x:v>0.2100000000000002</x:v>
      </x:c>
      <x:c r="J325" s="98" t="n">
        <x:v>0.000003980608556354552</x:v>
      </x:c>
      <x:c r="K325" t="str">
        <x:v>nominal_vdd</x:v>
      </x:c>
      <x:c r="L325" t="str">
        <x:v>model_nominal_vdd</x:v>
      </x:c>
      <x:c r="M325" t="n">
        <x:v>1</x:v>
      </x:c>
      <x:c r="N325" t="str">
        <x:v>simulation</x:v>
      </x:c>
      <x:c r="O325" t="str">
        <x:v>ngspice</x:v>
      </x:c>
      <x:c r="P325" t="str">
        <x:v>c9ed2e513523c57a76912a35b2860cb85e4aaa3402b69757d84efa9cc2fb8410</x:v>
      </x:c>
      <x:c r="Q325" t="str">
        <x:v>data/raw/ptm45_hp_vds_1v_raw.txt</x:v>
      </x:c>
    </x:row>
    <x:row r="326">
      <x:c r="A326" t="str">
        <x:v>PTM</x:v>
      </x:c>
      <x:c r="B326" t="str">
        <x:v>NMOS</x:v>
      </x:c>
      <x:c r="C326" s="97" t="n">
        <x:v>45</x:v>
      </x:c>
      <x:c r="D326" s="97" t="str">
        <x:v>HP</x:v>
      </x:c>
      <x:c r="E326" s="99" t="n">
        <x:v>1</x:v>
      </x:c>
      <x:c r="F326" s="99" t="n">
        <x:v>0.045</x:v>
      </x:c>
      <x:c r="G326" s="99" t="n">
        <x:v>25</x:v>
      </x:c>
      <x:c r="H326" s="99" t="n">
        <x:v>1</x:v>
      </x:c>
      <x:c r="I326" s="99" t="n">
        <x:v>0.2150000000000002</x:v>
      </x:c>
      <x:c r="J326" s="98" t="n">
        <x:v>0.000004456417993286887</x:v>
      </x:c>
      <x:c r="K326" t="str">
        <x:v>nominal_vdd</x:v>
      </x:c>
      <x:c r="L326" t="str">
        <x:v>model_nominal_vdd</x:v>
      </x:c>
      <x:c r="M326" t="n">
        <x:v>1</x:v>
      </x:c>
      <x:c r="N326" t="str">
        <x:v>simulation</x:v>
      </x:c>
      <x:c r="O326" t="str">
        <x:v>ngspice</x:v>
      </x:c>
      <x:c r="P326" t="str">
        <x:v>c9ed2e513523c57a76912a35b2860cb85e4aaa3402b69757d84efa9cc2fb8410</x:v>
      </x:c>
      <x:c r="Q326" t="str">
        <x:v>data/raw/ptm45_hp_vds_1v_raw.txt</x:v>
      </x:c>
    </x:row>
    <x:row r="327">
      <x:c r="A327" t="str">
        <x:v>PTM</x:v>
      </x:c>
      <x:c r="B327" t="str">
        <x:v>NMOS</x:v>
      </x:c>
      <x:c r="C327" s="97" t="n">
        <x:v>45</x:v>
      </x:c>
      <x:c r="D327" s="97" t="str">
        <x:v>HP</x:v>
      </x:c>
      <x:c r="E327" s="99" t="n">
        <x:v>1</x:v>
      </x:c>
      <x:c r="F327" s="99" t="n">
        <x:v>0.045</x:v>
      </x:c>
      <x:c r="G327" s="99" t="n">
        <x:v>25</x:v>
      </x:c>
      <x:c r="H327" s="99" t="n">
        <x:v>1</x:v>
      </x:c>
      <x:c r="I327" s="99" t="n">
        <x:v>0.2200000000000002</x:v>
      </x:c>
      <x:c r="J327" s="98" t="n">
        <x:v>0.000004984327800015662</x:v>
      </x:c>
      <x:c r="K327" t="str">
        <x:v>nominal_vdd</x:v>
      </x:c>
      <x:c r="L327" t="str">
        <x:v>model_nominal_vdd</x:v>
      </x:c>
      <x:c r="M327" t="n">
        <x:v>1</x:v>
      </x:c>
      <x:c r="N327" t="str">
        <x:v>simulation</x:v>
      </x:c>
      <x:c r="O327" t="str">
        <x:v>ngspice</x:v>
      </x:c>
      <x:c r="P327" t="str">
        <x:v>c9ed2e513523c57a76912a35b2860cb85e4aaa3402b69757d84efa9cc2fb8410</x:v>
      </x:c>
      <x:c r="Q327" t="str">
        <x:v>data/raw/ptm45_hp_vds_1v_raw.txt</x:v>
      </x:c>
    </x:row>
    <x:row r="328">
      <x:c r="A328" t="str">
        <x:v>PTM</x:v>
      </x:c>
      <x:c r="B328" t="str">
        <x:v>NMOS</x:v>
      </x:c>
      <x:c r="C328" s="97" t="n">
        <x:v>45</x:v>
      </x:c>
      <x:c r="D328" s="97" t="str">
        <x:v>HP</x:v>
      </x:c>
      <x:c r="E328" s="99" t="n">
        <x:v>1</x:v>
      </x:c>
      <x:c r="F328" s="99" t="n">
        <x:v>0.045</x:v>
      </x:c>
      <x:c r="G328" s="99" t="n">
        <x:v>25</x:v>
      </x:c>
      <x:c r="H328" s="99" t="n">
        <x:v>1</x:v>
      </x:c>
      <x:c r="I328" s="99" t="n">
        <x:v>0.2250000000000002</x:v>
      </x:c>
      <x:c r="J328" s="98" t="n">
        <x:v>0.000005569311651379144</x:v>
      </x:c>
      <x:c r="K328" t="str">
        <x:v>nominal_vdd</x:v>
      </x:c>
      <x:c r="L328" t="str">
        <x:v>model_nominal_vdd</x:v>
      </x:c>
      <x:c r="M328" t="n">
        <x:v>1</x:v>
      </x:c>
      <x:c r="N328" t="str">
        <x:v>simulation</x:v>
      </x:c>
      <x:c r="O328" t="str">
        <x:v>ngspice</x:v>
      </x:c>
      <x:c r="P328" t="str">
        <x:v>c9ed2e513523c57a76912a35b2860cb85e4aaa3402b69757d84efa9cc2fb8410</x:v>
      </x:c>
      <x:c r="Q328" t="str">
        <x:v>data/raw/ptm45_hp_vds_1v_raw.txt</x:v>
      </x:c>
    </x:row>
    <x:row r="329">
      <x:c r="A329" t="str">
        <x:v>PTM</x:v>
      </x:c>
      <x:c r="B329" t="str">
        <x:v>NMOS</x:v>
      </x:c>
      <x:c r="C329" s="97" t="n">
        <x:v>45</x:v>
      </x:c>
      <x:c r="D329" s="97" t="str">
        <x:v>HP</x:v>
      </x:c>
      <x:c r="E329" s="99" t="n">
        <x:v>1</x:v>
      </x:c>
      <x:c r="F329" s="99" t="n">
        <x:v>0.045</x:v>
      </x:c>
      <x:c r="G329" s="99" t="n">
        <x:v>25</x:v>
      </x:c>
      <x:c r="H329" s="99" t="n">
        <x:v>1</x:v>
      </x:c>
      <x:c r="I329" s="99" t="n">
        <x:v>0.2300000000000002</x:v>
      </x:c>
      <x:c r="J329" s="98" t="n">
        <x:v>0.00000621671073040775</x:v>
      </x:c>
      <x:c r="K329" t="str">
        <x:v>nominal_vdd</x:v>
      </x:c>
      <x:c r="L329" t="str">
        <x:v>model_nominal_vdd</x:v>
      </x:c>
      <x:c r="M329" t="n">
        <x:v>1</x:v>
      </x:c>
      <x:c r="N329" t="str">
        <x:v>simulation</x:v>
      </x:c>
      <x:c r="O329" t="str">
        <x:v>ngspice</x:v>
      </x:c>
      <x:c r="P329" t="str">
        <x:v>c9ed2e513523c57a76912a35b2860cb85e4aaa3402b69757d84efa9cc2fb8410</x:v>
      </x:c>
      <x:c r="Q329" t="str">
        <x:v>data/raw/ptm45_hp_vds_1v_raw.txt</x:v>
      </x:c>
    </x:row>
    <x:row r="330">
      <x:c r="A330" t="str">
        <x:v>PTM</x:v>
      </x:c>
      <x:c r="B330" t="str">
        <x:v>NMOS</x:v>
      </x:c>
      <x:c r="C330" s="97" t="n">
        <x:v>45</x:v>
      </x:c>
      <x:c r="D330" s="97" t="str">
        <x:v>HP</x:v>
      </x:c>
      <x:c r="E330" s="99" t="n">
        <x:v>1</x:v>
      </x:c>
      <x:c r="F330" s="99" t="n">
        <x:v>0.045</x:v>
      </x:c>
      <x:c r="G330" s="99" t="n">
        <x:v>25</x:v>
      </x:c>
      <x:c r="H330" s="99" t="n">
        <x:v>1</x:v>
      </x:c>
      <x:c r="I330" s="99" t="n">
        <x:v>0.2350000000000002</x:v>
      </x:c>
      <x:c r="J330" s="98" t="n">
        <x:v>0.000006932244372969345</x:v>
      </x:c>
      <x:c r="K330" t="str">
        <x:v>nominal_vdd</x:v>
      </x:c>
      <x:c r="L330" t="str">
        <x:v>model_nominal_vdd</x:v>
      </x:c>
      <x:c r="M330" t="n">
        <x:v>1</x:v>
      </x:c>
      <x:c r="N330" t="str">
        <x:v>simulation</x:v>
      </x:c>
      <x:c r="O330" t="str">
        <x:v>ngspice</x:v>
      </x:c>
      <x:c r="P330" t="str">
        <x:v>c9ed2e513523c57a76912a35b2860cb85e4aaa3402b69757d84efa9cc2fb8410</x:v>
      </x:c>
      <x:c r="Q330" t="str">
        <x:v>data/raw/ptm45_hp_vds_1v_raw.txt</x:v>
      </x:c>
    </x:row>
    <x:row r="331">
      <x:c r="A331" t="str">
        <x:v>PTM</x:v>
      </x:c>
      <x:c r="B331" t="str">
        <x:v>NMOS</x:v>
      </x:c>
      <x:c r="C331" s="97" t="n">
        <x:v>45</x:v>
      </x:c>
      <x:c r="D331" s="97" t="str">
        <x:v>HP</x:v>
      </x:c>
      <x:c r="E331" s="99" t="n">
        <x:v>1</x:v>
      </x:c>
      <x:c r="F331" s="99" t="n">
        <x:v>0.045</x:v>
      </x:c>
      <x:c r="G331" s="99" t="n">
        <x:v>25</x:v>
      </x:c>
      <x:c r="H331" s="99" t="n">
        <x:v>1</x:v>
      </x:c>
      <x:c r="I331" s="99" t="n">
        <x:v>0.2400000000000002</x:v>
      </x:c>
      <x:c r="J331" s="98" t="n">
        <x:v>0.000007722017816222098</x:v>
      </x:c>
      <x:c r="K331" t="str">
        <x:v>nominal_vdd</x:v>
      </x:c>
      <x:c r="L331" t="str">
        <x:v>model_nominal_vdd</x:v>
      </x:c>
      <x:c r="M331" t="n">
        <x:v>1</x:v>
      </x:c>
      <x:c r="N331" t="str">
        <x:v>simulation</x:v>
      </x:c>
      <x:c r="O331" t="str">
        <x:v>ngspice</x:v>
      </x:c>
      <x:c r="P331" t="str">
        <x:v>c9ed2e513523c57a76912a35b2860cb85e4aaa3402b69757d84efa9cc2fb8410</x:v>
      </x:c>
      <x:c r="Q331" t="str">
        <x:v>data/raw/ptm45_hp_vds_1v_raw.txt</x:v>
      </x:c>
    </x:row>
    <x:row r="332">
      <x:c r="A332" t="str">
        <x:v>PTM</x:v>
      </x:c>
      <x:c r="B332" t="str">
        <x:v>NMOS</x:v>
      </x:c>
      <x:c r="C332" s="97" t="n">
        <x:v>45</x:v>
      </x:c>
      <x:c r="D332" s="97" t="str">
        <x:v>HP</x:v>
      </x:c>
      <x:c r="E332" s="99" t="n">
        <x:v>1</x:v>
      </x:c>
      <x:c r="F332" s="99" t="n">
        <x:v>0.045</x:v>
      </x:c>
      <x:c r="G332" s="99" t="n">
        <x:v>25</x:v>
      </x:c>
      <x:c r="H332" s="99" t="n">
        <x:v>1</x:v>
      </x:c>
      <x:c r="I332" s="99" t="n">
        <x:v>0.2450000000000002</x:v>
      </x:c>
      <x:c r="J332" s="98" t="n">
        <x:v>0.00000859252630490707</x:v>
      </x:c>
      <x:c r="K332" t="str">
        <x:v>nominal_vdd</x:v>
      </x:c>
      <x:c r="L332" t="str">
        <x:v>model_nominal_vdd</x:v>
      </x:c>
      <x:c r="M332" t="n">
        <x:v>1</x:v>
      </x:c>
      <x:c r="N332" t="str">
        <x:v>simulation</x:v>
      </x:c>
      <x:c r="O332" t="str">
        <x:v>ngspice</x:v>
      </x:c>
      <x:c r="P332" t="str">
        <x:v>c9ed2e513523c57a76912a35b2860cb85e4aaa3402b69757d84efa9cc2fb8410</x:v>
      </x:c>
      <x:c r="Q332" t="str">
        <x:v>data/raw/ptm45_hp_vds_1v_raw.txt</x:v>
      </x:c>
    </x:row>
    <x:row r="333">
      <x:c r="A333" t="str">
        <x:v>PTM</x:v>
      </x:c>
      <x:c r="B333" t="str">
        <x:v>NMOS</x:v>
      </x:c>
      <x:c r="C333" s="97" t="n">
        <x:v>45</x:v>
      </x:c>
      <x:c r="D333" s="97" t="str">
        <x:v>HP</x:v>
      </x:c>
      <x:c r="E333" s="99" t="n">
        <x:v>1</x:v>
      </x:c>
      <x:c r="F333" s="99" t="n">
        <x:v>0.045</x:v>
      </x:c>
      <x:c r="G333" s="99" t="n">
        <x:v>25</x:v>
      </x:c>
      <x:c r="H333" s="99" t="n">
        <x:v>1</x:v>
      </x:c>
      <x:c r="I333" s="99" t="n">
        <x:v>0.2500000000000002</x:v>
      </x:c>
      <x:c r="J333" s="98" t="n">
        <x:v>0.000009550654739339939</x:v>
      </x:c>
      <x:c r="K333" t="str">
        <x:v>nominal_vdd</x:v>
      </x:c>
      <x:c r="L333" t="str">
        <x:v>model_nominal_vdd</x:v>
      </x:c>
      <x:c r="M333" t="n">
        <x:v>1</x:v>
      </x:c>
      <x:c r="N333" t="str">
        <x:v>simulation</x:v>
      </x:c>
      <x:c r="O333" t="str">
        <x:v>ngspice</x:v>
      </x:c>
      <x:c r="P333" t="str">
        <x:v>c9ed2e513523c57a76912a35b2860cb85e4aaa3402b69757d84efa9cc2fb8410</x:v>
      </x:c>
      <x:c r="Q333" t="str">
        <x:v>data/raw/ptm45_hp_vds_1v_raw.txt</x:v>
      </x:c>
    </x:row>
    <x:row r="334">
      <x:c r="A334" t="str">
        <x:v>PTM</x:v>
      </x:c>
      <x:c r="B334" t="str">
        <x:v>NMOS</x:v>
      </x:c>
      <x:c r="C334" s="97" t="n">
        <x:v>45</x:v>
      </x:c>
      <x:c r="D334" s="97" t="str">
        <x:v>HP</x:v>
      </x:c>
      <x:c r="E334" s="99" t="n">
        <x:v>1</x:v>
      </x:c>
      <x:c r="F334" s="99" t="n">
        <x:v>0.045</x:v>
      </x:c>
      <x:c r="G334" s="99" t="n">
        <x:v>25</x:v>
      </x:c>
      <x:c r="H334" s="99" t="n">
        <x:v>1</x:v>
      </x:c>
      <x:c r="I334" s="99" t="n">
        <x:v>0.2550000000000002</x:v>
      </x:c>
      <x:c r="J334" s="98" t="n">
        <x:v>0.00001060367199785062</x:v>
      </x:c>
      <x:c r="K334" t="str">
        <x:v>nominal_vdd</x:v>
      </x:c>
      <x:c r="L334" t="str">
        <x:v>model_nominal_vdd</x:v>
      </x:c>
      <x:c r="M334" t="n">
        <x:v>1</x:v>
      </x:c>
      <x:c r="N334" t="str">
        <x:v>simulation</x:v>
      </x:c>
      <x:c r="O334" t="str">
        <x:v>ngspice</x:v>
      </x:c>
      <x:c r="P334" t="str">
        <x:v>c9ed2e513523c57a76912a35b2860cb85e4aaa3402b69757d84efa9cc2fb8410</x:v>
      </x:c>
      <x:c r="Q334" t="str">
        <x:v>data/raw/ptm45_hp_vds_1v_raw.txt</x:v>
      </x:c>
    </x:row>
    <x:row r="335">
      <x:c r="A335" t="str">
        <x:v>PTM</x:v>
      </x:c>
      <x:c r="B335" t="str">
        <x:v>NMOS</x:v>
      </x:c>
      <x:c r="C335" s="97" t="n">
        <x:v>45</x:v>
      </x:c>
      <x:c r="D335" s="97" t="str">
        <x:v>HP</x:v>
      </x:c>
      <x:c r="E335" s="99" t="n">
        <x:v>1</x:v>
      </x:c>
      <x:c r="F335" s="99" t="n">
        <x:v>0.045</x:v>
      </x:c>
      <x:c r="G335" s="99" t="n">
        <x:v>25</x:v>
      </x:c>
      <x:c r="H335" s="99" t="n">
        <x:v>1</x:v>
      </x:c>
      <x:c r="I335" s="99" t="n">
        <x:v>0.2600000000000002</x:v>
      </x:c>
      <x:c r="J335" s="98" t="n">
        <x:v>0.00001175921904331462</x:v>
      </x:c>
      <x:c r="K335" t="str">
        <x:v>nominal_vdd</x:v>
      </x:c>
      <x:c r="L335" t="str">
        <x:v>model_nominal_vdd</x:v>
      </x:c>
      <x:c r="M335" t="n">
        <x:v>1</x:v>
      </x:c>
      <x:c r="N335" t="str">
        <x:v>simulation</x:v>
      </x:c>
      <x:c r="O335" t="str">
        <x:v>ngspice</x:v>
      </x:c>
      <x:c r="P335" t="str">
        <x:v>c9ed2e513523c57a76912a35b2860cb85e4aaa3402b69757d84efa9cc2fb8410</x:v>
      </x:c>
      <x:c r="Q335" t="str">
        <x:v>data/raw/ptm45_hp_vds_1v_raw.txt</x:v>
      </x:c>
    </x:row>
    <x:row r="336">
      <x:c r="A336" t="str">
        <x:v>PTM</x:v>
      </x:c>
      <x:c r="B336" t="str">
        <x:v>NMOS</x:v>
      </x:c>
      <x:c r="C336" s="97" t="n">
        <x:v>45</x:v>
      </x:c>
      <x:c r="D336" s="97" t="str">
        <x:v>HP</x:v>
      </x:c>
      <x:c r="E336" s="99" t="n">
        <x:v>1</x:v>
      </x:c>
      <x:c r="F336" s="99" t="n">
        <x:v>0.045</x:v>
      </x:c>
      <x:c r="G336" s="99" t="n">
        <x:v>25</x:v>
      </x:c>
      <x:c r="H336" s="99" t="n">
        <x:v>1</x:v>
      </x:c>
      <x:c r="I336" s="99" t="n">
        <x:v>0.2650000000000002</x:v>
      </x:c>
      <x:c r="J336" s="98" t="n">
        <x:v>0.00001302528993774698</x:v>
      </x:c>
      <x:c r="K336" t="str">
        <x:v>nominal_vdd</x:v>
      </x:c>
      <x:c r="L336" t="str">
        <x:v>model_nominal_vdd</x:v>
      </x:c>
      <x:c r="M336" t="n">
        <x:v>1</x:v>
      </x:c>
      <x:c r="N336" t="str">
        <x:v>simulation</x:v>
      </x:c>
      <x:c r="O336" t="str">
        <x:v>ngspice</x:v>
      </x:c>
      <x:c r="P336" t="str">
        <x:v>c9ed2e513523c57a76912a35b2860cb85e4aaa3402b69757d84efa9cc2fb8410</x:v>
      </x:c>
      <x:c r="Q336" t="str">
        <x:v>data/raw/ptm45_hp_vds_1v_raw.txt</x:v>
      </x:c>
    </x:row>
    <x:row r="337">
      <x:c r="A337" t="str">
        <x:v>PTM</x:v>
      </x:c>
      <x:c r="B337" t="str">
        <x:v>NMOS</x:v>
      </x:c>
      <x:c r="C337" s="97" t="n">
        <x:v>45</x:v>
      </x:c>
      <x:c r="D337" s="97" t="str">
        <x:v>HP</x:v>
      </x:c>
      <x:c r="E337" s="99" t="n">
        <x:v>1</x:v>
      </x:c>
      <x:c r="F337" s="99" t="n">
        <x:v>0.045</x:v>
      </x:c>
      <x:c r="G337" s="99" t="n">
        <x:v>25</x:v>
      </x:c>
      <x:c r="H337" s="99" t="n">
        <x:v>1</x:v>
      </x:c>
      <x:c r="I337" s="99" t="n">
        <x:v>0.2700000000000002</x:v>
      </x:c>
      <x:c r="J337" s="98" t="n">
        <x:v>0.00001441020494954635</x:v>
      </x:c>
      <x:c r="K337" t="str">
        <x:v>nominal_vdd</x:v>
      </x:c>
      <x:c r="L337" t="str">
        <x:v>model_nominal_vdd</x:v>
      </x:c>
      <x:c r="M337" t="n">
        <x:v>1</x:v>
      </x:c>
      <x:c r="N337" t="str">
        <x:v>simulation</x:v>
      </x:c>
      <x:c r="O337" t="str">
        <x:v>ngspice</x:v>
      </x:c>
      <x:c r="P337" t="str">
        <x:v>c9ed2e513523c57a76912a35b2860cb85e4aaa3402b69757d84efa9cc2fb8410</x:v>
      </x:c>
      <x:c r="Q337" t="str">
        <x:v>data/raw/ptm45_hp_vds_1v_raw.txt</x:v>
      </x:c>
    </x:row>
    <x:row r="338">
      <x:c r="A338" t="str">
        <x:v>PTM</x:v>
      </x:c>
      <x:c r="B338" t="str">
        <x:v>NMOS</x:v>
      </x:c>
      <x:c r="C338" s="97" t="n">
        <x:v>45</x:v>
      </x:c>
      <x:c r="D338" s="97" t="str">
        <x:v>HP</x:v>
      </x:c>
      <x:c r="E338" s="99" t="n">
        <x:v>1</x:v>
      </x:c>
      <x:c r="F338" s="99" t="n">
        <x:v>0.045</x:v>
      </x:c>
      <x:c r="G338" s="99" t="n">
        <x:v>25</x:v>
      </x:c>
      <x:c r="H338" s="99" t="n">
        <x:v>1</x:v>
      </x:c>
      <x:c r="I338" s="99" t="n">
        <x:v>0.2750000000000002</x:v>
      </x:c>
      <x:c r="J338" s="98" t="n">
        <x:v>0.00001592257505249413</x:v>
      </x:c>
      <x:c r="K338" t="str">
        <x:v>nominal_vdd</x:v>
      </x:c>
      <x:c r="L338" t="str">
        <x:v>model_nominal_vdd</x:v>
      </x:c>
      <x:c r="M338" t="n">
        <x:v>1</x:v>
      </x:c>
      <x:c r="N338" t="str">
        <x:v>simulation</x:v>
      </x:c>
      <x:c r="O338" t="str">
        <x:v>ngspice</x:v>
      </x:c>
      <x:c r="P338" t="str">
        <x:v>c9ed2e513523c57a76912a35b2860cb85e4aaa3402b69757d84efa9cc2fb8410</x:v>
      </x:c>
      <x:c r="Q338" t="str">
        <x:v>data/raw/ptm45_hp_vds_1v_raw.txt</x:v>
      </x:c>
    </x:row>
    <x:row r="339">
      <x:c r="A339" t="str">
        <x:v>PTM</x:v>
      </x:c>
      <x:c r="B339" t="str">
        <x:v>NMOS</x:v>
      </x:c>
      <x:c r="C339" s="97" t="n">
        <x:v>45</x:v>
      </x:c>
      <x:c r="D339" s="97" t="str">
        <x:v>HP</x:v>
      </x:c>
      <x:c r="E339" s="99" t="n">
        <x:v>1</x:v>
      </x:c>
      <x:c r="F339" s="99" t="n">
        <x:v>0.045</x:v>
      </x:c>
      <x:c r="G339" s="99" t="n">
        <x:v>25</x:v>
      </x:c>
      <x:c r="H339" s="99" t="n">
        <x:v>1</x:v>
      </x:c>
      <x:c r="I339" s="99" t="n">
        <x:v>0.2800000000000002</x:v>
      </x:c>
      <x:c r="J339" s="98" t="n">
        <x:v>0.00001757125728902393</x:v>
      </x:c>
      <x:c r="K339" t="str">
        <x:v>nominal_vdd</x:v>
      </x:c>
      <x:c r="L339" t="str">
        <x:v>model_nominal_vdd</x:v>
      </x:c>
      <x:c r="M339" t="n">
        <x:v>1</x:v>
      </x:c>
      <x:c r="N339" t="str">
        <x:v>simulation</x:v>
      </x:c>
      <x:c r="O339" t="str">
        <x:v>ngspice</x:v>
      </x:c>
      <x:c r="P339" t="str">
        <x:v>c9ed2e513523c57a76912a35b2860cb85e4aaa3402b69757d84efa9cc2fb8410</x:v>
      </x:c>
      <x:c r="Q339" t="str">
        <x:v>data/raw/ptm45_hp_vds_1v_raw.txt</x:v>
      </x:c>
    </x:row>
    <x:row r="340">
      <x:c r="A340" t="str">
        <x:v>PTM</x:v>
      </x:c>
      <x:c r="B340" t="str">
        <x:v>NMOS</x:v>
      </x:c>
      <x:c r="C340" s="97" t="n">
        <x:v>45</x:v>
      </x:c>
      <x:c r="D340" s="97" t="str">
        <x:v>HP</x:v>
      </x:c>
      <x:c r="E340" s="99" t="n">
        <x:v>1</x:v>
      </x:c>
      <x:c r="F340" s="99" t="n">
        <x:v>0.045</x:v>
      </x:c>
      <x:c r="G340" s="99" t="n">
        <x:v>25</x:v>
      </x:c>
      <x:c r="H340" s="99" t="n">
        <x:v>1</x:v>
      </x:c>
      <x:c r="I340" s="99" t="n">
        <x:v>0.2850000000000003</x:v>
      </x:c>
      <x:c r="J340" s="98" t="n">
        <x:v>0.00001936530070408136</x:v>
      </x:c>
      <x:c r="K340" t="str">
        <x:v>nominal_vdd</x:v>
      </x:c>
      <x:c r="L340" t="str">
        <x:v>model_nominal_vdd</x:v>
      </x:c>
      <x:c r="M340" t="n">
        <x:v>1</x:v>
      </x:c>
      <x:c r="N340" t="str">
        <x:v>simulation</x:v>
      </x:c>
      <x:c r="O340" t="str">
        <x:v>ngspice</x:v>
      </x:c>
      <x:c r="P340" t="str">
        <x:v>c9ed2e513523c57a76912a35b2860cb85e4aaa3402b69757d84efa9cc2fb8410</x:v>
      </x:c>
      <x:c r="Q340" t="str">
        <x:v>data/raw/ptm45_hp_vds_1v_raw.txt</x:v>
      </x:c>
    </x:row>
    <x:row r="341">
      <x:c r="A341" t="str">
        <x:v>PTM</x:v>
      </x:c>
      <x:c r="B341" t="str">
        <x:v>NMOS</x:v>
      </x:c>
      <x:c r="C341" s="97" t="n">
        <x:v>45</x:v>
      </x:c>
      <x:c r="D341" s="97" t="str">
        <x:v>HP</x:v>
      </x:c>
      <x:c r="E341" s="99" t="n">
        <x:v>1</x:v>
      </x:c>
      <x:c r="F341" s="99" t="n">
        <x:v>0.045</x:v>
      </x:c>
      <x:c r="G341" s="99" t="n">
        <x:v>25</x:v>
      </x:c>
      <x:c r="H341" s="99" t="n">
        <x:v>1</x:v>
      </x:c>
      <x:c r="I341" s="99" t="n">
        <x:v>0.2900000000000003</x:v>
      </x:c>
      <x:c r="J341" s="98" t="n">
        <x:v>0.00002131388284702994</x:v>
      </x:c>
      <x:c r="K341" t="str">
        <x:v>nominal_vdd</x:v>
      </x:c>
      <x:c r="L341" t="str">
        <x:v>model_nominal_vdd</x:v>
      </x:c>
      <x:c r="M341" t="n">
        <x:v>1</x:v>
      </x:c>
      <x:c r="N341" t="str">
        <x:v>simulation</x:v>
      </x:c>
      <x:c r="O341" t="str">
        <x:v>ngspice</x:v>
      </x:c>
      <x:c r="P341" t="str">
        <x:v>c9ed2e513523c57a76912a35b2860cb85e4aaa3402b69757d84efa9cc2fb8410</x:v>
      </x:c>
      <x:c r="Q341" t="str">
        <x:v>data/raw/ptm45_hp_vds_1v_raw.txt</x:v>
      </x:c>
    </x:row>
    <x:row r="342">
      <x:c r="A342" t="str">
        <x:v>PTM</x:v>
      </x:c>
      <x:c r="B342" t="str">
        <x:v>NMOS</x:v>
      </x:c>
      <x:c r="C342" s="97" t="n">
        <x:v>45</x:v>
      </x:c>
      <x:c r="D342" s="97" t="str">
        <x:v>HP</x:v>
      </x:c>
      <x:c r="E342" s="99" t="n">
        <x:v>1</x:v>
      </x:c>
      <x:c r="F342" s="99" t="n">
        <x:v>0.045</x:v>
      </x:c>
      <x:c r="G342" s="99" t="n">
        <x:v>25</x:v>
      </x:c>
      <x:c r="H342" s="99" t="n">
        <x:v>1</x:v>
      </x:c>
      <x:c r="I342" s="99" t="n">
        <x:v>0.2950000000000003</x:v>
      </x:c>
      <x:c r="J342" s="98" t="n">
        <x:v>0.00002342623717936441</x:v>
      </x:c>
      <x:c r="K342" t="str">
        <x:v>nominal_vdd</x:v>
      </x:c>
      <x:c r="L342" t="str">
        <x:v>model_nominal_vdd</x:v>
      </x:c>
      <x:c r="M342" t="n">
        <x:v>1</x:v>
      </x:c>
      <x:c r="N342" t="str">
        <x:v>simulation</x:v>
      </x:c>
      <x:c r="O342" t="str">
        <x:v>ngspice</x:v>
      </x:c>
      <x:c r="P342" t="str">
        <x:v>c9ed2e513523c57a76912a35b2860cb85e4aaa3402b69757d84efa9cc2fb8410</x:v>
      </x:c>
      <x:c r="Q342" t="str">
        <x:v>data/raw/ptm45_hp_vds_1v_raw.txt</x:v>
      </x:c>
    </x:row>
    <x:row r="343">
      <x:c r="A343" t="str">
        <x:v>PTM</x:v>
      </x:c>
      <x:c r="B343" t="str">
        <x:v>NMOS</x:v>
      </x:c>
      <x:c r="C343" s="97" t="n">
        <x:v>45</x:v>
      </x:c>
      <x:c r="D343" s="97" t="str">
        <x:v>HP</x:v>
      </x:c>
      <x:c r="E343" s="99" t="n">
        <x:v>1</x:v>
      </x:c>
      <x:c r="F343" s="99" t="n">
        <x:v>0.045</x:v>
      </x:c>
      <x:c r="G343" s="99" t="n">
        <x:v>25</x:v>
      </x:c>
      <x:c r="H343" s="99" t="n">
        <x:v>1</x:v>
      </x:c>
      <x:c r="I343" s="99" t="n">
        <x:v>0.3000000000000003</x:v>
      </x:c>
      <x:c r="J343" s="98" t="n">
        <x:v>0.00002571157210198044</x:v>
      </x:c>
      <x:c r="K343" t="str">
        <x:v>nominal_vdd</x:v>
      </x:c>
      <x:c r="L343" t="str">
        <x:v>model_nominal_vdd</x:v>
      </x:c>
      <x:c r="M343" t="n">
        <x:v>1</x:v>
      </x:c>
      <x:c r="N343" t="str">
        <x:v>simulation</x:v>
      </x:c>
      <x:c r="O343" t="str">
        <x:v>ngspice</x:v>
      </x:c>
      <x:c r="P343" t="str">
        <x:v>c9ed2e513523c57a76912a35b2860cb85e4aaa3402b69757d84efa9cc2fb8410</x:v>
      </x:c>
      <x:c r="Q343" t="str">
        <x:v>data/raw/ptm45_hp_vds_1v_raw.txt</x:v>
      </x:c>
    </x:row>
    <x:row r="344">
      <x:c r="A344" t="str">
        <x:v>PTM</x:v>
      </x:c>
      <x:c r="B344" t="str">
        <x:v>NMOS</x:v>
      </x:c>
      <x:c r="C344" s="97" t="n">
        <x:v>45</x:v>
      </x:c>
      <x:c r="D344" s="97" t="str">
        <x:v>HP</x:v>
      </x:c>
      <x:c r="E344" s="99" t="n">
        <x:v>1</x:v>
      </x:c>
      <x:c r="F344" s="99" t="n">
        <x:v>0.045</x:v>
      </x:c>
      <x:c r="G344" s="99" t="n">
        <x:v>25</x:v>
      </x:c>
      <x:c r="H344" s="99" t="n">
        <x:v>1</x:v>
      </x:c>
      <x:c r="I344" s="99" t="n">
        <x:v>0.3050000000000003</x:v>
      </x:c>
      <x:c r="J344" s="98" t="n">
        <x:v>0.00002817898270898211</x:v>
      </x:c>
      <x:c r="K344" t="str">
        <x:v>nominal_vdd</x:v>
      </x:c>
      <x:c r="L344" t="str">
        <x:v>model_nominal_vdd</x:v>
      </x:c>
      <x:c r="M344" t="n">
        <x:v>1</x:v>
      </x:c>
      <x:c r="N344" t="str">
        <x:v>simulation</x:v>
      </x:c>
      <x:c r="O344" t="str">
        <x:v>ngspice</x:v>
      </x:c>
      <x:c r="P344" t="str">
        <x:v>c9ed2e513523c57a76912a35b2860cb85e4aaa3402b69757d84efa9cc2fb8410</x:v>
      </x:c>
      <x:c r="Q344" t="str">
        <x:v>data/raw/ptm45_hp_vds_1v_raw.txt</x:v>
      </x:c>
    </x:row>
    <x:row r="345">
      <x:c r="A345" t="str">
        <x:v>PTM</x:v>
      </x:c>
      <x:c r="B345" t="str">
        <x:v>NMOS</x:v>
      </x:c>
      <x:c r="C345" s="97" t="n">
        <x:v>45</x:v>
      </x:c>
      <x:c r="D345" s="97" t="str">
        <x:v>HP</x:v>
      </x:c>
      <x:c r="E345" s="99" t="n">
        <x:v>1</x:v>
      </x:c>
      <x:c r="F345" s="99" t="n">
        <x:v>0.045</x:v>
      </x:c>
      <x:c r="G345" s="99" t="n">
        <x:v>25</x:v>
      </x:c>
      <x:c r="H345" s="99" t="n">
        <x:v>1</x:v>
      </x:c>
      <x:c r="I345" s="99" t="n">
        <x:v>0.3100000000000003</x:v>
      </x:c>
      <x:c r="J345" s="98" t="n">
        <x:v>0.00003083735676314168</x:v>
      </x:c>
      <x:c r="K345" t="str">
        <x:v>nominal_vdd</x:v>
      </x:c>
      <x:c r="L345" t="str">
        <x:v>model_nominal_vdd</x:v>
      </x:c>
      <x:c r="M345" t="n">
        <x:v>1</x:v>
      </x:c>
      <x:c r="N345" t="str">
        <x:v>simulation</x:v>
      </x:c>
      <x:c r="O345" t="str">
        <x:v>ngspice</x:v>
      </x:c>
      <x:c r="P345" t="str">
        <x:v>c9ed2e513523c57a76912a35b2860cb85e4aaa3402b69757d84efa9cc2fb8410</x:v>
      </x:c>
      <x:c r="Q345" t="str">
        <x:v>data/raw/ptm45_hp_vds_1v_raw.txt</x:v>
      </x:c>
    </x:row>
    <x:row r="346">
      <x:c r="A346" t="str">
        <x:v>PTM</x:v>
      </x:c>
      <x:c r="B346" t="str">
        <x:v>NMOS</x:v>
      </x:c>
      <x:c r="C346" s="97" t="n">
        <x:v>45</x:v>
      </x:c>
      <x:c r="D346" s="97" t="str">
        <x:v>HP</x:v>
      </x:c>
      <x:c r="E346" s="99" t="n">
        <x:v>1</x:v>
      </x:c>
      <x:c r="F346" s="99" t="n">
        <x:v>0.045</x:v>
      </x:c>
      <x:c r="G346" s="99" t="n">
        <x:v>25</x:v>
      </x:c>
      <x:c r="H346" s="99" t="n">
        <x:v>1</x:v>
      </x:c>
      <x:c r="I346" s="99" t="n">
        <x:v>0.3150000000000003</x:v>
      </x:c>
      <x:c r="J346" s="98" t="n">
        <x:v>0.00003369527674635232</x:v>
      </x:c>
      <x:c r="K346" t="str">
        <x:v>nominal_vdd</x:v>
      </x:c>
      <x:c r="L346" t="str">
        <x:v>model_nominal_vdd</x:v>
      </x:c>
      <x:c r="M346" t="n">
        <x:v>1</x:v>
      </x:c>
      <x:c r="N346" t="str">
        <x:v>simulation</x:v>
      </x:c>
      <x:c r="O346" t="str">
        <x:v>ngspice</x:v>
      </x:c>
      <x:c r="P346" t="str">
        <x:v>c9ed2e513523c57a76912a35b2860cb85e4aaa3402b69757d84efa9cc2fb8410</x:v>
      </x:c>
      <x:c r="Q346" t="str">
        <x:v>data/raw/ptm45_hp_vds_1v_raw.txt</x:v>
      </x:c>
    </x:row>
    <x:row r="347">
      <x:c r="A347" t="str">
        <x:v>PTM</x:v>
      </x:c>
      <x:c r="B347" t="str">
        <x:v>NMOS</x:v>
      </x:c>
      <x:c r="C347" s="97" t="n">
        <x:v>45</x:v>
      </x:c>
      <x:c r="D347" s="97" t="str">
        <x:v>HP</x:v>
      </x:c>
      <x:c r="E347" s="99" t="n">
        <x:v>1</x:v>
      </x:c>
      <x:c r="F347" s="99" t="n">
        <x:v>0.045</x:v>
      </x:c>
      <x:c r="G347" s="99" t="n">
        <x:v>25</x:v>
      </x:c>
      <x:c r="H347" s="99" t="n">
        <x:v>1</x:v>
      </x:c>
      <x:c r="I347" s="99" t="n">
        <x:v>0.3200000000000003</x:v>
      </x:c>
      <x:c r="J347" s="98" t="n">
        <x:v>0.00003676092014167665</x:v>
      </x:c>
      <x:c r="K347" t="str">
        <x:v>nominal_vdd</x:v>
      </x:c>
      <x:c r="L347" t="str">
        <x:v>model_nominal_vdd</x:v>
      </x:c>
      <x:c r="M347" t="n">
        <x:v>1</x:v>
      </x:c>
      <x:c r="N347" t="str">
        <x:v>simulation</x:v>
      </x:c>
      <x:c r="O347" t="str">
        <x:v>ngspice</x:v>
      </x:c>
      <x:c r="P347" t="str">
        <x:v>c9ed2e513523c57a76912a35b2860cb85e4aaa3402b69757d84efa9cc2fb8410</x:v>
      </x:c>
      <x:c r="Q347" t="str">
        <x:v>data/raw/ptm45_hp_vds_1v_raw.txt</x:v>
      </x:c>
    </x:row>
    <x:row r="348">
      <x:c r="A348" t="str">
        <x:v>PTM</x:v>
      </x:c>
      <x:c r="B348" t="str">
        <x:v>NMOS</x:v>
      </x:c>
      <x:c r="C348" s="97" t="n">
        <x:v>45</x:v>
      </x:c>
      <x:c r="D348" s="97" t="str">
        <x:v>HP</x:v>
      </x:c>
      <x:c r="E348" s="99" t="n">
        <x:v>1</x:v>
      </x:c>
      <x:c r="F348" s="99" t="n">
        <x:v>0.045</x:v>
      </x:c>
      <x:c r="G348" s="99" t="n">
        <x:v>25</x:v>
      </x:c>
      <x:c r="H348" s="99" t="n">
        <x:v>1</x:v>
      </x:c>
      <x:c r="I348" s="99" t="n">
        <x:v>0.3250000000000003</x:v>
      </x:c>
      <x:c r="J348" s="98" t="n">
        <x:v>0.00004004196032855737</x:v>
      </x:c>
      <x:c r="K348" t="str">
        <x:v>nominal_vdd</x:v>
      </x:c>
      <x:c r="L348" t="str">
        <x:v>model_nominal_vdd</x:v>
      </x:c>
      <x:c r="M348" t="n">
        <x:v>1</x:v>
      </x:c>
      <x:c r="N348" t="str">
        <x:v>simulation</x:v>
      </x:c>
      <x:c r="O348" t="str">
        <x:v>ngspice</x:v>
      </x:c>
      <x:c r="P348" t="str">
        <x:v>c9ed2e513523c57a76912a35b2860cb85e4aaa3402b69757d84efa9cc2fb8410</x:v>
      </x:c>
      <x:c r="Q348" t="str">
        <x:v>data/raw/ptm45_hp_vds_1v_raw.txt</x:v>
      </x:c>
    </x:row>
    <x:row r="349">
      <x:c r="A349" t="str">
        <x:v>PTM</x:v>
      </x:c>
      <x:c r="B349" t="str">
        <x:v>NMOS</x:v>
      </x:c>
      <x:c r="C349" s="97" t="n">
        <x:v>45</x:v>
      </x:c>
      <x:c r="D349" s="97" t="str">
        <x:v>HP</x:v>
      </x:c>
      <x:c r="E349" s="99" t="n">
        <x:v>1</x:v>
      </x:c>
      <x:c r="F349" s="99" t="n">
        <x:v>0.045</x:v>
      </x:c>
      <x:c r="G349" s="99" t="n">
        <x:v>25</x:v>
      </x:c>
      <x:c r="H349" s="99" t="n">
        <x:v>1</x:v>
      </x:c>
      <x:c r="I349" s="99" t="n">
        <x:v>0.3300000000000003</x:v>
      </x:c>
      <x:c r="J349" s="98" t="n">
        <x:v>0.00004354547060036462</x:v>
      </x:c>
      <x:c r="K349" t="str">
        <x:v>nominal_vdd</x:v>
      </x:c>
      <x:c r="L349" t="str">
        <x:v>model_nominal_vdd</x:v>
      </x:c>
      <x:c r="M349" t="n">
        <x:v>1</x:v>
      </x:c>
      <x:c r="N349" t="str">
        <x:v>simulation</x:v>
      </x:c>
      <x:c r="O349" t="str">
        <x:v>ngspice</x:v>
      </x:c>
      <x:c r="P349" t="str">
        <x:v>c9ed2e513523c57a76912a35b2860cb85e4aaa3402b69757d84efa9cc2fb8410</x:v>
      </x:c>
      <x:c r="Q349" t="str">
        <x:v>data/raw/ptm45_hp_vds_1v_raw.txt</x:v>
      </x:c>
    </x:row>
    <x:row r="350">
      <x:c r="A350" t="str">
        <x:v>PTM</x:v>
      </x:c>
      <x:c r="B350" t="str">
        <x:v>NMOS</x:v>
      </x:c>
      <x:c r="C350" s="97" t="n">
        <x:v>45</x:v>
      </x:c>
      <x:c r="D350" s="97" t="str">
        <x:v>HP</x:v>
      </x:c>
      <x:c r="E350" s="99" t="n">
        <x:v>1</x:v>
      </x:c>
      <x:c r="F350" s="99" t="n">
        <x:v>0.045</x:v>
      </x:c>
      <x:c r="G350" s="99" t="n">
        <x:v>25</x:v>
      </x:c>
      <x:c r="H350" s="99" t="n">
        <x:v>1</x:v>
      </x:c>
      <x:c r="I350" s="99" t="n">
        <x:v>0.3350000000000003</x:v>
      </x:c>
      <x:c r="J350" s="98" t="n">
        <x:v>0.00004727783383069106</x:v>
      </x:c>
      <x:c r="K350" t="str">
        <x:v>nominal_vdd</x:v>
      </x:c>
      <x:c r="L350" t="str">
        <x:v>model_nominal_vdd</x:v>
      </x:c>
      <x:c r="M350" t="n">
        <x:v>1</x:v>
      </x:c>
      <x:c r="N350" t="str">
        <x:v>simulation</x:v>
      </x:c>
      <x:c r="O350" t="str">
        <x:v>ngspice</x:v>
      </x:c>
      <x:c r="P350" t="str">
        <x:v>c9ed2e513523c57a76912a35b2860cb85e4aaa3402b69757d84efa9cc2fb8410</x:v>
      </x:c>
      <x:c r="Q350" t="str">
        <x:v>data/raw/ptm45_hp_vds_1v_raw.txt</x:v>
      </x:c>
    </x:row>
    <x:row r="351">
      <x:c r="A351" t="str">
        <x:v>PTM</x:v>
      </x:c>
      <x:c r="B351" t="str">
        <x:v>NMOS</x:v>
      </x:c>
      <x:c r="C351" s="97" t="n">
        <x:v>45</x:v>
      </x:c>
      <x:c r="D351" s="97" t="str">
        <x:v>HP</x:v>
      </x:c>
      <x:c r="E351" s="99" t="n">
        <x:v>1</x:v>
      </x:c>
      <x:c r="F351" s="99" t="n">
        <x:v>0.045</x:v>
      </x:c>
      <x:c r="G351" s="99" t="n">
        <x:v>25</x:v>
      </x:c>
      <x:c r="H351" s="99" t="n">
        <x:v>1</x:v>
      </x:c>
      <x:c r="I351" s="99" t="n">
        <x:v>0.3400000000000003</x:v>
      </x:c>
      <x:c r="J351" s="98" t="n">
        <x:v>0.00005124466021618722</x:v>
      </x:c>
      <x:c r="K351" t="str">
        <x:v>nominal_vdd</x:v>
      </x:c>
      <x:c r="L351" t="str">
        <x:v>model_nominal_vdd</x:v>
      </x:c>
      <x:c r="M351" t="n">
        <x:v>1</x:v>
      </x:c>
      <x:c r="N351" t="str">
        <x:v>simulation</x:v>
      </x:c>
      <x:c r="O351" t="str">
        <x:v>ngspice</x:v>
      </x:c>
      <x:c r="P351" t="str">
        <x:v>c9ed2e513523c57a76912a35b2860cb85e4aaa3402b69757d84efa9cc2fb8410</x:v>
      </x:c>
      <x:c r="Q351" t="str">
        <x:v>data/raw/ptm45_hp_vds_1v_raw.txt</x:v>
      </x:c>
    </x:row>
    <x:row r="352">
      <x:c r="A352" t="str">
        <x:v>PTM</x:v>
      </x:c>
      <x:c r="B352" t="str">
        <x:v>NMOS</x:v>
      </x:c>
      <x:c r="C352" s="97" t="n">
        <x:v>45</x:v>
      </x:c>
      <x:c r="D352" s="97" t="str">
        <x:v>HP</x:v>
      </x:c>
      <x:c r="E352" s="99" t="n">
        <x:v>1</x:v>
      </x:c>
      <x:c r="F352" s="99" t="n">
        <x:v>0.045</x:v>
      </x:c>
      <x:c r="G352" s="99" t="n">
        <x:v>25</x:v>
      </x:c>
      <x:c r="H352" s="99" t="n">
        <x:v>1</x:v>
      </x:c>
      <x:c r="I352" s="99" t="n">
        <x:v>0.3450000000000003</x:v>
      </x:c>
      <x:c r="J352" s="98" t="n">
        <x:v>0.00005545071531203118</x:v>
      </x:c>
      <x:c r="K352" t="str">
        <x:v>nominal_vdd</x:v>
      </x:c>
      <x:c r="L352" t="str">
        <x:v>model_nominal_vdd</x:v>
      </x:c>
      <x:c r="M352" t="n">
        <x:v>1</x:v>
      </x:c>
      <x:c r="N352" t="str">
        <x:v>simulation</x:v>
      </x:c>
      <x:c r="O352" t="str">
        <x:v>ngspice</x:v>
      </x:c>
      <x:c r="P352" t="str">
        <x:v>c9ed2e513523c57a76912a35b2860cb85e4aaa3402b69757d84efa9cc2fb8410</x:v>
      </x:c>
      <x:c r="Q352" t="str">
        <x:v>data/raw/ptm45_hp_vds_1v_raw.txt</x:v>
      </x:c>
    </x:row>
    <x:row r="353">
      <x:c r="A353" t="str">
        <x:v>PTM</x:v>
      </x:c>
      <x:c r="B353" t="str">
        <x:v>NMOS</x:v>
      </x:c>
      <x:c r="C353" s="97" t="n">
        <x:v>45</x:v>
      </x:c>
      <x:c r="D353" s="97" t="str">
        <x:v>HP</x:v>
      </x:c>
      <x:c r="E353" s="99" t="n">
        <x:v>1</x:v>
      </x:c>
      <x:c r="F353" s="99" t="n">
        <x:v>0.045</x:v>
      </x:c>
      <x:c r="G353" s="99" t="n">
        <x:v>25</x:v>
      </x:c>
      <x:c r="H353" s="99" t="n">
        <x:v>1</x:v>
      </x:c>
      <x:c r="I353" s="99" t="n">
        <x:v>0.3500000000000003</x:v>
      </x:c>
      <x:c r="J353" s="98" t="n">
        <x:v>0.00005989985871927532</x:v>
      </x:c>
      <x:c r="K353" t="str">
        <x:v>nominal_vdd</x:v>
      </x:c>
      <x:c r="L353" t="str">
        <x:v>model_nominal_vdd</x:v>
      </x:c>
      <x:c r="M353" t="n">
        <x:v>1</x:v>
      </x:c>
      <x:c r="N353" t="str">
        <x:v>simulation</x:v>
      </x:c>
      <x:c r="O353" t="str">
        <x:v>ngspice</x:v>
      </x:c>
      <x:c r="P353" t="str">
        <x:v>c9ed2e513523c57a76912a35b2860cb85e4aaa3402b69757d84efa9cc2fb8410</x:v>
      </x:c>
      <x:c r="Q353" t="str">
        <x:v>data/raw/ptm45_hp_vds_1v_raw.txt</x:v>
      </x:c>
    </x:row>
    <x:row r="354">
      <x:c r="A354" t="str">
        <x:v>PTM</x:v>
      </x:c>
      <x:c r="B354" t="str">
        <x:v>NMOS</x:v>
      </x:c>
      <x:c r="C354" s="97" t="n">
        <x:v>45</x:v>
      </x:c>
      <x:c r="D354" s="97" t="str">
        <x:v>HP</x:v>
      </x:c>
      <x:c r="E354" s="99" t="n">
        <x:v>1</x:v>
      </x:c>
      <x:c r="F354" s="99" t="n">
        <x:v>0.045</x:v>
      </x:c>
      <x:c r="G354" s="99" t="n">
        <x:v>25</x:v>
      </x:c>
      <x:c r="H354" s="99" t="n">
        <x:v>1</x:v>
      </x:c>
      <x:c r="I354" s="99" t="n">
        <x:v>0.3550000000000003</x:v>
      </x:c>
      <x:c r="J354" s="98" t="n">
        <x:v>0.00006459499292622616</x:v>
      </x:c>
      <x:c r="K354" t="str">
        <x:v>nominal_vdd</x:v>
      </x:c>
      <x:c r="L354" t="str">
        <x:v>model_nominal_vdd</x:v>
      </x:c>
      <x:c r="M354" t="n">
        <x:v>1</x:v>
      </x:c>
      <x:c r="N354" t="str">
        <x:v>simulation</x:v>
      </x:c>
      <x:c r="O354" t="str">
        <x:v>ngspice</x:v>
      </x:c>
      <x:c r="P354" t="str">
        <x:v>c9ed2e513523c57a76912a35b2860cb85e4aaa3402b69757d84efa9cc2fb8410</x:v>
      </x:c>
      <x:c r="Q354" t="str">
        <x:v>data/raw/ptm45_hp_vds_1v_raw.txt</x:v>
      </x:c>
    </x:row>
    <x:row r="355">
      <x:c r="A355" t="str">
        <x:v>PTM</x:v>
      </x:c>
      <x:c r="B355" t="str">
        <x:v>NMOS</x:v>
      </x:c>
      <x:c r="C355" s="97" t="n">
        <x:v>45</x:v>
      </x:c>
      <x:c r="D355" s="97" t="str">
        <x:v>HP</x:v>
      </x:c>
      <x:c r="E355" s="99" t="n">
        <x:v>1</x:v>
      </x:c>
      <x:c r="F355" s="99" t="n">
        <x:v>0.045</x:v>
      </x:c>
      <x:c r="G355" s="99" t="n">
        <x:v>25</x:v>
      </x:c>
      <x:c r="H355" s="99" t="n">
        <x:v>1</x:v>
      </x:c>
      <x:c r="I355" s="99" t="n">
        <x:v>0.3600000000000003</x:v>
      </x:c>
      <x:c r="J355" s="98" t="n">
        <x:v>0.00006953804419494139</x:v>
      </x:c>
      <x:c r="K355" t="str">
        <x:v>nominal_vdd</x:v>
      </x:c>
      <x:c r="L355" t="str">
        <x:v>model_nominal_vdd</x:v>
      </x:c>
      <x:c r="M355" t="n">
        <x:v>1</x:v>
      </x:c>
      <x:c r="N355" t="str">
        <x:v>simulation</x:v>
      </x:c>
      <x:c r="O355" t="str">
        <x:v>ngspice</x:v>
      </x:c>
      <x:c r="P355" t="str">
        <x:v>c9ed2e513523c57a76912a35b2860cb85e4aaa3402b69757d84efa9cc2fb8410</x:v>
      </x:c>
      <x:c r="Q355" t="str">
        <x:v>data/raw/ptm45_hp_vds_1v_raw.txt</x:v>
      </x:c>
    </x:row>
    <x:row r="356">
      <x:c r="A356" t="str">
        <x:v>PTM</x:v>
      </x:c>
      <x:c r="B356" t="str">
        <x:v>NMOS</x:v>
      </x:c>
      <x:c r="C356" s="97" t="n">
        <x:v>45</x:v>
      </x:c>
      <x:c r="D356" s="97" t="str">
        <x:v>HP</x:v>
      </x:c>
      <x:c r="E356" s="99" t="n">
        <x:v>1</x:v>
      </x:c>
      <x:c r="F356" s="99" t="n">
        <x:v>0.045</x:v>
      </x:c>
      <x:c r="G356" s="99" t="n">
        <x:v>25</x:v>
      </x:c>
      <x:c r="H356" s="99" t="n">
        <x:v>1</x:v>
      </x:c>
      <x:c r="I356" s="99" t="n">
        <x:v>0.3650000000000003</x:v>
      </x:c>
      <x:c r="J356" s="98" t="n">
        <x:v>0.00007472994188711403</x:v>
      </x:c>
      <x:c r="K356" t="str">
        <x:v>nominal_vdd</x:v>
      </x:c>
      <x:c r="L356" t="str">
        <x:v>model_nominal_vdd</x:v>
      </x:c>
      <x:c r="M356" t="n">
        <x:v>1</x:v>
      </x:c>
      <x:c r="N356" t="str">
        <x:v>simulation</x:v>
      </x:c>
      <x:c r="O356" t="str">
        <x:v>ngspice</x:v>
      </x:c>
      <x:c r="P356" t="str">
        <x:v>c9ed2e513523c57a76912a35b2860cb85e4aaa3402b69757d84efa9cc2fb8410</x:v>
      </x:c>
      <x:c r="Q356" t="str">
        <x:v>data/raw/ptm45_hp_vds_1v_raw.txt</x:v>
      </x:c>
    </x:row>
    <x:row r="357">
      <x:c r="A357" t="str">
        <x:v>PTM</x:v>
      </x:c>
      <x:c r="B357" t="str">
        <x:v>NMOS</x:v>
      </x:c>
      <x:c r="C357" s="97" t="n">
        <x:v>45</x:v>
      </x:c>
      <x:c r="D357" s="97" t="str">
        <x:v>HP</x:v>
      </x:c>
      <x:c r="E357" s="99" t="n">
        <x:v>1</x:v>
      </x:c>
      <x:c r="F357" s="99" t="n">
        <x:v>0.045</x:v>
      </x:c>
      <x:c r="G357" s="99" t="n">
        <x:v>25</x:v>
      </x:c>
      <x:c r="H357" s="99" t="n">
        <x:v>1</x:v>
      </x:c>
      <x:c r="I357" s="99" t="n">
        <x:v>0.3700000000000003</x:v>
      </x:c>
      <x:c r="J357" s="98" t="n">
        <x:v>0.00008017061685238506</x:v>
      </x:c>
      <x:c r="K357" t="str">
        <x:v>nominal_vdd</x:v>
      </x:c>
      <x:c r="L357" t="str">
        <x:v>model_nominal_vdd</x:v>
      </x:c>
      <x:c r="M357" t="n">
        <x:v>1</x:v>
      </x:c>
      <x:c r="N357" t="str">
        <x:v>simulation</x:v>
      </x:c>
      <x:c r="O357" t="str">
        <x:v>ngspice</x:v>
      </x:c>
      <x:c r="P357" t="str">
        <x:v>c9ed2e513523c57a76912a35b2860cb85e4aaa3402b69757d84efa9cc2fb8410</x:v>
      </x:c>
      <x:c r="Q357" t="str">
        <x:v>data/raw/ptm45_hp_vds_1v_raw.txt</x:v>
      </x:c>
    </x:row>
    <x:row r="358">
      <x:c r="A358" t="str">
        <x:v>PTM</x:v>
      </x:c>
      <x:c r="B358" t="str">
        <x:v>NMOS</x:v>
      </x:c>
      <x:c r="C358" s="97" t="n">
        <x:v>45</x:v>
      </x:c>
      <x:c r="D358" s="97" t="str">
        <x:v>HP</x:v>
      </x:c>
      <x:c r="E358" s="99" t="n">
        <x:v>1</x:v>
      </x:c>
      <x:c r="F358" s="99" t="n">
        <x:v>0.045</x:v>
      </x:c>
      <x:c r="G358" s="99" t="n">
        <x:v>25</x:v>
      </x:c>
      <x:c r="H358" s="99" t="n">
        <x:v>1</x:v>
      </x:c>
      <x:c r="I358" s="99" t="n">
        <x:v>0.3750000000000003</x:v>
      </x:c>
      <x:c r="J358" s="98" t="n">
        <x:v>0.0000858590156844166</x:v>
      </x:c>
      <x:c r="K358" t="str">
        <x:v>nominal_vdd</x:v>
      </x:c>
      <x:c r="L358" t="str">
        <x:v>model_nominal_vdd</x:v>
      </x:c>
      <x:c r="M358" t="n">
        <x:v>1</x:v>
      </x:c>
      <x:c r="N358" t="str">
        <x:v>simulation</x:v>
      </x:c>
      <x:c r="O358" t="str">
        <x:v>ngspice</x:v>
      </x:c>
      <x:c r="P358" t="str">
        <x:v>c9ed2e513523c57a76912a35b2860cb85e4aaa3402b69757d84efa9cc2fb8410</x:v>
      </x:c>
      <x:c r="Q358" t="str">
        <x:v>data/raw/ptm45_hp_vds_1v_raw.txt</x:v>
      </x:c>
    </x:row>
    <x:row r="359">
      <x:c r="A359" t="str">
        <x:v>PTM</x:v>
      </x:c>
      <x:c r="B359" t="str">
        <x:v>NMOS</x:v>
      </x:c>
      <x:c r="C359" s="97" t="n">
        <x:v>45</x:v>
      </x:c>
      <x:c r="D359" s="97" t="str">
        <x:v>HP</x:v>
      </x:c>
      <x:c r="E359" s="99" t="n">
        <x:v>1</x:v>
      </x:c>
      <x:c r="F359" s="99" t="n">
        <x:v>0.045</x:v>
      </x:c>
      <x:c r="G359" s="99" t="n">
        <x:v>25</x:v>
      </x:c>
      <x:c r="H359" s="99" t="n">
        <x:v>1</x:v>
      </x:c>
      <x:c r="I359" s="99" t="n">
        <x:v>0.3800000000000003</x:v>
      </x:c>
      <x:c r="J359" s="98" t="n">
        <x:v>0.00009179312903434035</x:v>
      </x:c>
      <x:c r="K359" t="str">
        <x:v>nominal_vdd</x:v>
      </x:c>
      <x:c r="L359" t="str">
        <x:v>model_nominal_vdd</x:v>
      </x:c>
      <x:c r="M359" t="n">
        <x:v>1</x:v>
      </x:c>
      <x:c r="N359" t="str">
        <x:v>simulation</x:v>
      </x:c>
      <x:c r="O359" t="str">
        <x:v>ngspice</x:v>
      </x:c>
      <x:c r="P359" t="str">
        <x:v>c9ed2e513523c57a76912a35b2860cb85e4aaa3402b69757d84efa9cc2fb8410</x:v>
      </x:c>
      <x:c r="Q359" t="str">
        <x:v>data/raw/ptm45_hp_vds_1v_raw.txt</x:v>
      </x:c>
    </x:row>
    <x:row r="360">
      <x:c r="A360" t="str">
        <x:v>PTM</x:v>
      </x:c>
      <x:c r="B360" t="str">
        <x:v>NMOS</x:v>
      </x:c>
      <x:c r="C360" s="97" t="n">
        <x:v>45</x:v>
      </x:c>
      <x:c r="D360" s="97" t="str">
        <x:v>HP</x:v>
      </x:c>
      <x:c r="E360" s="99" t="n">
        <x:v>1</x:v>
      </x:c>
      <x:c r="F360" s="99" t="n">
        <x:v>0.045</x:v>
      </x:c>
      <x:c r="G360" s="99" t="n">
        <x:v>25</x:v>
      </x:c>
      <x:c r="H360" s="99" t="n">
        <x:v>1</x:v>
      </x:c>
      <x:c r="I360" s="99" t="n">
        <x:v>0.3850000000000003</x:v>
      </x:c>
      <x:c r="J360" s="98" t="n">
        <x:v>0.00009797003274654929</x:v>
      </x:c>
      <x:c r="K360" t="str">
        <x:v>nominal_vdd</x:v>
      </x:c>
      <x:c r="L360" t="str">
        <x:v>model_nominal_vdd</x:v>
      </x:c>
      <x:c r="M360" t="n">
        <x:v>1</x:v>
      </x:c>
      <x:c r="N360" t="str">
        <x:v>simulation</x:v>
      </x:c>
      <x:c r="O360" t="str">
        <x:v>ngspice</x:v>
      </x:c>
      <x:c r="P360" t="str">
        <x:v>c9ed2e513523c57a76912a35b2860cb85e4aaa3402b69757d84efa9cc2fb8410</x:v>
      </x:c>
      <x:c r="Q360" t="str">
        <x:v>data/raw/ptm45_hp_vds_1v_raw.txt</x:v>
      </x:c>
    </x:row>
    <x:row r="361">
      <x:c r="A361" t="str">
        <x:v>PTM</x:v>
      </x:c>
      <x:c r="B361" t="str">
        <x:v>NMOS</x:v>
      </x:c>
      <x:c r="C361" s="97" t="n">
        <x:v>45</x:v>
      </x:c>
      <x:c r="D361" s="97" t="str">
        <x:v>HP</x:v>
      </x:c>
      <x:c r="E361" s="99" t="n">
        <x:v>1</x:v>
      </x:c>
      <x:c r="F361" s="99" t="n">
        <x:v>0.045</x:v>
      </x:c>
      <x:c r="G361" s="99" t="n">
        <x:v>25</x:v>
      </x:c>
      <x:c r="H361" s="99" t="n">
        <x:v>1</x:v>
      </x:c>
      <x:c r="I361" s="99" t="n">
        <x:v>0.3900000000000003</x:v>
      </x:c>
      <x:c r="J361" s="98" t="n">
        <x:v>0.0001043859402847839</x:v>
      </x:c>
      <x:c r="K361" t="str">
        <x:v>nominal_vdd</x:v>
      </x:c>
      <x:c r="L361" t="str">
        <x:v>model_nominal_vdd</x:v>
      </x:c>
      <x:c r="M361" t="n">
        <x:v>1</x:v>
      </x:c>
      <x:c r="N361" t="str">
        <x:v>simulation</x:v>
      </x:c>
      <x:c r="O361" t="str">
        <x:v>ngspice</x:v>
      </x:c>
      <x:c r="P361" t="str">
        <x:v>c9ed2e513523c57a76912a35b2860cb85e4aaa3402b69757d84efa9cc2fb8410</x:v>
      </x:c>
      <x:c r="Q361" t="str">
        <x:v>data/raw/ptm45_hp_vds_1v_raw.txt</x:v>
      </x:c>
    </x:row>
    <x:row r="362">
      <x:c r="A362" t="str">
        <x:v>PTM</x:v>
      </x:c>
      <x:c r="B362" t="str">
        <x:v>NMOS</x:v>
      </x:c>
      <x:c r="C362" s="97" t="n">
        <x:v>45</x:v>
      </x:c>
      <x:c r="D362" s="97" t="str">
        <x:v>HP</x:v>
      </x:c>
      <x:c r="E362" s="99" t="n">
        <x:v>1</x:v>
      </x:c>
      <x:c r="F362" s="99" t="n">
        <x:v>0.045</x:v>
      </x:c>
      <x:c r="G362" s="99" t="n">
        <x:v>25</x:v>
      </x:c>
      <x:c r="H362" s="99" t="n">
        <x:v>1</x:v>
      </x:c>
      <x:c r="I362" s="99" t="n">
        <x:v>0.3950000000000004</x:v>
      </x:c>
      <x:c r="J362" s="98" t="n">
        <x:v>0.0001110362647021781</x:v>
      </x:c>
      <x:c r="K362" t="str">
        <x:v>nominal_vdd</x:v>
      </x:c>
      <x:c r="L362" t="str">
        <x:v>model_nominal_vdd</x:v>
      </x:c>
      <x:c r="M362" t="n">
        <x:v>1</x:v>
      </x:c>
      <x:c r="N362" t="str">
        <x:v>simulation</x:v>
      </x:c>
      <x:c r="O362" t="str">
        <x:v>ngspice</x:v>
      </x:c>
      <x:c r="P362" t="str">
        <x:v>c9ed2e513523c57a76912a35b2860cb85e4aaa3402b69757d84efa9cc2fb8410</x:v>
      </x:c>
      <x:c r="Q362" t="str">
        <x:v>data/raw/ptm45_hp_vds_1v_raw.txt</x:v>
      </x:c>
    </x:row>
    <x:row r="363">
      <x:c r="A363" t="str">
        <x:v>PTM</x:v>
      </x:c>
      <x:c r="B363" t="str">
        <x:v>NMOS</x:v>
      </x:c>
      <x:c r="C363" s="97" t="n">
        <x:v>45</x:v>
      </x:c>
      <x:c r="D363" s="97" t="str">
        <x:v>HP</x:v>
      </x:c>
      <x:c r="E363" s="99" t="n">
        <x:v>1</x:v>
      </x:c>
      <x:c r="F363" s="99" t="n">
        <x:v>0.045</x:v>
      </x:c>
      <x:c r="G363" s="99" t="n">
        <x:v>25</x:v>
      </x:c>
      <x:c r="H363" s="99" t="n">
        <x:v>1</x:v>
      </x:c>
      <x:c r="I363" s="99" t="n">
        <x:v>0.4000000000000004</x:v>
      </x:c>
      <x:c r="J363" s="98" t="n">
        <x:v>0.0001178020821920154</x:v>
      </x:c>
      <x:c r="K363" t="str">
        <x:v>nominal_vdd</x:v>
      </x:c>
      <x:c r="L363" t="str">
        <x:v>model_nominal_vdd</x:v>
      </x:c>
      <x:c r="M363" t="n">
        <x:v>1</x:v>
      </x:c>
      <x:c r="N363" t="str">
        <x:v>simulation</x:v>
      </x:c>
      <x:c r="O363" t="str">
        <x:v>ngspice</x:v>
      </x:c>
      <x:c r="P363" t="str">
        <x:v>c9ed2e513523c57a76912a35b2860cb85e4aaa3402b69757d84efa9cc2fb8410</x:v>
      </x:c>
      <x:c r="Q363" t="str">
        <x:v>data/raw/ptm45_hp_vds_1v_raw.txt</x:v>
      </x:c>
    </x:row>
    <x:row r="364">
      <x:c r="A364" t="str">
        <x:v>PTM</x:v>
      </x:c>
      <x:c r="B364" t="str">
        <x:v>NMOS</x:v>
      </x:c>
      <x:c r="C364" s="97" t="n">
        <x:v>45</x:v>
      </x:c>
      <x:c r="D364" s="97" t="str">
        <x:v>HP</x:v>
      </x:c>
      <x:c r="E364" s="99" t="n">
        <x:v>1</x:v>
      </x:c>
      <x:c r="F364" s="99" t="n">
        <x:v>0.045</x:v>
      </x:c>
      <x:c r="G364" s="99" t="n">
        <x:v>25</x:v>
      </x:c>
      <x:c r="H364" s="99" t="n">
        <x:v>1</x:v>
      </x:c>
      <x:c r="I364" s="99" t="n">
        <x:v>0.4050000000000004</x:v>
      </x:c>
      <x:c r="J364" s="98" t="n">
        <x:v>0.000124907721098907</x:v>
      </x:c>
      <x:c r="K364" t="str">
        <x:v>nominal_vdd</x:v>
      </x:c>
      <x:c r="L364" t="str">
        <x:v>model_nominal_vdd</x:v>
      </x:c>
      <x:c r="M364" t="n">
        <x:v>1</x:v>
      </x:c>
      <x:c r="N364" t="str">
        <x:v>simulation</x:v>
      </x:c>
      <x:c r="O364" t="str">
        <x:v>ngspice</x:v>
      </x:c>
      <x:c r="P364" t="str">
        <x:v>c9ed2e513523c57a76912a35b2860cb85e4aaa3402b69757d84efa9cc2fb8410</x:v>
      </x:c>
      <x:c r="Q364" t="str">
        <x:v>data/raw/ptm45_hp_vds_1v_raw.txt</x:v>
      </x:c>
    </x:row>
    <x:row r="365">
      <x:c r="A365" t="str">
        <x:v>PTM</x:v>
      </x:c>
      <x:c r="B365" t="str">
        <x:v>NMOS</x:v>
      </x:c>
      <x:c r="C365" s="97" t="n">
        <x:v>45</x:v>
      </x:c>
      <x:c r="D365" s="97" t="str">
        <x:v>HP</x:v>
      </x:c>
      <x:c r="E365" s="99" t="n">
        <x:v>1</x:v>
      </x:c>
      <x:c r="F365" s="99" t="n">
        <x:v>0.045</x:v>
      </x:c>
      <x:c r="G365" s="99" t="n">
        <x:v>25</x:v>
      </x:c>
      <x:c r="H365" s="99" t="n">
        <x:v>1</x:v>
      </x:c>
      <x:c r="I365" s="99" t="n">
        <x:v>0.4100000000000004</x:v>
      </x:c>
      <x:c r="J365" s="98" t="n">
        <x:v>0.000132230211420627</x:v>
      </x:c>
      <x:c r="K365" t="str">
        <x:v>nominal_vdd</x:v>
      </x:c>
      <x:c r="L365" t="str">
        <x:v>model_nominal_vdd</x:v>
      </x:c>
      <x:c r="M365" t="n">
        <x:v>1</x:v>
      </x:c>
      <x:c r="N365" t="str">
        <x:v>simulation</x:v>
      </x:c>
      <x:c r="O365" t="str">
        <x:v>ngspice</x:v>
      </x:c>
      <x:c r="P365" t="str">
        <x:v>c9ed2e513523c57a76912a35b2860cb85e4aaa3402b69757d84efa9cc2fb8410</x:v>
      </x:c>
      <x:c r="Q365" t="str">
        <x:v>data/raw/ptm45_hp_vds_1v_raw.txt</x:v>
      </x:c>
    </x:row>
    <x:row r="366">
      <x:c r="A366" t="str">
        <x:v>PTM</x:v>
      </x:c>
      <x:c r="B366" t="str">
        <x:v>NMOS</x:v>
      </x:c>
      <x:c r="C366" s="97" t="n">
        <x:v>45</x:v>
      </x:c>
      <x:c r="D366" s="97" t="str">
        <x:v>HP</x:v>
      </x:c>
      <x:c r="E366" s="99" t="n">
        <x:v>1</x:v>
      </x:c>
      <x:c r="F366" s="99" t="n">
        <x:v>0.045</x:v>
      </x:c>
      <x:c r="G366" s="99" t="n">
        <x:v>25</x:v>
      </x:c>
      <x:c r="H366" s="99" t="n">
        <x:v>1</x:v>
      </x:c>
      <x:c r="I366" s="99" t="n">
        <x:v>0.4150000000000004</x:v>
      </x:c>
      <x:c r="J366" s="98" t="n">
        <x:v>0.0001397624681243832</x:v>
      </x:c>
      <x:c r="K366" t="str">
        <x:v>nominal_vdd</x:v>
      </x:c>
      <x:c r="L366" t="str">
        <x:v>model_nominal_vdd</x:v>
      </x:c>
      <x:c r="M366" t="n">
        <x:v>1</x:v>
      </x:c>
      <x:c r="N366" t="str">
        <x:v>simulation</x:v>
      </x:c>
      <x:c r="O366" t="str">
        <x:v>ngspice</x:v>
      </x:c>
      <x:c r="P366" t="str">
        <x:v>c9ed2e513523c57a76912a35b2860cb85e4aaa3402b69757d84efa9cc2fb8410</x:v>
      </x:c>
      <x:c r="Q366" t="str">
        <x:v>data/raw/ptm45_hp_vds_1v_raw.txt</x:v>
      </x:c>
    </x:row>
    <x:row r="367">
      <x:c r="A367" t="str">
        <x:v>PTM</x:v>
      </x:c>
      <x:c r="B367" t="str">
        <x:v>NMOS</x:v>
      </x:c>
      <x:c r="C367" s="97" t="n">
        <x:v>45</x:v>
      </x:c>
      <x:c r="D367" s="97" t="str">
        <x:v>HP</x:v>
      </x:c>
      <x:c r="E367" s="99" t="n">
        <x:v>1</x:v>
      </x:c>
      <x:c r="F367" s="99" t="n">
        <x:v>0.045</x:v>
      </x:c>
      <x:c r="G367" s="99" t="n">
        <x:v>25</x:v>
      </x:c>
      <x:c r="H367" s="99" t="n">
        <x:v>1</x:v>
      </x:c>
      <x:c r="I367" s="99" t="n">
        <x:v>0.4200000000000004</x:v>
      </x:c>
      <x:c r="J367" s="98" t="n">
        <x:v>0.0001474969929286206</x:v>
      </x:c>
      <x:c r="K367" t="str">
        <x:v>nominal_vdd</x:v>
      </x:c>
      <x:c r="L367" t="str">
        <x:v>model_nominal_vdd</x:v>
      </x:c>
      <x:c r="M367" t="n">
        <x:v>1</x:v>
      </x:c>
      <x:c r="N367" t="str">
        <x:v>simulation</x:v>
      </x:c>
      <x:c r="O367" t="str">
        <x:v>ngspice</x:v>
      </x:c>
      <x:c r="P367" t="str">
        <x:v>c9ed2e513523c57a76912a35b2860cb85e4aaa3402b69757d84efa9cc2fb8410</x:v>
      </x:c>
      <x:c r="Q367" t="str">
        <x:v>data/raw/ptm45_hp_vds_1v_raw.txt</x:v>
      </x:c>
    </x:row>
    <x:row r="368">
      <x:c r="A368" t="str">
        <x:v>PTM</x:v>
      </x:c>
      <x:c r="B368" t="str">
        <x:v>NMOS</x:v>
      </x:c>
      <x:c r="C368" s="97" t="n">
        <x:v>45</x:v>
      </x:c>
      <x:c r="D368" s="97" t="str">
        <x:v>HP</x:v>
      </x:c>
      <x:c r="E368" s="99" t="n">
        <x:v>1</x:v>
      </x:c>
      <x:c r="F368" s="99" t="n">
        <x:v>0.045</x:v>
      </x:c>
      <x:c r="G368" s="99" t="n">
        <x:v>25</x:v>
      </x:c>
      <x:c r="H368" s="99" t="n">
        <x:v>1</x:v>
      </x:c>
      <x:c r="I368" s="99" t="n">
        <x:v>0.4250000000000004</x:v>
      </x:c>
      <x:c r="J368" s="98" t="n">
        <x:v>0.0001554259554536689</x:v>
      </x:c>
      <x:c r="K368" t="str">
        <x:v>nominal_vdd</x:v>
      </x:c>
      <x:c r="L368" t="str">
        <x:v>model_nominal_vdd</x:v>
      </x:c>
      <x:c r="M368" t="n">
        <x:v>1</x:v>
      </x:c>
      <x:c r="N368" t="str">
        <x:v>simulation</x:v>
      </x:c>
      <x:c r="O368" t="str">
        <x:v>ngspice</x:v>
      </x:c>
      <x:c r="P368" t="str">
        <x:v>c9ed2e513523c57a76912a35b2860cb85e4aaa3402b69757d84efa9cc2fb8410</x:v>
      </x:c>
      <x:c r="Q368" t="str">
        <x:v>data/raw/ptm45_hp_vds_1v_raw.txt</x:v>
      </x:c>
    </x:row>
    <x:row r="369">
      <x:c r="A369" t="str">
        <x:v>PTM</x:v>
      </x:c>
      <x:c r="B369" t="str">
        <x:v>NMOS</x:v>
      </x:c>
      <x:c r="C369" s="97" t="n">
        <x:v>45</x:v>
      </x:c>
      <x:c r="D369" s="97" t="str">
        <x:v>HP</x:v>
      </x:c>
      <x:c r="E369" s="99" t="n">
        <x:v>1</x:v>
      </x:c>
      <x:c r="F369" s="99" t="n">
        <x:v>0.045</x:v>
      </x:c>
      <x:c r="G369" s="99" t="n">
        <x:v>25</x:v>
      </x:c>
      <x:c r="H369" s="99" t="n">
        <x:v>1</x:v>
      </x:c>
      <x:c r="I369" s="99" t="n">
        <x:v>0.4300000000000004</x:v>
      </x:c>
      <x:c r="J369" s="98" t="n">
        <x:v>0.0001635412718062476</x:v>
      </x:c>
      <x:c r="K369" t="str">
        <x:v>nominal_vdd</x:v>
      </x:c>
      <x:c r="L369" t="str">
        <x:v>model_nominal_vdd</x:v>
      </x:c>
      <x:c r="M369" t="n">
        <x:v>1</x:v>
      </x:c>
      <x:c r="N369" t="str">
        <x:v>simulation</x:v>
      </x:c>
      <x:c r="O369" t="str">
        <x:v>ngspice</x:v>
      </x:c>
      <x:c r="P369" t="str">
        <x:v>c9ed2e513523c57a76912a35b2860cb85e4aaa3402b69757d84efa9cc2fb8410</x:v>
      </x:c>
      <x:c r="Q369" t="str">
        <x:v>data/raw/ptm45_hp_vds_1v_raw.txt</x:v>
      </x:c>
    </x:row>
    <x:row r="370">
      <x:c r="A370" t="str">
        <x:v>PTM</x:v>
      </x:c>
      <x:c r="B370" t="str">
        <x:v>NMOS</x:v>
      </x:c>
      <x:c r="C370" s="97" t="n">
        <x:v>45</x:v>
      </x:c>
      <x:c r="D370" s="97" t="str">
        <x:v>HP</x:v>
      </x:c>
      <x:c r="E370" s="99" t="n">
        <x:v>1</x:v>
      </x:c>
      <x:c r="F370" s="99" t="n">
        <x:v>0.045</x:v>
      </x:c>
      <x:c r="G370" s="99" t="n">
        <x:v>25</x:v>
      </x:c>
      <x:c r="H370" s="99" t="n">
        <x:v>1</x:v>
      </x:c>
      <x:c r="I370" s="99" t="n">
        <x:v>0.4350000000000004</x:v>
      </x:c>
      <x:c r="J370" s="98" t="n">
        <x:v>0.0001718346795011256</x:v>
      </x:c>
      <x:c r="K370" t="str">
        <x:v>nominal_vdd</x:v>
      </x:c>
      <x:c r="L370" t="str">
        <x:v>model_nominal_vdd</x:v>
      </x:c>
      <x:c r="M370" t="n">
        <x:v>1</x:v>
      </x:c>
      <x:c r="N370" t="str">
        <x:v>simulation</x:v>
      </x:c>
      <x:c r="O370" t="str">
        <x:v>ngspice</x:v>
      </x:c>
      <x:c r="P370" t="str">
        <x:v>c9ed2e513523c57a76912a35b2860cb85e4aaa3402b69757d84efa9cc2fb8410</x:v>
      </x:c>
      <x:c r="Q370" t="str">
        <x:v>data/raw/ptm45_hp_vds_1v_raw.txt</x:v>
      </x:c>
    </x:row>
    <x:row r="371">
      <x:c r="A371" t="str">
        <x:v>PTM</x:v>
      </x:c>
      <x:c r="B371" t="str">
        <x:v>NMOS</x:v>
      </x:c>
      <x:c r="C371" s="97" t="n">
        <x:v>45</x:v>
      </x:c>
      <x:c r="D371" s="97" t="str">
        <x:v>HP</x:v>
      </x:c>
      <x:c r="E371" s="99" t="n">
        <x:v>1</x:v>
      </x:c>
      <x:c r="F371" s="99" t="n">
        <x:v>0.045</x:v>
      </x:c>
      <x:c r="G371" s="99" t="n">
        <x:v>25</x:v>
      </x:c>
      <x:c r="H371" s="99" t="n">
        <x:v>1</x:v>
      </x:c>
      <x:c r="I371" s="99" t="n">
        <x:v>0.4400000000000004</x:v>
      </x:c>
      <x:c r="J371" s="98" t="n">
        <x:v>0.00018029780784401</x:v>
      </x:c>
      <x:c r="K371" t="str">
        <x:v>nominal_vdd</x:v>
      </x:c>
      <x:c r="L371" t="str">
        <x:v>model_nominal_vdd</x:v>
      </x:c>
      <x:c r="M371" t="n">
        <x:v>1</x:v>
      </x:c>
      <x:c r="N371" t="str">
        <x:v>simulation</x:v>
      </x:c>
      <x:c r="O371" t="str">
        <x:v>ngspice</x:v>
      </x:c>
      <x:c r="P371" t="str">
        <x:v>c9ed2e513523c57a76912a35b2860cb85e4aaa3402b69757d84efa9cc2fb8410</x:v>
      </x:c>
      <x:c r="Q371" t="str">
        <x:v>data/raw/ptm45_hp_vds_1v_raw.txt</x:v>
      </x:c>
    </x:row>
    <x:row r="372">
      <x:c r="A372" t="str">
        <x:v>PTM</x:v>
      </x:c>
      <x:c r="B372" t="str">
        <x:v>NMOS</x:v>
      </x:c>
      <x:c r="C372" s="97" t="n">
        <x:v>45</x:v>
      </x:c>
      <x:c r="D372" s="97" t="str">
        <x:v>HP</x:v>
      </x:c>
      <x:c r="E372" s="99" t="n">
        <x:v>1</x:v>
      </x:c>
      <x:c r="F372" s="99" t="n">
        <x:v>0.045</x:v>
      </x:c>
      <x:c r="G372" s="99" t="n">
        <x:v>25</x:v>
      </x:c>
      <x:c r="H372" s="99" t="n">
        <x:v>1</x:v>
      </x:c>
      <x:c r="I372" s="99" t="n">
        <x:v>0.4450000000000004</x:v>
      </x:c>
      <x:c r="J372" s="98" t="n">
        <x:v>0.0001889222431137748</x:v>
      </x:c>
      <x:c r="K372" t="str">
        <x:v>nominal_vdd</x:v>
      </x:c>
      <x:c r="L372" t="str">
        <x:v>model_nominal_vdd</x:v>
      </x:c>
      <x:c r="M372" t="n">
        <x:v>1</x:v>
      </x:c>
      <x:c r="N372" t="str">
        <x:v>simulation</x:v>
      </x:c>
      <x:c r="O372" t="str">
        <x:v>ngspice</x:v>
      </x:c>
      <x:c r="P372" t="str">
        <x:v>c9ed2e513523c57a76912a35b2860cb85e4aaa3402b69757d84efa9cc2fb8410</x:v>
      </x:c>
      <x:c r="Q372" t="str">
        <x:v>data/raw/ptm45_hp_vds_1v_raw.txt</x:v>
      </x:c>
    </x:row>
    <x:row r="373">
      <x:c r="A373" t="str">
        <x:v>PTM</x:v>
      </x:c>
      <x:c r="B373" t="str">
        <x:v>NMOS</x:v>
      </x:c>
      <x:c r="C373" s="97" t="n">
        <x:v>45</x:v>
      </x:c>
      <x:c r="D373" s="97" t="str">
        <x:v>HP</x:v>
      </x:c>
      <x:c r="E373" s="99" t="n">
        <x:v>1</x:v>
      </x:c>
      <x:c r="F373" s="99" t="n">
        <x:v>0.045</x:v>
      </x:c>
      <x:c r="G373" s="99" t="n">
        <x:v>25</x:v>
      </x:c>
      <x:c r="H373" s="99" t="n">
        <x:v>1</x:v>
      </x:c>
      <x:c r="I373" s="99" t="n">
        <x:v>0.4500000000000004</x:v>
      </x:c>
      <x:c r="J373" s="98" t="n">
        <x:v>0.0001976995880832546</x:v>
      </x:c>
      <x:c r="K373" t="str">
        <x:v>nominal_vdd</x:v>
      </x:c>
      <x:c r="L373" t="str">
        <x:v>model_nominal_vdd</x:v>
      </x:c>
      <x:c r="M373" t="n">
        <x:v>1</x:v>
      </x:c>
      <x:c r="N373" t="str">
        <x:v>simulation</x:v>
      </x:c>
      <x:c r="O373" t="str">
        <x:v>ngspice</x:v>
      </x:c>
      <x:c r="P373" t="str">
        <x:v>c9ed2e513523c57a76912a35b2860cb85e4aaa3402b69757d84efa9cc2fb8410</x:v>
      </x:c>
      <x:c r="Q373" t="str">
        <x:v>data/raw/ptm45_hp_vds_1v_raw.txt</x:v>
      </x:c>
    </x:row>
    <x:row r="374">
      <x:c r="A374" t="str">
        <x:v>PTM</x:v>
      </x:c>
      <x:c r="B374" t="str">
        <x:v>NMOS</x:v>
      </x:c>
      <x:c r="C374" s="97" t="n">
        <x:v>45</x:v>
      </x:c>
      <x:c r="D374" s="97" t="str">
        <x:v>HP</x:v>
      </x:c>
      <x:c r="E374" s="99" t="n">
        <x:v>1</x:v>
      </x:c>
      <x:c r="F374" s="99" t="n">
        <x:v>0.045</x:v>
      </x:c>
      <x:c r="G374" s="99" t="n">
        <x:v>25</x:v>
      </x:c>
      <x:c r="H374" s="99" t="n">
        <x:v>1</x:v>
      </x:c>
      <x:c r="I374" s="99" t="n">
        <x:v>0.4550000000000004</x:v>
      </x:c>
      <x:c r="J374" s="98" t="n">
        <x:v>0.0002066215156007742</x:v>
      </x:c>
      <x:c r="K374" t="str">
        <x:v>nominal_vdd</x:v>
      </x:c>
      <x:c r="L374" t="str">
        <x:v>model_nominal_vdd</x:v>
      </x:c>
      <x:c r="M374" t="n">
        <x:v>1</x:v>
      </x:c>
      <x:c r="N374" t="str">
        <x:v>simulation</x:v>
      </x:c>
      <x:c r="O374" t="str">
        <x:v>ngspice</x:v>
      </x:c>
      <x:c r="P374" t="str">
        <x:v>c9ed2e513523c57a76912a35b2860cb85e4aaa3402b69757d84efa9cc2fb8410</x:v>
      </x:c>
      <x:c r="Q374" t="str">
        <x:v>data/raw/ptm45_hp_vds_1v_raw.txt</x:v>
      </x:c>
    </x:row>
    <x:row r="375">
      <x:c r="A375" t="str">
        <x:v>PTM</x:v>
      </x:c>
      <x:c r="B375" t="str">
        <x:v>NMOS</x:v>
      </x:c>
      <x:c r="C375" s="97" t="n">
        <x:v>45</x:v>
      </x:c>
      <x:c r="D375" s="97" t="str">
        <x:v>HP</x:v>
      </x:c>
      <x:c r="E375" s="99" t="n">
        <x:v>1</x:v>
      </x:c>
      <x:c r="F375" s="99" t="n">
        <x:v>0.045</x:v>
      </x:c>
      <x:c r="G375" s="99" t="n">
        <x:v>25</x:v>
      </x:c>
      <x:c r="H375" s="99" t="n">
        <x:v>1</x:v>
      </x:c>
      <x:c r="I375" s="99" t="n">
        <x:v>0.4600000000000004</x:v>
      </x:c>
      <x:c r="J375" s="98" t="n">
        <x:v>0.0002156798161163826</x:v>
      </x:c>
      <x:c r="K375" t="str">
        <x:v>nominal_vdd</x:v>
      </x:c>
      <x:c r="L375" t="str">
        <x:v>model_nominal_vdd</x:v>
      </x:c>
      <x:c r="M375" t="n">
        <x:v>1</x:v>
      </x:c>
      <x:c r="N375" t="str">
        <x:v>simulation</x:v>
      </x:c>
      <x:c r="O375" t="str">
        <x:v>ngspice</x:v>
      </x:c>
      <x:c r="P375" t="str">
        <x:v>c9ed2e513523c57a76912a35b2860cb85e4aaa3402b69757d84efa9cc2fb8410</x:v>
      </x:c>
      <x:c r="Q375" t="str">
        <x:v>data/raw/ptm45_hp_vds_1v_raw.txt</x:v>
      </x:c>
    </x:row>
    <x:row r="376">
      <x:c r="A376" t="str">
        <x:v>PTM</x:v>
      </x:c>
      <x:c r="B376" t="str">
        <x:v>NMOS</x:v>
      </x:c>
      <x:c r="C376" s="97" t="n">
        <x:v>45</x:v>
      </x:c>
      <x:c r="D376" s="97" t="str">
        <x:v>HP</x:v>
      </x:c>
      <x:c r="E376" s="99" t="n">
        <x:v>1</x:v>
      </x:c>
      <x:c r="F376" s="99" t="n">
        <x:v>0.045</x:v>
      </x:c>
      <x:c r="G376" s="99" t="n">
        <x:v>25</x:v>
      </x:c>
      <x:c r="H376" s="99" t="n">
        <x:v>1</x:v>
      </x:c>
      <x:c r="I376" s="99" t="n">
        <x:v>0.4650000000000004</x:v>
      </x:c>
      <x:c r="J376" s="98" t="n">
        <x:v>0.0002248664391758099</x:v>
      </x:c>
      <x:c r="K376" t="str">
        <x:v>nominal_vdd</x:v>
      </x:c>
      <x:c r="L376" t="str">
        <x:v>model_nominal_vdd</x:v>
      </x:c>
      <x:c r="M376" t="n">
        <x:v>1</x:v>
      </x:c>
      <x:c r="N376" t="str">
        <x:v>simulation</x:v>
      </x:c>
      <x:c r="O376" t="str">
        <x:v>ngspice</x:v>
      </x:c>
      <x:c r="P376" t="str">
        <x:v>c9ed2e513523c57a76912a35b2860cb85e4aaa3402b69757d84efa9cc2fb8410</x:v>
      </x:c>
      <x:c r="Q376" t="str">
        <x:v>data/raw/ptm45_hp_vds_1v_raw.txt</x:v>
      </x:c>
    </x:row>
    <x:row r="377">
      <x:c r="A377" t="str">
        <x:v>PTM</x:v>
      </x:c>
      <x:c r="B377" t="str">
        <x:v>NMOS</x:v>
      </x:c>
      <x:c r="C377" s="97" t="n">
        <x:v>45</x:v>
      </x:c>
      <x:c r="D377" s="97" t="str">
        <x:v>HP</x:v>
      </x:c>
      <x:c r="E377" s="99" t="n">
        <x:v>1</x:v>
      </x:c>
      <x:c r="F377" s="99" t="n">
        <x:v>0.045</x:v>
      </x:c>
      <x:c r="G377" s="99" t="n">
        <x:v>25</x:v>
      </x:c>
      <x:c r="H377" s="99" t="n">
        <x:v>1</x:v>
      </x:c>
      <x:c r="I377" s="99" t="n">
        <x:v>0.4700000000000004</x:v>
      </x:c>
      <x:c r="J377" s="98" t="n">
        <x:v>0.0002341735290210024</x:v>
      </x:c>
      <x:c r="K377" t="str">
        <x:v>nominal_vdd</x:v>
      </x:c>
      <x:c r="L377" t="str">
        <x:v>model_nominal_vdd</x:v>
      </x:c>
      <x:c r="M377" t="n">
        <x:v>1</x:v>
      </x:c>
      <x:c r="N377" t="str">
        <x:v>simulation</x:v>
      </x:c>
      <x:c r="O377" t="str">
        <x:v>ngspice</x:v>
      </x:c>
      <x:c r="P377" t="str">
        <x:v>c9ed2e513523c57a76912a35b2860cb85e4aaa3402b69757d84efa9cc2fb8410</x:v>
      </x:c>
      <x:c r="Q377" t="str">
        <x:v>data/raw/ptm45_hp_vds_1v_raw.txt</x:v>
      </x:c>
    </x:row>
    <x:row r="378">
      <x:c r="A378" t="str">
        <x:v>PTM</x:v>
      </x:c>
      <x:c r="B378" t="str">
        <x:v>NMOS</x:v>
      </x:c>
      <x:c r="C378" s="97" t="n">
        <x:v>45</x:v>
      </x:c>
      <x:c r="D378" s="97" t="str">
        <x:v>HP</x:v>
      </x:c>
      <x:c r="E378" s="99" t="n">
        <x:v>1</x:v>
      </x:c>
      <x:c r="F378" s="99" t="n">
        <x:v>0.045</x:v>
      </x:c>
      <x:c r="G378" s="99" t="n">
        <x:v>25</x:v>
      </x:c>
      <x:c r="H378" s="99" t="n">
        <x:v>1</x:v>
      </x:c>
      <x:c r="I378" s="99" t="n">
        <x:v>0.4750000000000004</x:v>
      </x:c>
      <x:c r="J378" s="98" t="n">
        <x:v>0.0002435934545293929</x:v>
      </x:c>
      <x:c r="K378" t="str">
        <x:v>nominal_vdd</x:v>
      </x:c>
      <x:c r="L378" t="str">
        <x:v>model_nominal_vdd</x:v>
      </x:c>
      <x:c r="M378" t="n">
        <x:v>1</x:v>
      </x:c>
      <x:c r="N378" t="str">
        <x:v>simulation</x:v>
      </x:c>
      <x:c r="O378" t="str">
        <x:v>ngspice</x:v>
      </x:c>
      <x:c r="P378" t="str">
        <x:v>c9ed2e513523c57a76912a35b2860cb85e4aaa3402b69757d84efa9cc2fb8410</x:v>
      </x:c>
      <x:c r="Q378" t="str">
        <x:v>data/raw/ptm45_hp_vds_1v_raw.txt</x:v>
      </x:c>
    </x:row>
    <x:row r="379">
      <x:c r="A379" t="str">
        <x:v>PTM</x:v>
      </x:c>
      <x:c r="B379" t="str">
        <x:v>NMOS</x:v>
      </x:c>
      <x:c r="C379" s="97" t="n">
        <x:v>45</x:v>
      </x:c>
      <x:c r="D379" s="97" t="str">
        <x:v>HP</x:v>
      </x:c>
      <x:c r="E379" s="99" t="n">
        <x:v>1</x:v>
      </x:c>
      <x:c r="F379" s="99" t="n">
        <x:v>0.045</x:v>
      </x:c>
      <x:c r="G379" s="99" t="n">
        <x:v>25</x:v>
      </x:c>
      <x:c r="H379" s="99" t="n">
        <x:v>1</x:v>
      </x:c>
      <x:c r="I379" s="99" t="n">
        <x:v>0.4800000000000004</x:v>
      </x:c>
      <x:c r="J379" s="98" t="n">
        <x:v>0.000253118833979274</x:v>
      </x:c>
      <x:c r="K379" t="str">
        <x:v>nominal_vdd</x:v>
      </x:c>
      <x:c r="L379" t="str">
        <x:v>model_nominal_vdd</x:v>
      </x:c>
      <x:c r="M379" t="n">
        <x:v>1</x:v>
      </x:c>
      <x:c r="N379" t="str">
        <x:v>simulation</x:v>
      </x:c>
      <x:c r="O379" t="str">
        <x:v>ngspice</x:v>
      </x:c>
      <x:c r="P379" t="str">
        <x:v>c9ed2e513523c57a76912a35b2860cb85e4aaa3402b69757d84efa9cc2fb8410</x:v>
      </x:c>
      <x:c r="Q379" t="str">
        <x:v>data/raw/ptm45_hp_vds_1v_raw.txt</x:v>
      </x:c>
    </x:row>
    <x:row r="380">
      <x:c r="A380" t="str">
        <x:v>PTM</x:v>
      </x:c>
      <x:c r="B380" t="str">
        <x:v>NMOS</x:v>
      </x:c>
      <x:c r="C380" s="97" t="n">
        <x:v>45</x:v>
      </x:c>
      <x:c r="D380" s="97" t="str">
        <x:v>HP</x:v>
      </x:c>
      <x:c r="E380" s="99" t="n">
        <x:v>1</x:v>
      </x:c>
      <x:c r="F380" s="99" t="n">
        <x:v>0.045</x:v>
      </x:c>
      <x:c r="G380" s="99" t="n">
        <x:v>25</x:v>
      </x:c>
      <x:c r="H380" s="99" t="n">
        <x:v>1</x:v>
      </x:c>
      <x:c r="I380" s="99" t="n">
        <x:v>0.4850000000000004</x:v>
      </x:c>
      <x:c r="J380" s="98" t="n">
        <x:v>0.0002627425540466234</x:v>
      </x:c>
      <x:c r="K380" t="str">
        <x:v>nominal_vdd</x:v>
      </x:c>
      <x:c r="L380" t="str">
        <x:v>model_nominal_vdd</x:v>
      </x:c>
      <x:c r="M380" t="n">
        <x:v>1</x:v>
      </x:c>
      <x:c r="N380" t="str">
        <x:v>simulation</x:v>
      </x:c>
      <x:c r="O380" t="str">
        <x:v>ngspice</x:v>
      </x:c>
      <x:c r="P380" t="str">
        <x:v>c9ed2e513523c57a76912a35b2860cb85e4aaa3402b69757d84efa9cc2fb8410</x:v>
      </x:c>
      <x:c r="Q380" t="str">
        <x:v>data/raw/ptm45_hp_vds_1v_raw.txt</x:v>
      </x:c>
    </x:row>
    <x:row r="381">
      <x:c r="A381" t="str">
        <x:v>PTM</x:v>
      </x:c>
      <x:c r="B381" t="str">
        <x:v>NMOS</x:v>
      </x:c>
      <x:c r="C381" s="97" t="n">
        <x:v>45</x:v>
      </x:c>
      <x:c r="D381" s="97" t="str">
        <x:v>HP</x:v>
      </x:c>
      <x:c r="E381" s="99" t="n">
        <x:v>1</x:v>
      </x:c>
      <x:c r="F381" s="99" t="n">
        <x:v>0.045</x:v>
      </x:c>
      <x:c r="G381" s="99" t="n">
        <x:v>25</x:v>
      </x:c>
      <x:c r="H381" s="99" t="n">
        <x:v>1</x:v>
      </x:c>
      <x:c r="I381" s="99" t="n">
        <x:v>0.4900000000000004</x:v>
      </x:c>
      <x:c r="J381" s="98" t="n">
        <x:v>0.000272457785434117</x:v>
      </x:c>
      <x:c r="K381" t="str">
        <x:v>nominal_vdd</x:v>
      </x:c>
      <x:c r="L381" t="str">
        <x:v>model_nominal_vdd</x:v>
      </x:c>
      <x:c r="M381" t="n">
        <x:v>1</x:v>
      </x:c>
      <x:c r="N381" t="str">
        <x:v>simulation</x:v>
      </x:c>
      <x:c r="O381" t="str">
        <x:v>ngspice</x:v>
      </x:c>
      <x:c r="P381" t="str">
        <x:v>c9ed2e513523c57a76912a35b2860cb85e4aaa3402b69757d84efa9cc2fb8410</x:v>
      </x:c>
      <x:c r="Q381" t="str">
        <x:v>data/raw/ptm45_hp_vds_1v_raw.txt</x:v>
      </x:c>
    </x:row>
    <x:row r="382">
      <x:c r="A382" t="str">
        <x:v>PTM</x:v>
      </x:c>
      <x:c r="B382" t="str">
        <x:v>NMOS</x:v>
      </x:c>
      <x:c r="C382" s="97" t="n">
        <x:v>45</x:v>
      </x:c>
      <x:c r="D382" s="97" t="str">
        <x:v>HP</x:v>
      </x:c>
      <x:c r="E382" s="99" t="n">
        <x:v>1</x:v>
      </x:c>
      <x:c r="F382" s="99" t="n">
        <x:v>0.045</x:v>
      </x:c>
      <x:c r="G382" s="99" t="n">
        <x:v>25</x:v>
      </x:c>
      <x:c r="H382" s="99" t="n">
        <x:v>1</x:v>
      </x:c>
      <x:c r="I382" s="99" t="n">
        <x:v>0.4950000000000004</x:v>
      </x:c>
      <x:c r="J382" s="98" t="n">
        <x:v>0.000282257993365207</x:v>
      </x:c>
      <x:c r="K382" t="str">
        <x:v>nominal_vdd</x:v>
      </x:c>
      <x:c r="L382" t="str">
        <x:v>model_nominal_vdd</x:v>
      </x:c>
      <x:c r="M382" t="n">
        <x:v>1</x:v>
      </x:c>
      <x:c r="N382" t="str">
        <x:v>simulation</x:v>
      </x:c>
      <x:c r="O382" t="str">
        <x:v>ngspice</x:v>
      </x:c>
      <x:c r="P382" t="str">
        <x:v>c9ed2e513523c57a76912a35b2860cb85e4aaa3402b69757d84efa9cc2fb8410</x:v>
      </x:c>
      <x:c r="Q382" t="str">
        <x:v>data/raw/ptm45_hp_vds_1v_raw.txt</x:v>
      </x:c>
    </x:row>
    <x:row r="383">
      <x:c r="A383" t="str">
        <x:v>PTM</x:v>
      </x:c>
      <x:c r="B383" t="str">
        <x:v>NMOS</x:v>
      </x:c>
      <x:c r="C383" s="97" t="n">
        <x:v>45</x:v>
      </x:c>
      <x:c r="D383" s="97" t="str">
        <x:v>HP</x:v>
      </x:c>
      <x:c r="E383" s="99" t="n">
        <x:v>1</x:v>
      </x:c>
      <x:c r="F383" s="99" t="n">
        <x:v>0.045</x:v>
      </x:c>
      <x:c r="G383" s="99" t="n">
        <x:v>25</x:v>
      </x:c>
      <x:c r="H383" s="99" t="n">
        <x:v>1</x:v>
      </x:c>
      <x:c r="I383" s="99" t="n">
        <x:v>0.5000000000000004</x:v>
      </x:c>
      <x:c r="J383" s="98" t="n">
        <x:v>0.0002921369446236649</x:v>
      </x:c>
      <x:c r="K383" t="str">
        <x:v>nominal_vdd</x:v>
      </x:c>
      <x:c r="L383" t="str">
        <x:v>model_nominal_vdd</x:v>
      </x:c>
      <x:c r="M383" t="n">
        <x:v>1</x:v>
      </x:c>
      <x:c r="N383" t="str">
        <x:v>simulation</x:v>
      </x:c>
      <x:c r="O383" t="str">
        <x:v>ngspice</x:v>
      </x:c>
      <x:c r="P383" t="str">
        <x:v>c9ed2e513523c57a76912a35b2860cb85e4aaa3402b69757d84efa9cc2fb8410</x:v>
      </x:c>
      <x:c r="Q383" t="str">
        <x:v>data/raw/ptm45_hp_vds_1v_raw.txt</x:v>
      </x:c>
    </x:row>
    <x:row r="384">
      <x:c r="A384" t="str">
        <x:v>PTM</x:v>
      </x:c>
      <x:c r="B384" t="str">
        <x:v>NMOS</x:v>
      </x:c>
      <x:c r="C384" s="97" t="n">
        <x:v>45</x:v>
      </x:c>
      <x:c r="D384" s="97" t="str">
        <x:v>HP</x:v>
      </x:c>
      <x:c r="E384" s="99" t="n">
        <x:v>1</x:v>
      </x:c>
      <x:c r="F384" s="99" t="n">
        <x:v>0.045</x:v>
      </x:c>
      <x:c r="G384" s="99" t="n">
        <x:v>25</x:v>
      </x:c>
      <x:c r="H384" s="99" t="n">
        <x:v>1</x:v>
      </x:c>
      <x:c r="I384" s="99" t="n">
        <x:v>0.5050000000000004</x:v>
      </x:c>
      <x:c r="J384" s="98" t="n">
        <x:v>0.0003020887112043234</x:v>
      </x:c>
      <x:c r="K384" t="str">
        <x:v>nominal_vdd</x:v>
      </x:c>
      <x:c r="L384" t="str">
        <x:v>model_nominal_vdd</x:v>
      </x:c>
      <x:c r="M384" t="n">
        <x:v>1</x:v>
      </x:c>
      <x:c r="N384" t="str">
        <x:v>simulation</x:v>
      </x:c>
      <x:c r="O384" t="str">
        <x:v>ngspice</x:v>
      </x:c>
      <x:c r="P384" t="str">
        <x:v>c9ed2e513523c57a76912a35b2860cb85e4aaa3402b69757d84efa9cc2fb8410</x:v>
      </x:c>
      <x:c r="Q384" t="str">
        <x:v>data/raw/ptm45_hp_vds_1v_raw.txt</x:v>
      </x:c>
    </x:row>
    <x:row r="385">
      <x:c r="A385" t="str">
        <x:v>PTM</x:v>
      </x:c>
      <x:c r="B385" t="str">
        <x:v>NMOS</x:v>
      </x:c>
      <x:c r="C385" s="97" t="n">
        <x:v>45</x:v>
      </x:c>
      <x:c r="D385" s="97" t="str">
        <x:v>HP</x:v>
      </x:c>
      <x:c r="E385" s="99" t="n">
        <x:v>1</x:v>
      </x:c>
      <x:c r="F385" s="99" t="n">
        <x:v>0.045</x:v>
      </x:c>
      <x:c r="G385" s="99" t="n">
        <x:v>25</x:v>
      </x:c>
      <x:c r="H385" s="99" t="n">
        <x:v>1</x:v>
      </x:c>
      <x:c r="I385" s="99" t="n">
        <x:v>0.5100000000000005</x:v>
      </x:c>
      <x:c r="J385" s="98" t="n">
        <x:v>0.0003121076710163066</x:v>
      </x:c>
      <x:c r="K385" t="str">
        <x:v>nominal_vdd</x:v>
      </x:c>
      <x:c r="L385" t="str">
        <x:v>model_nominal_vdd</x:v>
      </x:c>
      <x:c r="M385" t="n">
        <x:v>1</x:v>
      </x:c>
      <x:c r="N385" t="str">
        <x:v>simulation</x:v>
      </x:c>
      <x:c r="O385" t="str">
        <x:v>ngspice</x:v>
      </x:c>
      <x:c r="P385" t="str">
        <x:v>c9ed2e513523c57a76912a35b2860cb85e4aaa3402b69757d84efa9cc2fb8410</x:v>
      </x:c>
      <x:c r="Q385" t="str">
        <x:v>data/raw/ptm45_hp_vds_1v_raw.txt</x:v>
      </x:c>
    </x:row>
    <x:row r="386">
      <x:c r="A386" t="str">
        <x:v>PTM</x:v>
      </x:c>
      <x:c r="B386" t="str">
        <x:v>NMOS</x:v>
      </x:c>
      <x:c r="C386" s="97" t="n">
        <x:v>45</x:v>
      </x:c>
      <x:c r="D386" s="97" t="str">
        <x:v>HP</x:v>
      </x:c>
      <x:c r="E386" s="99" t="n">
        <x:v>1</x:v>
      </x:c>
      <x:c r="F386" s="99" t="n">
        <x:v>0.045</x:v>
      </x:c>
      <x:c r="G386" s="99" t="n">
        <x:v>25</x:v>
      </x:c>
      <x:c r="H386" s="99" t="n">
        <x:v>1</x:v>
      </x:c>
      <x:c r="I386" s="99" t="n">
        <x:v>0.5150000000000005</x:v>
      </x:c>
      <x:c r="J386" s="98" t="n">
        <x:v>0.000322188506029428</x:v>
      </x:c>
      <x:c r="K386" t="str">
        <x:v>nominal_vdd</x:v>
      </x:c>
      <x:c r="L386" t="str">
        <x:v>model_nominal_vdd</x:v>
      </x:c>
      <x:c r="M386" t="n">
        <x:v>1</x:v>
      </x:c>
      <x:c r="N386" t="str">
        <x:v>simulation</x:v>
      </x:c>
      <x:c r="O386" t="str">
        <x:v>ngspice</x:v>
      </x:c>
      <x:c r="P386" t="str">
        <x:v>c9ed2e513523c57a76912a35b2860cb85e4aaa3402b69757d84efa9cc2fb8410</x:v>
      </x:c>
      <x:c r="Q386" t="str">
        <x:v>data/raw/ptm45_hp_vds_1v_raw.txt</x:v>
      </x:c>
    </x:row>
    <x:row r="387">
      <x:c r="A387" t="str">
        <x:v>PTM</x:v>
      </x:c>
      <x:c r="B387" t="str">
        <x:v>NMOS</x:v>
      </x:c>
      <x:c r="C387" s="97" t="n">
        <x:v>45</x:v>
      </x:c>
      <x:c r="D387" s="97" t="str">
        <x:v>HP</x:v>
      </x:c>
      <x:c r="E387" s="99" t="n">
        <x:v>1</x:v>
      </x:c>
      <x:c r="F387" s="99" t="n">
        <x:v>0.045</x:v>
      </x:c>
      <x:c r="G387" s="99" t="n">
        <x:v>25</x:v>
      </x:c>
      <x:c r="H387" s="99" t="n">
        <x:v>1</x:v>
      </x:c>
      <x:c r="I387" s="99" t="n">
        <x:v>0.5200000000000005</x:v>
      </x:c>
      <x:c r="J387" s="98" t="n">
        <x:v>0.000332326198232497</x:v>
      </x:c>
      <x:c r="K387" t="str">
        <x:v>nominal_vdd</x:v>
      </x:c>
      <x:c r="L387" t="str">
        <x:v>model_nominal_vdd</x:v>
      </x:c>
      <x:c r="M387" t="n">
        <x:v>1</x:v>
      </x:c>
      <x:c r="N387" t="str">
        <x:v>simulation</x:v>
      </x:c>
      <x:c r="O387" t="str">
        <x:v>ngspice</x:v>
      </x:c>
      <x:c r="P387" t="str">
        <x:v>c9ed2e513523c57a76912a35b2860cb85e4aaa3402b69757d84efa9cc2fb8410</x:v>
      </x:c>
      <x:c r="Q387" t="str">
        <x:v>data/raw/ptm45_hp_vds_1v_raw.txt</x:v>
      </x:c>
    </x:row>
    <x:row r="388">
      <x:c r="A388" t="str">
        <x:v>PTM</x:v>
      </x:c>
      <x:c r="B388" t="str">
        <x:v>NMOS</x:v>
      </x:c>
      <x:c r="C388" s="97" t="n">
        <x:v>45</x:v>
      </x:c>
      <x:c r="D388" s="97" t="str">
        <x:v>HP</x:v>
      </x:c>
      <x:c r="E388" s="99" t="n">
        <x:v>1</x:v>
      </x:c>
      <x:c r="F388" s="99" t="n">
        <x:v>0.045</x:v>
      </x:c>
      <x:c r="G388" s="99" t="n">
        <x:v>25</x:v>
      </x:c>
      <x:c r="H388" s="99" t="n">
        <x:v>1</x:v>
      </x:c>
      <x:c r="I388" s="99" t="n">
        <x:v>0.5250000000000005</x:v>
      </x:c>
      <x:c r="J388" s="98" t="n">
        <x:v>0.0003425160237474248</x:v>
      </x:c>
      <x:c r="K388" t="str">
        <x:v>nominal_vdd</x:v>
      </x:c>
      <x:c r="L388" t="str">
        <x:v>model_nominal_vdd</x:v>
      </x:c>
      <x:c r="M388" t="n">
        <x:v>1</x:v>
      </x:c>
      <x:c r="N388" t="str">
        <x:v>simulation</x:v>
      </x:c>
      <x:c r="O388" t="str">
        <x:v>ngspice</x:v>
      </x:c>
      <x:c r="P388" t="str">
        <x:v>c9ed2e513523c57a76912a35b2860cb85e4aaa3402b69757d84efa9cc2fb8410</x:v>
      </x:c>
      <x:c r="Q388" t="str">
        <x:v>data/raw/ptm45_hp_vds_1v_raw.txt</x:v>
      </x:c>
    </x:row>
    <x:row r="389">
      <x:c r="A389" t="str">
        <x:v>PTM</x:v>
      </x:c>
      <x:c r="B389" t="str">
        <x:v>NMOS</x:v>
      </x:c>
      <x:c r="C389" s="97" t="n">
        <x:v>45</x:v>
      </x:c>
      <x:c r="D389" s="97" t="str">
        <x:v>HP</x:v>
      </x:c>
      <x:c r="E389" s="99" t="n">
        <x:v>1</x:v>
      </x:c>
      <x:c r="F389" s="99" t="n">
        <x:v>0.045</x:v>
      </x:c>
      <x:c r="G389" s="99" t="n">
        <x:v>25</x:v>
      </x:c>
      <x:c r="H389" s="99" t="n">
        <x:v>1</x:v>
      </x:c>
      <x:c r="I389" s="99" t="n">
        <x:v>0.5300000000000005</x:v>
      </x:c>
      <x:c r="J389" s="98" t="n">
        <x:v>0.0003527535454156162</x:v>
      </x:c>
      <x:c r="K389" t="str">
        <x:v>nominal_vdd</x:v>
      </x:c>
      <x:c r="L389" t="str">
        <x:v>model_nominal_vdd</x:v>
      </x:c>
      <x:c r="M389" t="n">
        <x:v>1</x:v>
      </x:c>
      <x:c r="N389" t="str">
        <x:v>simulation</x:v>
      </x:c>
      <x:c r="O389" t="str">
        <x:v>ngspice</x:v>
      </x:c>
      <x:c r="P389" t="str">
        <x:v>c9ed2e513523c57a76912a35b2860cb85e4aaa3402b69757d84efa9cc2fb8410</x:v>
      </x:c>
      <x:c r="Q389" t="str">
        <x:v>data/raw/ptm45_hp_vds_1v_raw.txt</x:v>
      </x:c>
    </x:row>
    <x:row r="390">
      <x:c r="A390" t="str">
        <x:v>PTM</x:v>
      </x:c>
      <x:c r="B390" t="str">
        <x:v>NMOS</x:v>
      </x:c>
      <x:c r="C390" s="97" t="n">
        <x:v>45</x:v>
      </x:c>
      <x:c r="D390" s="97" t="str">
        <x:v>HP</x:v>
      </x:c>
      <x:c r="E390" s="99" t="n">
        <x:v>1</x:v>
      </x:c>
      <x:c r="F390" s="99" t="n">
        <x:v>0.045</x:v>
      </x:c>
      <x:c r="G390" s="99" t="n">
        <x:v>25</x:v>
      </x:c>
      <x:c r="H390" s="99" t="n">
        <x:v>1</x:v>
      </x:c>
      <x:c r="I390" s="99" t="n">
        <x:v>0.5350000000000005</x:v>
      </x:c>
      <x:c r="J390" s="98" t="n">
        <x:v>0.0003630346041452576</x:v>
      </x:c>
      <x:c r="K390" t="str">
        <x:v>nominal_vdd</x:v>
      </x:c>
      <x:c r="L390" t="str">
        <x:v>model_nominal_vdd</x:v>
      </x:c>
      <x:c r="M390" t="n">
        <x:v>1</x:v>
      </x:c>
      <x:c r="N390" t="str">
        <x:v>simulation</x:v>
      </x:c>
      <x:c r="O390" t="str">
        <x:v>ngspice</x:v>
      </x:c>
      <x:c r="P390" t="str">
        <x:v>c9ed2e513523c57a76912a35b2860cb85e4aaa3402b69757d84efa9cc2fb8410</x:v>
      </x:c>
      <x:c r="Q390" t="str">
        <x:v>data/raw/ptm45_hp_vds_1v_raw.txt</x:v>
      </x:c>
    </x:row>
    <x:row r="391">
      <x:c r="A391" t="str">
        <x:v>PTM</x:v>
      </x:c>
      <x:c r="B391" t="str">
        <x:v>NMOS</x:v>
      </x:c>
      <x:c r="C391" s="97" t="n">
        <x:v>45</x:v>
      </x:c>
      <x:c r="D391" s="97" t="str">
        <x:v>HP</x:v>
      </x:c>
      <x:c r="E391" s="99" t="n">
        <x:v>1</x:v>
      </x:c>
      <x:c r="F391" s="99" t="n">
        <x:v>0.045</x:v>
      </x:c>
      <x:c r="G391" s="99" t="n">
        <x:v>25</x:v>
      </x:c>
      <x:c r="H391" s="99" t="n">
        <x:v>1</x:v>
      </x:c>
      <x:c r="I391" s="99" t="n">
        <x:v>0.5400000000000005</x:v>
      </x:c>
      <x:c r="J391" s="98" t="n">
        <x:v>0.0003733553092797296</x:v>
      </x:c>
      <x:c r="K391" t="str">
        <x:v>nominal_vdd</x:v>
      </x:c>
      <x:c r="L391" t="str">
        <x:v>model_nominal_vdd</x:v>
      </x:c>
      <x:c r="M391" t="n">
        <x:v>1</x:v>
      </x:c>
      <x:c r="N391" t="str">
        <x:v>simulation</x:v>
      </x:c>
      <x:c r="O391" t="str">
        <x:v>ngspice</x:v>
      </x:c>
      <x:c r="P391" t="str">
        <x:v>c9ed2e513523c57a76912a35b2860cb85e4aaa3402b69757d84efa9cc2fb8410</x:v>
      </x:c>
      <x:c r="Q391" t="str">
        <x:v>data/raw/ptm45_hp_vds_1v_raw.txt</x:v>
      </x:c>
    </x:row>
    <x:row r="392">
      <x:c r="A392" t="str">
        <x:v>PTM</x:v>
      </x:c>
      <x:c r="B392" t="str">
        <x:v>NMOS</x:v>
      </x:c>
      <x:c r="C392" s="97" t="n">
        <x:v>45</x:v>
      </x:c>
      <x:c r="D392" s="97" t="str">
        <x:v>HP</x:v>
      </x:c>
      <x:c r="E392" s="99" t="n">
        <x:v>1</x:v>
      </x:c>
      <x:c r="F392" s="99" t="n">
        <x:v>0.045</x:v>
      </x:c>
      <x:c r="G392" s="99" t="n">
        <x:v>25</x:v>
      </x:c>
      <x:c r="H392" s="99" t="n">
        <x:v>1</x:v>
      </x:c>
      <x:c r="I392" s="99" t="n">
        <x:v>0.5450000000000005</x:v>
      </x:c>
      <x:c r="J392" s="98" t="n">
        <x:v>0.0003837120282195365</x:v>
      </x:c>
      <x:c r="K392" t="str">
        <x:v>nominal_vdd</x:v>
      </x:c>
      <x:c r="L392" t="str">
        <x:v>model_nominal_vdd</x:v>
      </x:c>
      <x:c r="M392" t="n">
        <x:v>1</x:v>
      </x:c>
      <x:c r="N392" t="str">
        <x:v>simulation</x:v>
      </x:c>
      <x:c r="O392" t="str">
        <x:v>ngspice</x:v>
      </x:c>
      <x:c r="P392" t="str">
        <x:v>c9ed2e513523c57a76912a35b2860cb85e4aaa3402b69757d84efa9cc2fb8410</x:v>
      </x:c>
      <x:c r="Q392" t="str">
        <x:v>data/raw/ptm45_hp_vds_1v_raw.txt</x:v>
      </x:c>
    </x:row>
    <x:row r="393">
      <x:c r="A393" t="str">
        <x:v>PTM</x:v>
      </x:c>
      <x:c r="B393" t="str">
        <x:v>NMOS</x:v>
      </x:c>
      <x:c r="C393" s="97" t="n">
        <x:v>45</x:v>
      </x:c>
      <x:c r="D393" s="97" t="str">
        <x:v>HP</x:v>
      </x:c>
      <x:c r="E393" s="99" t="n">
        <x:v>1</x:v>
      </x:c>
      <x:c r="F393" s="99" t="n">
        <x:v>0.045</x:v>
      </x:c>
      <x:c r="G393" s="99" t="n">
        <x:v>25</x:v>
      </x:c>
      <x:c r="H393" s="99" t="n">
        <x:v>1</x:v>
      </x:c>
      <x:c r="I393" s="99" t="n">
        <x:v>0.5500000000000005</x:v>
      </x:c>
      <x:c r="J393" s="98" t="n">
        <x:v>0.00039410137550343</x:v>
      </x:c>
      <x:c r="K393" t="str">
        <x:v>nominal_vdd</x:v>
      </x:c>
      <x:c r="L393" t="str">
        <x:v>model_nominal_vdd</x:v>
      </x:c>
      <x:c r="M393" t="n">
        <x:v>1</x:v>
      </x:c>
      <x:c r="N393" t="str">
        <x:v>simulation</x:v>
      </x:c>
      <x:c r="O393" t="str">
        <x:v>ngspice</x:v>
      </x:c>
      <x:c r="P393" t="str">
        <x:v>c9ed2e513523c57a76912a35b2860cb85e4aaa3402b69757d84efa9cc2fb8410</x:v>
      </x:c>
      <x:c r="Q393" t="str">
        <x:v>data/raw/ptm45_hp_vds_1v_raw.txt</x:v>
      </x:c>
    </x:row>
    <x:row r="394">
      <x:c r="A394" t="str">
        <x:v>PTM</x:v>
      </x:c>
      <x:c r="B394" t="str">
        <x:v>NMOS</x:v>
      </x:c>
      <x:c r="C394" s="97" t="n">
        <x:v>45</x:v>
      </x:c>
      <x:c r="D394" s="97" t="str">
        <x:v>HP</x:v>
      </x:c>
      <x:c r="E394" s="99" t="n">
        <x:v>1</x:v>
      </x:c>
      <x:c r="F394" s="99" t="n">
        <x:v>0.045</x:v>
      </x:c>
      <x:c r="G394" s="99" t="n">
        <x:v>25</x:v>
      </x:c>
      <x:c r="H394" s="99" t="n">
        <x:v>1</x:v>
      </x:c>
      <x:c r="I394" s="99" t="n">
        <x:v>0.5550000000000005</x:v>
      </x:c>
      <x:c r="J394" s="98" t="n">
        <x:v>0.0004045202015287588</x:v>
      </x:c>
      <x:c r="K394" t="str">
        <x:v>nominal_vdd</x:v>
      </x:c>
      <x:c r="L394" t="str">
        <x:v>model_nominal_vdd</x:v>
      </x:c>
      <x:c r="M394" t="n">
        <x:v>1</x:v>
      </x:c>
      <x:c r="N394" t="str">
        <x:v>simulation</x:v>
      </x:c>
      <x:c r="O394" t="str">
        <x:v>ngspice</x:v>
      </x:c>
      <x:c r="P394" t="str">
        <x:v>c9ed2e513523c57a76912a35b2860cb85e4aaa3402b69757d84efa9cc2fb8410</x:v>
      </x:c>
      <x:c r="Q394" t="str">
        <x:v>data/raw/ptm45_hp_vds_1v_raw.txt</x:v>
      </x:c>
    </x:row>
    <x:row r="395">
      <x:c r="A395" t="str">
        <x:v>PTM</x:v>
      </x:c>
      <x:c r="B395" t="str">
        <x:v>NMOS</x:v>
      </x:c>
      <x:c r="C395" s="97" t="n">
        <x:v>45</x:v>
      </x:c>
      <x:c r="D395" s="97" t="str">
        <x:v>HP</x:v>
      </x:c>
      <x:c r="E395" s="99" t="n">
        <x:v>1</x:v>
      </x:c>
      <x:c r="F395" s="99" t="n">
        <x:v>0.045</x:v>
      </x:c>
      <x:c r="G395" s="99" t="n">
        <x:v>25</x:v>
      </x:c>
      <x:c r="H395" s="99" t="n">
        <x:v>1</x:v>
      </x:c>
      <x:c r="I395" s="99" t="n">
        <x:v>0.5600000000000005</x:v>
      </x:c>
      <x:c r="J395" s="98" t="n">
        <x:v>0.0004149655810673574</x:v>
      </x:c>
      <x:c r="K395" t="str">
        <x:v>nominal_vdd</x:v>
      </x:c>
      <x:c r="L395" t="str">
        <x:v>model_nominal_vdd</x:v>
      </x:c>
      <x:c r="M395" t="n">
        <x:v>1</x:v>
      </x:c>
      <x:c r="N395" t="str">
        <x:v>simulation</x:v>
      </x:c>
      <x:c r="O395" t="str">
        <x:v>ngspice</x:v>
      </x:c>
      <x:c r="P395" t="str">
        <x:v>c9ed2e513523c57a76912a35b2860cb85e4aaa3402b69757d84efa9cc2fb8410</x:v>
      </x:c>
      <x:c r="Q395" t="str">
        <x:v>data/raw/ptm45_hp_vds_1v_raw.txt</x:v>
      </x:c>
    </x:row>
    <x:row r="396">
      <x:c r="A396" t="str">
        <x:v>PTM</x:v>
      </x:c>
      <x:c r="B396" t="str">
        <x:v>NMOS</x:v>
      </x:c>
      <x:c r="C396" s="97" t="n">
        <x:v>45</x:v>
      </x:c>
      <x:c r="D396" s="97" t="str">
        <x:v>HP</x:v>
      </x:c>
      <x:c r="E396" s="99" t="n">
        <x:v>1</x:v>
      </x:c>
      <x:c r="F396" s="99" t="n">
        <x:v>0.045</x:v>
      </x:c>
      <x:c r="G396" s="99" t="n">
        <x:v>25</x:v>
      </x:c>
      <x:c r="H396" s="99" t="n">
        <x:v>1</x:v>
      </x:c>
      <x:c r="I396" s="99" t="n">
        <x:v>0.5650000000000005</x:v>
      </x:c>
      <x:c r="J396" s="98" t="n">
        <x:v>0.0004254348017110086</x:v>
      </x:c>
      <x:c r="K396" t="str">
        <x:v>nominal_vdd</x:v>
      </x:c>
      <x:c r="L396" t="str">
        <x:v>model_nominal_vdd</x:v>
      </x:c>
      <x:c r="M396" t="n">
        <x:v>1</x:v>
      </x:c>
      <x:c r="N396" t="str">
        <x:v>simulation</x:v>
      </x:c>
      <x:c r="O396" t="str">
        <x:v>ngspice</x:v>
      </x:c>
      <x:c r="P396" t="str">
        <x:v>c9ed2e513523c57a76912a35b2860cb85e4aaa3402b69757d84efa9cc2fb8410</x:v>
      </x:c>
      <x:c r="Q396" t="str">
        <x:v>data/raw/ptm45_hp_vds_1v_raw.txt</x:v>
      </x:c>
    </x:row>
    <x:row r="397">
      <x:c r="A397" t="str">
        <x:v>PTM</x:v>
      </x:c>
      <x:c r="B397" t="str">
        <x:v>NMOS</x:v>
      </x:c>
      <x:c r="C397" s="97" t="n">
        <x:v>45</x:v>
      </x:c>
      <x:c r="D397" s="97" t="str">
        <x:v>HP</x:v>
      </x:c>
      <x:c r="E397" s="99" t="n">
        <x:v>1</x:v>
      </x:c>
      <x:c r="F397" s="99" t="n">
        <x:v>0.045</x:v>
      </x:c>
      <x:c r="G397" s="99" t="n">
        <x:v>25</x:v>
      </x:c>
      <x:c r="H397" s="99" t="n">
        <x:v>1</x:v>
      </x:c>
      <x:c r="I397" s="99" t="n">
        <x:v>0.5700000000000005</x:v>
      </x:c>
      <x:c r="J397" s="98" t="n">
        <x:v>0.0004359253523603361</x:v>
      </x:c>
      <x:c r="K397" t="str">
        <x:v>nominal_vdd</x:v>
      </x:c>
      <x:c r="L397" t="str">
        <x:v>model_nominal_vdd</x:v>
      </x:c>
      <x:c r="M397" t="n">
        <x:v>1</x:v>
      </x:c>
      <x:c r="N397" t="str">
        <x:v>simulation</x:v>
      </x:c>
      <x:c r="O397" t="str">
        <x:v>ngspice</x:v>
      </x:c>
      <x:c r="P397" t="str">
        <x:v>c9ed2e513523c57a76912a35b2860cb85e4aaa3402b69757d84efa9cc2fb8410</x:v>
      </x:c>
      <x:c r="Q397" t="str">
        <x:v>data/raw/ptm45_hp_vds_1v_raw.txt</x:v>
      </x:c>
    </x:row>
    <x:row r="398">
      <x:c r="A398" t="str">
        <x:v>PTM</x:v>
      </x:c>
      <x:c r="B398" t="str">
        <x:v>NMOS</x:v>
      </x:c>
      <x:c r="C398" s="97" t="n">
        <x:v>45</x:v>
      </x:c>
      <x:c r="D398" s="97" t="str">
        <x:v>HP</x:v>
      </x:c>
      <x:c r="E398" s="99" t="n">
        <x:v>1</x:v>
      </x:c>
      <x:c r="F398" s="99" t="n">
        <x:v>0.045</x:v>
      </x:c>
      <x:c r="G398" s="99" t="n">
        <x:v>25</x:v>
      </x:c>
      <x:c r="H398" s="99" t="n">
        <x:v>1</x:v>
      </x:c>
      <x:c r="I398" s="99" t="n">
        <x:v>0.5750000000000005</x:v>
      </x:c>
      <x:c r="J398" s="98" t="n">
        <x:v>0.0004464349118524752</x:v>
      </x:c>
      <x:c r="K398" t="str">
        <x:v>nominal_vdd</x:v>
      </x:c>
      <x:c r="L398" t="str">
        <x:v>model_nominal_vdd</x:v>
      </x:c>
      <x:c r="M398" t="n">
        <x:v>1</x:v>
      </x:c>
      <x:c r="N398" t="str">
        <x:v>simulation</x:v>
      </x:c>
      <x:c r="O398" t="str">
        <x:v>ngspice</x:v>
      </x:c>
      <x:c r="P398" t="str">
        <x:v>c9ed2e513523c57a76912a35b2860cb85e4aaa3402b69757d84efa9cc2fb8410</x:v>
      </x:c>
      <x:c r="Q398" t="str">
        <x:v>data/raw/ptm45_hp_vds_1v_raw.txt</x:v>
      </x:c>
    </x:row>
    <x:row r="399">
      <x:c r="A399" t="str">
        <x:v>PTM</x:v>
      </x:c>
      <x:c r="B399" t="str">
        <x:v>NMOS</x:v>
      </x:c>
      <x:c r="C399" s="97" t="n">
        <x:v>45</x:v>
      </x:c>
      <x:c r="D399" s="97" t="str">
        <x:v>HP</x:v>
      </x:c>
      <x:c r="E399" s="99" t="n">
        <x:v>1</x:v>
      </x:c>
      <x:c r="F399" s="99" t="n">
        <x:v>0.045</x:v>
      </x:c>
      <x:c r="G399" s="99" t="n">
        <x:v>25</x:v>
      </x:c>
      <x:c r="H399" s="99" t="n">
        <x:v>1</x:v>
      </x:c>
      <x:c r="I399" s="99" t="n">
        <x:v>0.5800000000000005</x:v>
      </x:c>
      <x:c r="J399" s="98" t="n">
        <x:v>0.0004569613378062866</x:v>
      </x:c>
      <x:c r="K399" t="str">
        <x:v>nominal_vdd</x:v>
      </x:c>
      <x:c r="L399" t="str">
        <x:v>model_nominal_vdd</x:v>
      </x:c>
      <x:c r="M399" t="n">
        <x:v>1</x:v>
      </x:c>
      <x:c r="N399" t="str">
        <x:v>simulation</x:v>
      </x:c>
      <x:c r="O399" t="str">
        <x:v>ngspice</x:v>
      </x:c>
      <x:c r="P399" t="str">
        <x:v>c9ed2e513523c57a76912a35b2860cb85e4aaa3402b69757d84efa9cc2fb8410</x:v>
      </x:c>
      <x:c r="Q399" t="str">
        <x:v>data/raw/ptm45_hp_vds_1v_raw.txt</x:v>
      </x:c>
    </x:row>
    <x:row r="400">
      <x:c r="A400" t="str">
        <x:v>PTM</x:v>
      </x:c>
      <x:c r="B400" t="str">
        <x:v>NMOS</x:v>
      </x:c>
      <x:c r="C400" s="97" t="n">
        <x:v>45</x:v>
      </x:c>
      <x:c r="D400" s="97" t="str">
        <x:v>HP</x:v>
      </x:c>
      <x:c r="E400" s="99" t="n">
        <x:v>1</x:v>
      </x:c>
      <x:c r="F400" s="99" t="n">
        <x:v>0.045</x:v>
      </x:c>
      <x:c r="G400" s="99" t="n">
        <x:v>25</x:v>
      </x:c>
      <x:c r="H400" s="99" t="n">
        <x:v>1</x:v>
      </x:c>
      <x:c r="I400" s="99" t="n">
        <x:v>0.5850000000000005</x:v>
      </x:c>
      <x:c r="J400" s="98" t="n">
        <x:v>0.000467502655749148</x:v>
      </x:c>
      <x:c r="K400" t="str">
        <x:v>nominal_vdd</x:v>
      </x:c>
      <x:c r="L400" t="str">
        <x:v>model_nominal_vdd</x:v>
      </x:c>
      <x:c r="M400" t="n">
        <x:v>1</x:v>
      </x:c>
      <x:c r="N400" t="str">
        <x:v>simulation</x:v>
      </x:c>
      <x:c r="O400" t="str">
        <x:v>ngspice</x:v>
      </x:c>
      <x:c r="P400" t="str">
        <x:v>c9ed2e513523c57a76912a35b2860cb85e4aaa3402b69757d84efa9cc2fb8410</x:v>
      </x:c>
      <x:c r="Q400" t="str">
        <x:v>data/raw/ptm45_hp_vds_1v_raw.txt</x:v>
      </x:c>
    </x:row>
    <x:row r="401">
      <x:c r="A401" t="str">
        <x:v>PTM</x:v>
      </x:c>
      <x:c r="B401" t="str">
        <x:v>NMOS</x:v>
      </x:c>
      <x:c r="C401" s="97" t="n">
        <x:v>45</x:v>
      </x:c>
      <x:c r="D401" s="97" t="str">
        <x:v>HP</x:v>
      </x:c>
      <x:c r="E401" s="99" t="n">
        <x:v>1</x:v>
      </x:c>
      <x:c r="F401" s="99" t="n">
        <x:v>0.045</x:v>
      </x:c>
      <x:c r="G401" s="99" t="n">
        <x:v>25</x:v>
      </x:c>
      <x:c r="H401" s="99" t="n">
        <x:v>1</x:v>
      </x:c>
      <x:c r="I401" s="99" t="n">
        <x:v>0.5900000000000005</x:v>
      </x:c>
      <x:c r="J401" s="98" t="n">
        <x:v>0.0004780570485761054</x:v>
      </x:c>
      <x:c r="K401" t="str">
        <x:v>nominal_vdd</x:v>
      </x:c>
      <x:c r="L401" t="str">
        <x:v>model_nominal_vdd</x:v>
      </x:c>
      <x:c r="M401" t="n">
        <x:v>1</x:v>
      </x:c>
      <x:c r="N401" t="str">
        <x:v>simulation</x:v>
      </x:c>
      <x:c r="O401" t="str">
        <x:v>ngspice</x:v>
      </x:c>
      <x:c r="P401" t="str">
        <x:v>c9ed2e513523c57a76912a35b2860cb85e4aaa3402b69757d84efa9cc2fb8410</x:v>
      </x:c>
      <x:c r="Q401" t="str">
        <x:v>data/raw/ptm45_hp_vds_1v_raw.txt</x:v>
      </x:c>
    </x:row>
    <x:row r="402">
      <x:c r="A402" t="str">
        <x:v>PTM</x:v>
      </x:c>
      <x:c r="B402" t="str">
        <x:v>NMOS</x:v>
      </x:c>
      <x:c r="C402" s="97" t="n">
        <x:v>45</x:v>
      </x:c>
      <x:c r="D402" s="97" t="str">
        <x:v>HP</x:v>
      </x:c>
      <x:c r="E402" s="99" t="n">
        <x:v>1</x:v>
      </x:c>
      <x:c r="F402" s="99" t="n">
        <x:v>0.045</x:v>
      </x:c>
      <x:c r="G402" s="99" t="n">
        <x:v>25</x:v>
      </x:c>
      <x:c r="H402" s="99" t="n">
        <x:v>1</x:v>
      </x:c>
      <x:c r="I402" s="99" t="n">
        <x:v>0.5950000000000005</x:v>
      </x:c>
      <x:c r="J402" s="98" t="n">
        <x:v>0.0004886228463807734</x:v>
      </x:c>
      <x:c r="K402" t="str">
        <x:v>nominal_vdd</x:v>
      </x:c>
      <x:c r="L402" t="str">
        <x:v>model_nominal_vdd</x:v>
      </x:c>
      <x:c r="M402" t="n">
        <x:v>1</x:v>
      </x:c>
      <x:c r="N402" t="str">
        <x:v>simulation</x:v>
      </x:c>
      <x:c r="O402" t="str">
        <x:v>ngspice</x:v>
      </x:c>
      <x:c r="P402" t="str">
        <x:v>c9ed2e513523c57a76912a35b2860cb85e4aaa3402b69757d84efa9cc2fb8410</x:v>
      </x:c>
      <x:c r="Q402" t="str">
        <x:v>data/raw/ptm45_hp_vds_1v_raw.txt</x:v>
      </x:c>
    </x:row>
    <x:row r="403">
      <x:c r="A403" t="str">
        <x:v>PTM</x:v>
      </x:c>
      <x:c r="B403" t="str">
        <x:v>NMOS</x:v>
      </x:c>
      <x:c r="C403" s="97" t="n">
        <x:v>45</x:v>
      </x:c>
      <x:c r="D403" s="97" t="str">
        <x:v>HP</x:v>
      </x:c>
      <x:c r="E403" s="99" t="n">
        <x:v>1</x:v>
      </x:c>
      <x:c r="F403" s="99" t="n">
        <x:v>0.045</x:v>
      </x:c>
      <x:c r="G403" s="99" t="n">
        <x:v>25</x:v>
      </x:c>
      <x:c r="H403" s="99" t="n">
        <x:v>1</x:v>
      </x:c>
      <x:c r="I403" s="99" t="n">
        <x:v>0.6000000000000005</x:v>
      </x:c>
      <x:c r="J403" s="98" t="n">
        <x:v>0.0004991985166872548</x:v>
      </x:c>
      <x:c r="K403" t="str">
        <x:v>nominal_vdd</x:v>
      </x:c>
      <x:c r="L403" t="str">
        <x:v>model_nominal_vdd</x:v>
      </x:c>
      <x:c r="M403" t="n">
        <x:v>1</x:v>
      </x:c>
      <x:c r="N403" t="str">
        <x:v>simulation</x:v>
      </x:c>
      <x:c r="O403" t="str">
        <x:v>ngspice</x:v>
      </x:c>
      <x:c r="P403" t="str">
        <x:v>c9ed2e513523c57a76912a35b2860cb85e4aaa3402b69757d84efa9cc2fb8410</x:v>
      </x:c>
      <x:c r="Q403" t="str">
        <x:v>data/raw/ptm45_hp_vds_1v_raw.txt</x:v>
      </x:c>
    </x:row>
    <x:row r="404">
      <x:c r="A404" t="str">
        <x:v>PTM</x:v>
      </x:c>
      <x:c r="B404" t="str">
        <x:v>NMOS</x:v>
      </x:c>
      <x:c r="C404" s="97" t="n">
        <x:v>45</x:v>
      </x:c>
      <x:c r="D404" s="97" t="str">
        <x:v>HP</x:v>
      </x:c>
      <x:c r="E404" s="99" t="n">
        <x:v>1</x:v>
      </x:c>
      <x:c r="F404" s="99" t="n">
        <x:v>0.045</x:v>
      </x:c>
      <x:c r="G404" s="99" t="n">
        <x:v>25</x:v>
      </x:c>
      <x:c r="H404" s="99" t="n">
        <x:v>1</x:v>
      </x:c>
      <x:c r="I404" s="99" t="n">
        <x:v>0.6050000000000005</x:v>
      </x:c>
      <x:c r="J404" s="98" t="n">
        <x:v>0.0005097826551036593</x:v>
      </x:c>
      <x:c r="K404" t="str">
        <x:v>nominal_vdd</x:v>
      </x:c>
      <x:c r="L404" t="str">
        <x:v>model_nominal_vdd</x:v>
      </x:c>
      <x:c r="M404" t="n">
        <x:v>1</x:v>
      </x:c>
      <x:c r="N404" t="str">
        <x:v>simulation</x:v>
      </x:c>
      <x:c r="O404" t="str">
        <x:v>ngspice</x:v>
      </x:c>
      <x:c r="P404" t="str">
        <x:v>c9ed2e513523c57a76912a35b2860cb85e4aaa3402b69757d84efa9cc2fb8410</x:v>
      </x:c>
      <x:c r="Q404" t="str">
        <x:v>data/raw/ptm45_hp_vds_1v_raw.txt</x:v>
      </x:c>
    </x:row>
    <x:row r="405">
      <x:c r="A405" t="str">
        <x:v>PTM</x:v>
      </x:c>
      <x:c r="B405" t="str">
        <x:v>NMOS</x:v>
      </x:c>
      <x:c r="C405" s="97" t="n">
        <x:v>45</x:v>
      </x:c>
      <x:c r="D405" s="97" t="str">
        <x:v>HP</x:v>
      </x:c>
      <x:c r="E405" s="99" t="n">
        <x:v>1</x:v>
      </x:c>
      <x:c r="F405" s="99" t="n">
        <x:v>0.045</x:v>
      </x:c>
      <x:c r="G405" s="99" t="n">
        <x:v>25</x:v>
      </x:c>
      <x:c r="H405" s="99" t="n">
        <x:v>1</x:v>
      </x:c>
      <x:c r="I405" s="99" t="n">
        <x:v>0.6100000000000005</x:v>
      </x:c>
      <x:c r="J405" s="98" t="n">
        <x:v>0.0005203739764104353</x:v>
      </x:c>
      <x:c r="K405" t="str">
        <x:v>nominal_vdd</x:v>
      </x:c>
      <x:c r="L405" t="str">
        <x:v>model_nominal_vdd</x:v>
      </x:c>
      <x:c r="M405" t="n">
        <x:v>1</x:v>
      </x:c>
      <x:c r="N405" t="str">
        <x:v>simulation</x:v>
      </x:c>
      <x:c r="O405" t="str">
        <x:v>ngspice</x:v>
      </x:c>
      <x:c r="P405" t="str">
        <x:v>c9ed2e513523c57a76912a35b2860cb85e4aaa3402b69757d84efa9cc2fb8410</x:v>
      </x:c>
      <x:c r="Q405" t="str">
        <x:v>data/raw/ptm45_hp_vds_1v_raw.txt</x:v>
      </x:c>
    </x:row>
    <x:row r="406">
      <x:c r="A406" t="str">
        <x:v>PTM</x:v>
      </x:c>
      <x:c r="B406" t="str">
        <x:v>NMOS</x:v>
      </x:c>
      <x:c r="C406" s="97" t="n">
        <x:v>45</x:v>
      </x:c>
      <x:c r="D406" s="97" t="str">
        <x:v>HP</x:v>
      </x:c>
      <x:c r="E406" s="99" t="n">
        <x:v>1</x:v>
      </x:c>
      <x:c r="F406" s="99" t="n">
        <x:v>0.045</x:v>
      </x:c>
      <x:c r="G406" s="99" t="n">
        <x:v>25</x:v>
      </x:c>
      <x:c r="H406" s="99" t="n">
        <x:v>1</x:v>
      </x:c>
      <x:c r="I406" s="99" t="n">
        <x:v>0.6150000000000005</x:v>
      </x:c>
      <x:c r="J406" s="98" t="n">
        <x:v>0.0005309713060902836</x:v>
      </x:c>
      <x:c r="K406" t="str">
        <x:v>nominal_vdd</x:v>
      </x:c>
      <x:c r="L406" t="str">
        <x:v>model_nominal_vdd</x:v>
      </x:c>
      <x:c r="M406" t="n">
        <x:v>1</x:v>
      </x:c>
      <x:c r="N406" t="str">
        <x:v>simulation</x:v>
      </x:c>
      <x:c r="O406" t="str">
        <x:v>ngspice</x:v>
      </x:c>
      <x:c r="P406" t="str">
        <x:v>c9ed2e513523c57a76912a35b2860cb85e4aaa3402b69757d84efa9cc2fb8410</x:v>
      </x:c>
      <x:c r="Q406" t="str">
        <x:v>data/raw/ptm45_hp_vds_1v_raw.txt</x:v>
      </x:c>
    </x:row>
    <x:row r="407">
      <x:c r="A407" t="str">
        <x:v>PTM</x:v>
      </x:c>
      <x:c r="B407" t="str">
        <x:v>NMOS</x:v>
      </x:c>
      <x:c r="C407" s="97" t="n">
        <x:v>45</x:v>
      </x:c>
      <x:c r="D407" s="97" t="str">
        <x:v>HP</x:v>
      </x:c>
      <x:c r="E407" s="99" t="n">
        <x:v>1</x:v>
      </x:c>
      <x:c r="F407" s="99" t="n">
        <x:v>0.045</x:v>
      </x:c>
      <x:c r="G407" s="99" t="n">
        <x:v>25</x:v>
      </x:c>
      <x:c r="H407" s="99" t="n">
        <x:v>1</x:v>
      </x:c>
      <x:c r="I407" s="99" t="n">
        <x:v>0.6200000000000006</x:v>
      </x:c>
      <x:c r="J407" s="98" t="n">
        <x:v>0.0005415735723011926</x:v>
      </x:c>
      <x:c r="K407" t="str">
        <x:v>nominal_vdd</x:v>
      </x:c>
      <x:c r="L407" t="str">
        <x:v>model_nominal_vdd</x:v>
      </x:c>
      <x:c r="M407" t="n">
        <x:v>1</x:v>
      </x:c>
      <x:c r="N407" t="str">
        <x:v>simulation</x:v>
      </x:c>
      <x:c r="O407" t="str">
        <x:v>ngspice</x:v>
      </x:c>
      <x:c r="P407" t="str">
        <x:v>c9ed2e513523c57a76912a35b2860cb85e4aaa3402b69757d84efa9cc2fb8410</x:v>
      </x:c>
      <x:c r="Q407" t="str">
        <x:v>data/raw/ptm45_hp_vds_1v_raw.txt</x:v>
      </x:c>
    </x:row>
    <x:row r="408">
      <x:c r="A408" t="str">
        <x:v>PTM</x:v>
      </x:c>
      <x:c r="B408" t="str">
        <x:v>NMOS</x:v>
      </x:c>
      <x:c r="C408" s="97" t="n">
        <x:v>45</x:v>
      </x:c>
      <x:c r="D408" s="97" t="str">
        <x:v>HP</x:v>
      </x:c>
      <x:c r="E408" s="99" t="n">
        <x:v>1</x:v>
      </x:c>
      <x:c r="F408" s="99" t="n">
        <x:v>0.045</x:v>
      </x:c>
      <x:c r="G408" s="99" t="n">
        <x:v>25</x:v>
      </x:c>
      <x:c r="H408" s="99" t="n">
        <x:v>1</x:v>
      </x:c>
      <x:c r="I408" s="99" t="n">
        <x:v>0.6250000000000006</x:v>
      </x:c>
      <x:c r="J408" s="98" t="n">
        <x:v>0.0005521797982896901</x:v>
      </x:c>
      <x:c r="K408" t="str">
        <x:v>nominal_vdd</x:v>
      </x:c>
      <x:c r="L408" t="str">
        <x:v>model_nominal_vdd</x:v>
      </x:c>
      <x:c r="M408" t="n">
        <x:v>1</x:v>
      </x:c>
      <x:c r="N408" t="str">
        <x:v>simulation</x:v>
      </x:c>
      <x:c r="O408" t="str">
        <x:v>ngspice</x:v>
      </x:c>
      <x:c r="P408" t="str">
        <x:v>c9ed2e513523c57a76912a35b2860cb85e4aaa3402b69757d84efa9cc2fb8410</x:v>
      </x:c>
      <x:c r="Q408" t="str">
        <x:v>data/raw/ptm45_hp_vds_1v_raw.txt</x:v>
      </x:c>
    </x:row>
    <x:row r="409">
      <x:c r="A409" t="str">
        <x:v>PTM</x:v>
      </x:c>
      <x:c r="B409" t="str">
        <x:v>NMOS</x:v>
      </x:c>
      <x:c r="C409" s="97" t="n">
        <x:v>45</x:v>
      </x:c>
      <x:c r="D409" s="97" t="str">
        <x:v>HP</x:v>
      </x:c>
      <x:c r="E409" s="99" t="n">
        <x:v>1</x:v>
      </x:c>
      <x:c r="F409" s="99" t="n">
        <x:v>0.045</x:v>
      </x:c>
      <x:c r="G409" s="99" t="n">
        <x:v>25</x:v>
      </x:c>
      <x:c r="H409" s="99" t="n">
        <x:v>1</x:v>
      </x:c>
      <x:c r="I409" s="99" t="n">
        <x:v>0.6300000000000006</x:v>
      </x:c>
      <x:c r="J409" s="98" t="n">
        <x:v>0.0005627890952377143</x:v>
      </x:c>
      <x:c r="K409" t="str">
        <x:v>nominal_vdd</x:v>
      </x:c>
      <x:c r="L409" t="str">
        <x:v>model_nominal_vdd</x:v>
      </x:c>
      <x:c r="M409" t="n">
        <x:v>1</x:v>
      </x:c>
      <x:c r="N409" t="str">
        <x:v>simulation</x:v>
      </x:c>
      <x:c r="O409" t="str">
        <x:v>ngspice</x:v>
      </x:c>
      <x:c r="P409" t="str">
        <x:v>c9ed2e513523c57a76912a35b2860cb85e4aaa3402b69757d84efa9cc2fb8410</x:v>
      </x:c>
      <x:c r="Q409" t="str">
        <x:v>data/raw/ptm45_hp_vds_1v_raw.txt</x:v>
      </x:c>
    </x:row>
    <x:row r="410">
      <x:c r="A410" t="str">
        <x:v>PTM</x:v>
      </x:c>
      <x:c r="B410" t="str">
        <x:v>NMOS</x:v>
      </x:c>
      <x:c r="C410" s="97" t="n">
        <x:v>45</x:v>
      </x:c>
      <x:c r="D410" s="97" t="str">
        <x:v>HP</x:v>
      </x:c>
      <x:c r="E410" s="99" t="n">
        <x:v>1</x:v>
      </x:c>
      <x:c r="F410" s="99" t="n">
        <x:v>0.045</x:v>
      </x:c>
      <x:c r="G410" s="99" t="n">
        <x:v>25</x:v>
      </x:c>
      <x:c r="H410" s="99" t="n">
        <x:v>1</x:v>
      </x:c>
      <x:c r="I410" s="99" t="n">
        <x:v>0.6350000000000006</x:v>
      </x:c>
      <x:c r="J410" s="98" t="n">
        <x:v>0.0005734006555336281</x:v>
      </x:c>
      <x:c r="K410" t="str">
        <x:v>nominal_vdd</x:v>
      </x:c>
      <x:c r="L410" t="str">
        <x:v>model_nominal_vdd</x:v>
      </x:c>
      <x:c r="M410" t="n">
        <x:v>1</x:v>
      </x:c>
      <x:c r="N410" t="str">
        <x:v>simulation</x:v>
      </x:c>
      <x:c r="O410" t="str">
        <x:v>ngspice</x:v>
      </x:c>
      <x:c r="P410" t="str">
        <x:v>c9ed2e513523c57a76912a35b2860cb85e4aaa3402b69757d84efa9cc2fb8410</x:v>
      </x:c>
      <x:c r="Q410" t="str">
        <x:v>data/raw/ptm45_hp_vds_1v_raw.txt</x:v>
      </x:c>
    </x:row>
    <x:row r="411">
      <x:c r="A411" t="str">
        <x:v>PTM</x:v>
      </x:c>
      <x:c r="B411" t="str">
        <x:v>NMOS</x:v>
      </x:c>
      <x:c r="C411" s="97" t="n">
        <x:v>45</x:v>
      </x:c>
      <x:c r="D411" s="97" t="str">
        <x:v>HP</x:v>
      </x:c>
      <x:c r="E411" s="99" t="n">
        <x:v>1</x:v>
      </x:c>
      <x:c r="F411" s="99" t="n">
        <x:v>0.045</x:v>
      </x:c>
      <x:c r="G411" s="99" t="n">
        <x:v>25</x:v>
      </x:c>
      <x:c r="H411" s="99" t="n">
        <x:v>1</x:v>
      </x:c>
      <x:c r="I411" s="99" t="n">
        <x:v>0.6400000000000006</x:v>
      </x:c>
      <x:c r="J411" s="98" t="n">
        <x:v>0.0005840137464555226</x:v>
      </x:c>
      <x:c r="K411" t="str">
        <x:v>nominal_vdd</x:v>
      </x:c>
      <x:c r="L411" t="str">
        <x:v>model_nominal_vdd</x:v>
      </x:c>
      <x:c r="M411" t="n">
        <x:v>1</x:v>
      </x:c>
      <x:c r="N411" t="str">
        <x:v>simulation</x:v>
      </x:c>
      <x:c r="O411" t="str">
        <x:v>ngspice</x:v>
      </x:c>
      <x:c r="P411" t="str">
        <x:v>c9ed2e513523c57a76912a35b2860cb85e4aaa3402b69757d84efa9cc2fb8410</x:v>
      </x:c>
      <x:c r="Q411" t="str">
        <x:v>data/raw/ptm45_hp_vds_1v_raw.txt</x:v>
      </x:c>
    </x:row>
    <x:row r="412">
      <x:c r="A412" t="str">
        <x:v>PTM</x:v>
      </x:c>
      <x:c r="B412" t="str">
        <x:v>NMOS</x:v>
      </x:c>
      <x:c r="C412" s="97" t="n">
        <x:v>45</x:v>
      </x:c>
      <x:c r="D412" s="97" t="str">
        <x:v>HP</x:v>
      </x:c>
      <x:c r="E412" s="99" t="n">
        <x:v>1</x:v>
      </x:c>
      <x:c r="F412" s="99" t="n">
        <x:v>0.045</x:v>
      </x:c>
      <x:c r="G412" s="99" t="n">
        <x:v>25</x:v>
      </x:c>
      <x:c r="H412" s="99" t="n">
        <x:v>1</x:v>
      </x:c>
      <x:c r="I412" s="99" t="n">
        <x:v>0.6450000000000006</x:v>
      </x:c>
      <x:c r="J412" s="98" t="n">
        <x:v>0.0005946277042531709</x:v>
      </x:c>
      <x:c r="K412" t="str">
        <x:v>nominal_vdd</x:v>
      </x:c>
      <x:c r="L412" t="str">
        <x:v>model_nominal_vdd</x:v>
      </x:c>
      <x:c r="M412" t="n">
        <x:v>1</x:v>
      </x:c>
      <x:c r="N412" t="str">
        <x:v>simulation</x:v>
      </x:c>
      <x:c r="O412" t="str">
        <x:v>ngspice</x:v>
      </x:c>
      <x:c r="P412" t="str">
        <x:v>c9ed2e513523c57a76912a35b2860cb85e4aaa3402b69757d84efa9cc2fb8410</x:v>
      </x:c>
      <x:c r="Q412" t="str">
        <x:v>data/raw/ptm45_hp_vds_1v_raw.txt</x:v>
      </x:c>
    </x:row>
    <x:row r="413">
      <x:c r="A413" t="str">
        <x:v>PTM</x:v>
      </x:c>
      <x:c r="B413" t="str">
        <x:v>NMOS</x:v>
      </x:c>
      <x:c r="C413" s="97" t="n">
        <x:v>45</x:v>
      </x:c>
      <x:c r="D413" s="97" t="str">
        <x:v>HP</x:v>
      </x:c>
      <x:c r="E413" s="99" t="n">
        <x:v>1</x:v>
      </x:c>
      <x:c r="F413" s="99" t="n">
        <x:v>0.045</x:v>
      </x:c>
      <x:c r="G413" s="99" t="n">
        <x:v>25</x:v>
      </x:c>
      <x:c r="H413" s="99" t="n">
        <x:v>1</x:v>
      </x:c>
      <x:c r="I413" s="99" t="n">
        <x:v>0.6500000000000006</x:v>
      </x:c>
      <x:c r="J413" s="98" t="n">
        <x:v>0.0006052419286136032</x:v>
      </x:c>
      <x:c r="K413" t="str">
        <x:v>nominal_vdd</x:v>
      </x:c>
      <x:c r="L413" t="str">
        <x:v>model_nominal_vdd</x:v>
      </x:c>
      <x:c r="M413" t="n">
        <x:v>1</x:v>
      </x:c>
      <x:c r="N413" t="str">
        <x:v>simulation</x:v>
      </x:c>
      <x:c r="O413" t="str">
        <x:v>ngspice</x:v>
      </x:c>
      <x:c r="P413" t="str">
        <x:v>c9ed2e513523c57a76912a35b2860cb85e4aaa3402b69757d84efa9cc2fb8410</x:v>
      </x:c>
      <x:c r="Q413" t="str">
        <x:v>data/raw/ptm45_hp_vds_1v_raw.txt</x:v>
      </x:c>
    </x:row>
    <x:row r="414">
      <x:c r="A414" t="str">
        <x:v>PTM</x:v>
      </x:c>
      <x:c r="B414" t="str">
        <x:v>NMOS</x:v>
      </x:c>
      <x:c r="C414" s="97" t="n">
        <x:v>45</x:v>
      </x:c>
      <x:c r="D414" s="97" t="str">
        <x:v>HP</x:v>
      </x:c>
      <x:c r="E414" s="99" t="n">
        <x:v>1</x:v>
      </x:c>
      <x:c r="F414" s="99" t="n">
        <x:v>0.045</x:v>
      </x:c>
      <x:c r="G414" s="99" t="n">
        <x:v>25</x:v>
      </x:c>
      <x:c r="H414" s="99" t="n">
        <x:v>1</x:v>
      </x:c>
      <x:c r="I414" s="99" t="n">
        <x:v>0.6550000000000006</x:v>
      </x:c>
      <x:c r="J414" s="98" t="n">
        <x:v>0.0006158558774943251</x:v>
      </x:c>
      <x:c r="K414" t="str">
        <x:v>nominal_vdd</x:v>
      </x:c>
      <x:c r="L414" t="str">
        <x:v>model_nominal_vdd</x:v>
      </x:c>
      <x:c r="M414" t="n">
        <x:v>1</x:v>
      </x:c>
      <x:c r="N414" t="str">
        <x:v>simulation</x:v>
      </x:c>
      <x:c r="O414" t="str">
        <x:v>ngspice</x:v>
      </x:c>
      <x:c r="P414" t="str">
        <x:v>c9ed2e513523c57a76912a35b2860cb85e4aaa3402b69757d84efa9cc2fb8410</x:v>
      </x:c>
      <x:c r="Q414" t="str">
        <x:v>data/raw/ptm45_hp_vds_1v_raw.txt</x:v>
      </x:c>
    </x:row>
    <x:row r="415">
      <x:c r="A415" t="str">
        <x:v>PTM</x:v>
      </x:c>
      <x:c r="B415" t="str">
        <x:v>NMOS</x:v>
      </x:c>
      <x:c r="C415" s="97" t="n">
        <x:v>45</x:v>
      </x:c>
      <x:c r="D415" s="97" t="str">
        <x:v>HP</x:v>
      </x:c>
      <x:c r="E415" s="99" t="n">
        <x:v>1</x:v>
      </x:c>
      <x:c r="F415" s="99" t="n">
        <x:v>0.045</x:v>
      </x:c>
      <x:c r="G415" s="99" t="n">
        <x:v>25</x:v>
      </x:c>
      <x:c r="H415" s="99" t="n">
        <x:v>1</x:v>
      </x:c>
      <x:c r="I415" s="99" t="n">
        <x:v>0.6600000000000006</x:v>
      </x:c>
      <x:c r="J415" s="98" t="n">
        <x:v>0.0006264690623075753</x:v>
      </x:c>
      <x:c r="K415" t="str">
        <x:v>nominal_vdd</x:v>
      </x:c>
      <x:c r="L415" t="str">
        <x:v>model_nominal_vdd</x:v>
      </x:c>
      <x:c r="M415" t="n">
        <x:v>1</x:v>
      </x:c>
      <x:c r="N415" t="str">
        <x:v>simulation</x:v>
      </x:c>
      <x:c r="O415" t="str">
        <x:v>ngspice</x:v>
      </x:c>
      <x:c r="P415" t="str">
        <x:v>c9ed2e513523c57a76912a35b2860cb85e4aaa3402b69757d84efa9cc2fb8410</x:v>
      </x:c>
      <x:c r="Q415" t="str">
        <x:v>data/raw/ptm45_hp_vds_1v_raw.txt</x:v>
      </x:c>
    </x:row>
    <x:row r="416">
      <x:c r="A416" t="str">
        <x:v>PTM</x:v>
      </x:c>
      <x:c r="B416" t="str">
        <x:v>NMOS</x:v>
      </x:c>
      <x:c r="C416" s="97" t="n">
        <x:v>45</x:v>
      </x:c>
      <x:c r="D416" s="97" t="str">
        <x:v>HP</x:v>
      </x:c>
      <x:c r="E416" s="99" t="n">
        <x:v>1</x:v>
      </x:c>
      <x:c r="F416" s="99" t="n">
        <x:v>0.045</x:v>
      </x:c>
      <x:c r="G416" s="99" t="n">
        <x:v>25</x:v>
      </x:c>
      <x:c r="H416" s="99" t="n">
        <x:v>1</x:v>
      </x:c>
      <x:c r="I416" s="99" t="n">
        <x:v>0.6650000000000006</x:v>
      </x:c>
      <x:c r="J416" s="98" t="n">
        <x:v>0.0006370810434385686</x:v>
      </x:c>
      <x:c r="K416" t="str">
        <x:v>nominal_vdd</x:v>
      </x:c>
      <x:c r="L416" t="str">
        <x:v>model_nominal_vdd</x:v>
      </x:c>
      <x:c r="M416" t="n">
        <x:v>1</x:v>
      </x:c>
      <x:c r="N416" t="str">
        <x:v>simulation</x:v>
      </x:c>
      <x:c r="O416" t="str">
        <x:v>ngspice</x:v>
      </x:c>
      <x:c r="P416" t="str">
        <x:v>c9ed2e513523c57a76912a35b2860cb85e4aaa3402b69757d84efa9cc2fb8410</x:v>
      </x:c>
      <x:c r="Q416" t="str">
        <x:v>data/raw/ptm45_hp_vds_1v_raw.txt</x:v>
      </x:c>
    </x:row>
    <x:row r="417">
      <x:c r="A417" t="str">
        <x:v>PTM</x:v>
      </x:c>
      <x:c r="B417" t="str">
        <x:v>NMOS</x:v>
      </x:c>
      <x:c r="C417" s="97" t="n">
        <x:v>45</x:v>
      </x:c>
      <x:c r="D417" s="97" t="str">
        <x:v>HP</x:v>
      </x:c>
      <x:c r="E417" s="99" t="n">
        <x:v>1</x:v>
      </x:c>
      <x:c r="F417" s="99" t="n">
        <x:v>0.045</x:v>
      </x:c>
      <x:c r="G417" s="99" t="n">
        <x:v>25</x:v>
      </x:c>
      <x:c r="H417" s="99" t="n">
        <x:v>1</x:v>
      </x:c>
      <x:c r="I417" s="99" t="n">
        <x:v>0.6700000000000006</x:v>
      </x:c>
      <x:c r="J417" s="98" t="n">
        <x:v>0.0006476914260806907</x:v>
      </x:c>
      <x:c r="K417" t="str">
        <x:v>nominal_vdd</x:v>
      </x:c>
      <x:c r="L417" t="str">
        <x:v>model_nominal_vdd</x:v>
      </x:c>
      <x:c r="M417" t="n">
        <x:v>1</x:v>
      </x:c>
      <x:c r="N417" t="str">
        <x:v>simulation</x:v>
      </x:c>
      <x:c r="O417" t="str">
        <x:v>ngspice</x:v>
      </x:c>
      <x:c r="P417" t="str">
        <x:v>c9ed2e513523c57a76912a35b2860cb85e4aaa3402b69757d84efa9cc2fb8410</x:v>
      </x:c>
      <x:c r="Q417" t="str">
        <x:v>data/raw/ptm45_hp_vds_1v_raw.txt</x:v>
      </x:c>
    </x:row>
    <x:row r="418">
      <x:c r="A418" t="str">
        <x:v>PTM</x:v>
      </x:c>
      <x:c r="B418" t="str">
        <x:v>NMOS</x:v>
      </x:c>
      <x:c r="C418" s="97" t="n">
        <x:v>45</x:v>
      </x:c>
      <x:c r="D418" s="97" t="str">
        <x:v>HP</x:v>
      </x:c>
      <x:c r="E418" s="99" t="n">
        <x:v>1</x:v>
      </x:c>
      <x:c r="F418" s="99" t="n">
        <x:v>0.045</x:v>
      </x:c>
      <x:c r="G418" s="99" t="n">
        <x:v>25</x:v>
      </x:c>
      <x:c r="H418" s="99" t="n">
        <x:v>1</x:v>
      </x:c>
      <x:c r="I418" s="99" t="n">
        <x:v>0.6750000000000006</x:v>
      </x:c>
      <x:c r="J418" s="98" t="n">
        <x:v>0.0006582998563704763</x:v>
      </x:c>
      <x:c r="K418" t="str">
        <x:v>nominal_vdd</x:v>
      </x:c>
      <x:c r="L418" t="str">
        <x:v>model_nominal_vdd</x:v>
      </x:c>
      <x:c r="M418" t="n">
        <x:v>1</x:v>
      </x:c>
      <x:c r="N418" t="str">
        <x:v>simulation</x:v>
      </x:c>
      <x:c r="O418" t="str">
        <x:v>ngspice</x:v>
      </x:c>
      <x:c r="P418" t="str">
        <x:v>c9ed2e513523c57a76912a35b2860cb85e4aaa3402b69757d84efa9cc2fb8410</x:v>
      </x:c>
      <x:c r="Q418" t="str">
        <x:v>data/raw/ptm45_hp_vds_1v_raw.txt</x:v>
      </x:c>
    </x:row>
    <x:row r="419">
      <x:c r="A419" t="str">
        <x:v>PTM</x:v>
      </x:c>
      <x:c r="B419" t="str">
        <x:v>NMOS</x:v>
      </x:c>
      <x:c r="C419" s="97" t="n">
        <x:v>45</x:v>
      </x:c>
      <x:c r="D419" s="97" t="str">
        <x:v>HP</x:v>
      </x:c>
      <x:c r="E419" s="99" t="n">
        <x:v>1</x:v>
      </x:c>
      <x:c r="F419" s="99" t="n">
        <x:v>0.045</x:v>
      </x:c>
      <x:c r="G419" s="99" t="n">
        <x:v>25</x:v>
      </x:c>
      <x:c r="H419" s="99" t="n">
        <x:v>1</x:v>
      </x:c>
      <x:c r="I419" s="99" t="n">
        <x:v>0.6800000000000006</x:v>
      </x:c>
      <x:c r="J419" s="98" t="n">
        <x:v>0.000668906017805603</x:v>
      </x:c>
      <x:c r="K419" t="str">
        <x:v>nominal_vdd</x:v>
      </x:c>
      <x:c r="L419" t="str">
        <x:v>model_nominal_vdd</x:v>
      </x:c>
      <x:c r="M419" t="n">
        <x:v>1</x:v>
      </x:c>
      <x:c r="N419" t="str">
        <x:v>simulation</x:v>
      </x:c>
      <x:c r="O419" t="str">
        <x:v>ngspice</x:v>
      </x:c>
      <x:c r="P419" t="str">
        <x:v>c9ed2e513523c57a76912a35b2860cb85e4aaa3402b69757d84efa9cc2fb8410</x:v>
      </x:c>
      <x:c r="Q419" t="str">
        <x:v>data/raw/ptm45_hp_vds_1v_raw.txt</x:v>
      </x:c>
    </x:row>
    <x:row r="420">
      <x:c r="A420" t="str">
        <x:v>PTM</x:v>
      </x:c>
      <x:c r="B420" t="str">
        <x:v>NMOS</x:v>
      </x:c>
      <x:c r="C420" s="97" t="n">
        <x:v>45</x:v>
      </x:c>
      <x:c r="D420" s="97" t="str">
        <x:v>HP</x:v>
      </x:c>
      <x:c r="E420" s="99" t="n">
        <x:v>1</x:v>
      </x:c>
      <x:c r="F420" s="99" t="n">
        <x:v>0.045</x:v>
      </x:c>
      <x:c r="G420" s="99" t="n">
        <x:v>25</x:v>
      </x:c>
      <x:c r="H420" s="99" t="n">
        <x:v>1</x:v>
      </x:c>
      <x:c r="I420" s="99" t="n">
        <x:v>0.6850000000000006</x:v>
      </x:c>
      <x:c r="J420" s="98" t="n">
        <x:v>0.000679509627929288</x:v>
      </x:c>
      <x:c r="K420" t="str">
        <x:v>nominal_vdd</x:v>
      </x:c>
      <x:c r="L420" t="str">
        <x:v>model_nominal_vdd</x:v>
      </x:c>
      <x:c r="M420" t="n">
        <x:v>1</x:v>
      </x:c>
      <x:c r="N420" t="str">
        <x:v>simulation</x:v>
      </x:c>
      <x:c r="O420" t="str">
        <x:v>ngspice</x:v>
      </x:c>
      <x:c r="P420" t="str">
        <x:v>c9ed2e513523c57a76912a35b2860cb85e4aaa3402b69757d84efa9cc2fb8410</x:v>
      </x:c>
      <x:c r="Q420" t="str">
        <x:v>data/raw/ptm45_hp_vds_1v_raw.txt</x:v>
      </x:c>
    </x:row>
    <x:row r="421">
      <x:c r="A421" t="str">
        <x:v>PTM</x:v>
      </x:c>
      <x:c r="B421" t="str">
        <x:v>NMOS</x:v>
      </x:c>
      <x:c r="C421" s="97" t="n">
        <x:v>45</x:v>
      </x:c>
      <x:c r="D421" s="97" t="str">
        <x:v>HP</x:v>
      </x:c>
      <x:c r="E421" s="99" t="n">
        <x:v>1</x:v>
      </x:c>
      <x:c r="F421" s="99" t="n">
        <x:v>0.045</x:v>
      </x:c>
      <x:c r="G421" s="99" t="n">
        <x:v>25</x:v>
      </x:c>
      <x:c r="H421" s="99" t="n">
        <x:v>1</x:v>
      </x:c>
      <x:c r="I421" s="99" t="n">
        <x:v>0.6900000000000006</x:v>
      </x:c>
      <x:c r="J421" s="98" t="n">
        <x:v>0.0006901104352651224</x:v>
      </x:c>
      <x:c r="K421" t="str">
        <x:v>nominal_vdd</x:v>
      </x:c>
      <x:c r="L421" t="str">
        <x:v>model_nominal_vdd</x:v>
      </x:c>
      <x:c r="M421" t="n">
        <x:v>1</x:v>
      </x:c>
      <x:c r="N421" t="str">
        <x:v>simulation</x:v>
      </x:c>
      <x:c r="O421" t="str">
        <x:v>ngspice</x:v>
      </x:c>
      <x:c r="P421" t="str">
        <x:v>c9ed2e513523c57a76912a35b2860cb85e4aaa3402b69757d84efa9cc2fb8410</x:v>
      </x:c>
      <x:c r="Q421" t="str">
        <x:v>data/raw/ptm45_hp_vds_1v_raw.txt</x:v>
      </x:c>
    </x:row>
    <x:row r="422">
      <x:c r="A422" t="str">
        <x:v>PTM</x:v>
      </x:c>
      <x:c r="B422" t="str">
        <x:v>NMOS</x:v>
      </x:c>
      <x:c r="C422" s="97" t="n">
        <x:v>45</x:v>
      </x:c>
      <x:c r="D422" s="97" t="str">
        <x:v>HP</x:v>
      </x:c>
      <x:c r="E422" s="99" t="n">
        <x:v>1</x:v>
      </x:c>
      <x:c r="F422" s="99" t="n">
        <x:v>0.045</x:v>
      </x:c>
      <x:c r="G422" s="99" t="n">
        <x:v>25</x:v>
      </x:c>
      <x:c r="H422" s="99" t="n">
        <x:v>1</x:v>
      </x:c>
      <x:c r="I422" s="99" t="n">
        <x:v>0.6950000000000006</x:v>
      </x:c>
      <x:c r="J422" s="98" t="n">
        <x:v>0.0007007082164866516</x:v>
      </x:c>
      <x:c r="K422" t="str">
        <x:v>nominal_vdd</x:v>
      </x:c>
      <x:c r="L422" t="str">
        <x:v>model_nominal_vdd</x:v>
      </x:c>
      <x:c r="M422" t="n">
        <x:v>1</x:v>
      </x:c>
      <x:c r="N422" t="str">
        <x:v>simulation</x:v>
      </x:c>
      <x:c r="O422" t="str">
        <x:v>ngspice</x:v>
      </x:c>
      <x:c r="P422" t="str">
        <x:v>c9ed2e513523c57a76912a35b2860cb85e4aaa3402b69757d84efa9cc2fb8410</x:v>
      </x:c>
      <x:c r="Q422" t="str">
        <x:v>data/raw/ptm45_hp_vds_1v_raw.txt</x:v>
      </x:c>
    </x:row>
    <x:row r="423">
      <x:c r="A423" t="str">
        <x:v>PTM</x:v>
      </x:c>
      <x:c r="B423" t="str">
        <x:v>NMOS</x:v>
      </x:c>
      <x:c r="C423" s="97" t="n">
        <x:v>45</x:v>
      </x:c>
      <x:c r="D423" s="97" t="str">
        <x:v>HP</x:v>
      </x:c>
      <x:c r="E423" s="99" t="n">
        <x:v>1</x:v>
      </x:c>
      <x:c r="F423" s="99" t="n">
        <x:v>0.045</x:v>
      </x:c>
      <x:c r="G423" s="99" t="n">
        <x:v>25</x:v>
      </x:c>
      <x:c r="H423" s="99" t="n">
        <x:v>1</x:v>
      </x:c>
      <x:c r="I423" s="99" t="n">
        <x:v>0.7000000000000006</x:v>
      </x:c>
      <x:c r="J423" s="98" t="n">
        <x:v>0.0007113027738068271</x:v>
      </x:c>
      <x:c r="K423" t="str">
        <x:v>nominal_vdd</x:v>
      </x:c>
      <x:c r="L423" t="str">
        <x:v>model_nominal_vdd</x:v>
      </x:c>
      <x:c r="M423" t="n">
        <x:v>1</x:v>
      </x:c>
      <x:c r="N423" t="str">
        <x:v>simulation</x:v>
      </x:c>
      <x:c r="O423" t="str">
        <x:v>ngspice</x:v>
      </x:c>
      <x:c r="P423" t="str">
        <x:v>c9ed2e513523c57a76912a35b2860cb85e4aaa3402b69757d84efa9cc2fb8410</x:v>
      </x:c>
      <x:c r="Q423" t="str">
        <x:v>data/raw/ptm45_hp_vds_1v_raw.txt</x:v>
      </x:c>
    </x:row>
    <x:row r="424">
      <x:c r="A424" t="str">
        <x:v>PTM</x:v>
      </x:c>
      <x:c r="B424" t="str">
        <x:v>NMOS</x:v>
      </x:c>
      <x:c r="C424" s="97" t="n">
        <x:v>45</x:v>
      </x:c>
      <x:c r="D424" s="97" t="str">
        <x:v>HP</x:v>
      </x:c>
      <x:c r="E424" s="99" t="n">
        <x:v>1</x:v>
      </x:c>
      <x:c r="F424" s="99" t="n">
        <x:v>0.045</x:v>
      </x:c>
      <x:c r="G424" s="99" t="n">
        <x:v>25</x:v>
      </x:c>
      <x:c r="H424" s="99" t="n">
        <x:v>1</x:v>
      </x:c>
      <x:c r="I424" s="99" t="n">
        <x:v>0.7050000000000006</x:v>
      </x:c>
      <x:c r="J424" s="98" t="n">
        <x:v>0.0007218939325728639</x:v>
      </x:c>
      <x:c r="K424" t="str">
        <x:v>nominal_vdd</x:v>
      </x:c>
      <x:c r="L424" t="str">
        <x:v>model_nominal_vdd</x:v>
      </x:c>
      <x:c r="M424" t="n">
        <x:v>1</x:v>
      </x:c>
      <x:c r="N424" t="str">
        <x:v>simulation</x:v>
      </x:c>
      <x:c r="O424" t="str">
        <x:v>ngspice</x:v>
      </x:c>
      <x:c r="P424" t="str">
        <x:v>c9ed2e513523c57a76912a35b2860cb85e4aaa3402b69757d84efa9cc2fb8410</x:v>
      </x:c>
      <x:c r="Q424" t="str">
        <x:v>data/raw/ptm45_hp_vds_1v_raw.txt</x:v>
      </x:c>
    </x:row>
    <x:row r="425">
      <x:c r="A425" t="str">
        <x:v>PTM</x:v>
      </x:c>
      <x:c r="B425" t="str">
        <x:v>NMOS</x:v>
      </x:c>
      <x:c r="C425" s="97" t="n">
        <x:v>45</x:v>
      </x:c>
      <x:c r="D425" s="97" t="str">
        <x:v>HP</x:v>
      </x:c>
      <x:c r="E425" s="99" t="n">
        <x:v>1</x:v>
      </x:c>
      <x:c r="F425" s="99" t="n">
        <x:v>0.045</x:v>
      </x:c>
      <x:c r="G425" s="99" t="n">
        <x:v>25</x:v>
      </x:c>
      <x:c r="H425" s="99" t="n">
        <x:v>1</x:v>
      </x:c>
      <x:c r="I425" s="99" t="n">
        <x:v>0.7100000000000006</x:v>
      </x:c>
      <x:c r="J425" s="98" t="n">
        <x:v>0.0007324815390527922</x:v>
      </x:c>
      <x:c r="K425" t="str">
        <x:v>nominal_vdd</x:v>
      </x:c>
      <x:c r="L425" t="str">
        <x:v>model_nominal_vdd</x:v>
      </x:c>
      <x:c r="M425" t="n">
        <x:v>1</x:v>
      </x:c>
      <x:c r="N425" t="str">
        <x:v>simulation</x:v>
      </x:c>
      <x:c r="O425" t="str">
        <x:v>ngspice</x:v>
      </x:c>
      <x:c r="P425" t="str">
        <x:v>c9ed2e513523c57a76912a35b2860cb85e4aaa3402b69757d84efa9cc2fb8410</x:v>
      </x:c>
      <x:c r="Q425" t="str">
        <x:v>data/raw/ptm45_hp_vds_1v_raw.txt</x:v>
      </x:c>
    </x:row>
    <x:row r="426">
      <x:c r="A426" t="str">
        <x:v>PTM</x:v>
      </x:c>
      <x:c r="B426" t="str">
        <x:v>NMOS</x:v>
      </x:c>
      <x:c r="C426" s="97" t="n">
        <x:v>45</x:v>
      </x:c>
      <x:c r="D426" s="97" t="str">
        <x:v>HP</x:v>
      </x:c>
      <x:c r="E426" s="99" t="n">
        <x:v>1</x:v>
      </x:c>
      <x:c r="F426" s="99" t="n">
        <x:v>0.045</x:v>
      </x:c>
      <x:c r="G426" s="99" t="n">
        <x:v>25</x:v>
      </x:c>
      <x:c r="H426" s="99" t="n">
        <x:v>1</x:v>
      </x:c>
      <x:c r="I426" s="99" t="n">
        <x:v>0.7150000000000006</x:v>
      </x:c>
      <x:c r="J426" s="98" t="n">
        <x:v>0.0007430654584006675</x:v>
      </x:c>
      <x:c r="K426" t="str">
        <x:v>nominal_vdd</x:v>
      </x:c>
      <x:c r="L426" t="str">
        <x:v>model_nominal_vdd</x:v>
      </x:c>
      <x:c r="M426" t="n">
        <x:v>1</x:v>
      </x:c>
      <x:c r="N426" t="str">
        <x:v>simulation</x:v>
      </x:c>
      <x:c r="O426" t="str">
        <x:v>ngspice</x:v>
      </x:c>
      <x:c r="P426" t="str">
        <x:v>c9ed2e513523c57a76912a35b2860cb85e4aaa3402b69757d84efa9cc2fb8410</x:v>
      </x:c>
      <x:c r="Q426" t="str">
        <x:v>data/raw/ptm45_hp_vds_1v_raw.txt</x:v>
      </x:c>
    </x:row>
    <x:row r="427">
      <x:c r="A427" t="str">
        <x:v>PTM</x:v>
      </x:c>
      <x:c r="B427" t="str">
        <x:v>NMOS</x:v>
      </x:c>
      <x:c r="C427" s="97" t="n">
        <x:v>45</x:v>
      </x:c>
      <x:c r="D427" s="97" t="str">
        <x:v>HP</x:v>
      </x:c>
      <x:c r="E427" s="99" t="n">
        <x:v>1</x:v>
      </x:c>
      <x:c r="F427" s="99" t="n">
        <x:v>0.045</x:v>
      </x:c>
      <x:c r="G427" s="99" t="n">
        <x:v>25</x:v>
      </x:c>
      <x:c r="H427" s="99" t="n">
        <x:v>1</x:v>
      </x:c>
      <x:c r="I427" s="99" t="n">
        <x:v>0.7200000000000006</x:v>
      </x:c>
      <x:c r="J427" s="98" t="n">
        <x:v>0.0007536455727879434</x:v>
      </x:c>
      <x:c r="K427" t="str">
        <x:v>nominal_vdd</x:v>
      </x:c>
      <x:c r="L427" t="str">
        <x:v>model_nominal_vdd</x:v>
      </x:c>
      <x:c r="M427" t="n">
        <x:v>1</x:v>
      </x:c>
      <x:c r="N427" t="str">
        <x:v>simulation</x:v>
      </x:c>
      <x:c r="O427" t="str">
        <x:v>ngspice</x:v>
      </x:c>
      <x:c r="P427" t="str">
        <x:v>c9ed2e513523c57a76912a35b2860cb85e4aaa3402b69757d84efa9cc2fb8410</x:v>
      </x:c>
      <x:c r="Q427" t="str">
        <x:v>data/raw/ptm45_hp_vds_1v_raw.txt</x:v>
      </x:c>
    </x:row>
    <x:row r="428">
      <x:c r="A428" t="str">
        <x:v>PTM</x:v>
      </x:c>
      <x:c r="B428" t="str">
        <x:v>NMOS</x:v>
      </x:c>
      <x:c r="C428" s="97" t="n">
        <x:v>45</x:v>
      </x:c>
      <x:c r="D428" s="97" t="str">
        <x:v>HP</x:v>
      </x:c>
      <x:c r="E428" s="99" t="n">
        <x:v>1</x:v>
      </x:c>
      <x:c r="F428" s="99" t="n">
        <x:v>0.045</x:v>
      </x:c>
      <x:c r="G428" s="99" t="n">
        <x:v>25</x:v>
      </x:c>
      <x:c r="H428" s="99" t="n">
        <x:v>1</x:v>
      </x:c>
      <x:c r="I428" s="99" t="n">
        <x:v>0.7250000000000006</x:v>
      </x:c>
      <x:c r="J428" s="98" t="n">
        <x:v>0.0007642217796893176</x:v>
      </x:c>
      <x:c r="K428" t="str">
        <x:v>nominal_vdd</x:v>
      </x:c>
      <x:c r="L428" t="str">
        <x:v>model_nominal_vdd</x:v>
      </x:c>
      <x:c r="M428" t="n">
        <x:v>1</x:v>
      </x:c>
      <x:c r="N428" t="str">
        <x:v>simulation</x:v>
      </x:c>
      <x:c r="O428" t="str">
        <x:v>ngspice</x:v>
      </x:c>
      <x:c r="P428" t="str">
        <x:v>c9ed2e513523c57a76912a35b2860cb85e4aaa3402b69757d84efa9cc2fb8410</x:v>
      </x:c>
      <x:c r="Q428" t="str">
        <x:v>data/raw/ptm45_hp_vds_1v_raw.txt</x:v>
      </x:c>
    </x:row>
    <x:row r="429">
      <x:c r="A429" t="str">
        <x:v>PTM</x:v>
      </x:c>
      <x:c r="B429" t="str">
        <x:v>NMOS</x:v>
      </x:c>
      <x:c r="C429" s="97" t="n">
        <x:v>45</x:v>
      </x:c>
      <x:c r="D429" s="97" t="str">
        <x:v>HP</x:v>
      </x:c>
      <x:c r="E429" s="99" t="n">
        <x:v>1</x:v>
      </x:c>
      <x:c r="F429" s="99" t="n">
        <x:v>0.045</x:v>
      </x:c>
      <x:c r="G429" s="99" t="n">
        <x:v>25</x:v>
      </x:c>
      <x:c r="H429" s="99" t="n">
        <x:v>1</x:v>
      </x:c>
      <x:c r="I429" s="99" t="n">
        <x:v>0.7300000000000006</x:v>
      </x:c>
      <x:c r="J429" s="98" t="n">
        <x:v>0.0007747939903119339</x:v>
      </x:c>
      <x:c r="K429" t="str">
        <x:v>nominal_vdd</x:v>
      </x:c>
      <x:c r="L429" t="str">
        <x:v>model_nominal_vdd</x:v>
      </x:c>
      <x:c r="M429" t="n">
        <x:v>1</x:v>
      </x:c>
      <x:c r="N429" t="str">
        <x:v>simulation</x:v>
      </x:c>
      <x:c r="O429" t="str">
        <x:v>ngspice</x:v>
      </x:c>
      <x:c r="P429" t="str">
        <x:v>c9ed2e513523c57a76912a35b2860cb85e4aaa3402b69757d84efa9cc2fb8410</x:v>
      </x:c>
      <x:c r="Q429" t="str">
        <x:v>data/raw/ptm45_hp_vds_1v_raw.txt</x:v>
      </x:c>
    </x:row>
    <x:row r="430">
      <x:c r="A430" t="str">
        <x:v>PTM</x:v>
      </x:c>
      <x:c r="B430" t="str">
        <x:v>NMOS</x:v>
      </x:c>
      <x:c r="C430" s="97" t="n">
        <x:v>45</x:v>
      </x:c>
      <x:c r="D430" s="97" t="str">
        <x:v>HP</x:v>
      </x:c>
      <x:c r="E430" s="99" t="n">
        <x:v>1</x:v>
      </x:c>
      <x:c r="F430" s="99" t="n">
        <x:v>0.045</x:v>
      </x:c>
      <x:c r="G430" s="99" t="n">
        <x:v>25</x:v>
      </x:c>
      <x:c r="H430" s="99" t="n">
        <x:v>1</x:v>
      </x:c>
      <x:c r="I430" s="99" t="n">
        <x:v>0.7350000000000007</x:v>
      </x:c>
      <x:c r="J430" s="98" t="n">
        <x:v>0.0007853621281574579</x:v>
      </x:c>
      <x:c r="K430" t="str">
        <x:v>nominal_vdd</x:v>
      </x:c>
      <x:c r="L430" t="str">
        <x:v>model_nominal_vdd</x:v>
      </x:c>
      <x:c r="M430" t="n">
        <x:v>1</x:v>
      </x:c>
      <x:c r="N430" t="str">
        <x:v>simulation</x:v>
      </x:c>
      <x:c r="O430" t="str">
        <x:v>ngspice</x:v>
      </x:c>
      <x:c r="P430" t="str">
        <x:v>c9ed2e513523c57a76912a35b2860cb85e4aaa3402b69757d84efa9cc2fb8410</x:v>
      </x:c>
      <x:c r="Q430" t="str">
        <x:v>data/raw/ptm45_hp_vds_1v_raw.txt</x:v>
      </x:c>
    </x:row>
    <x:row r="431">
      <x:c r="A431" t="str">
        <x:v>PTM</x:v>
      </x:c>
      <x:c r="B431" t="str">
        <x:v>NMOS</x:v>
      </x:c>
      <x:c r="C431" s="97" t="n">
        <x:v>45</x:v>
      </x:c>
      <x:c r="D431" s="97" t="str">
        <x:v>HP</x:v>
      </x:c>
      <x:c r="E431" s="99" t="n">
        <x:v>1</x:v>
      </x:c>
      <x:c r="F431" s="99" t="n">
        <x:v>0.045</x:v>
      </x:c>
      <x:c r="G431" s="99" t="n">
        <x:v>25</x:v>
      </x:c>
      <x:c r="H431" s="99" t="n">
        <x:v>1</x:v>
      </x:c>
      <x:c r="I431" s="99" t="n">
        <x:v>0.7400000000000007</x:v>
      </x:c>
      <x:c r="J431" s="98" t="n">
        <x:v>0.0007959261277072524</x:v>
      </x:c>
      <x:c r="K431" t="str">
        <x:v>nominal_vdd</x:v>
      </x:c>
      <x:c r="L431" t="str">
        <x:v>model_nominal_vdd</x:v>
      </x:c>
      <x:c r="M431" t="n">
        <x:v>1</x:v>
      </x:c>
      <x:c r="N431" t="str">
        <x:v>simulation</x:v>
      </x:c>
      <x:c r="O431" t="str">
        <x:v>ngspice</x:v>
      </x:c>
      <x:c r="P431" t="str">
        <x:v>c9ed2e513523c57a76912a35b2860cb85e4aaa3402b69757d84efa9cc2fb8410</x:v>
      </x:c>
      <x:c r="Q431" t="str">
        <x:v>data/raw/ptm45_hp_vds_1v_raw.txt</x:v>
      </x:c>
    </x:row>
    <x:row r="432">
      <x:c r="A432" t="str">
        <x:v>PTM</x:v>
      </x:c>
      <x:c r="B432" t="str">
        <x:v>NMOS</x:v>
      </x:c>
      <x:c r="C432" s="97" t="n">
        <x:v>45</x:v>
      </x:c>
      <x:c r="D432" s="97" t="str">
        <x:v>HP</x:v>
      </x:c>
      <x:c r="E432" s="99" t="n">
        <x:v>1</x:v>
      </x:c>
      <x:c r="F432" s="99" t="n">
        <x:v>0.045</x:v>
      </x:c>
      <x:c r="G432" s="99" t="n">
        <x:v>25</x:v>
      </x:c>
      <x:c r="H432" s="99" t="n">
        <x:v>1</x:v>
      </x:c>
      <x:c r="I432" s="99" t="n">
        <x:v>0.7450000000000007</x:v>
      </x:c>
      <x:c r="J432" s="98" t="n">
        <x:v>0.0008064859332213668</x:v>
      </x:c>
      <x:c r="K432" t="str">
        <x:v>nominal_vdd</x:v>
      </x:c>
      <x:c r="L432" t="str">
        <x:v>model_nominal_vdd</x:v>
      </x:c>
      <x:c r="M432" t="n">
        <x:v>1</x:v>
      </x:c>
      <x:c r="N432" t="str">
        <x:v>simulation</x:v>
      </x:c>
      <x:c r="O432" t="str">
        <x:v>ngspice</x:v>
      </x:c>
      <x:c r="P432" t="str">
        <x:v>c9ed2e513523c57a76912a35b2860cb85e4aaa3402b69757d84efa9cc2fb8410</x:v>
      </x:c>
      <x:c r="Q432" t="str">
        <x:v>data/raw/ptm45_hp_vds_1v_raw.txt</x:v>
      </x:c>
    </x:row>
    <x:row r="433">
      <x:c r="A433" t="str">
        <x:v>PTM</x:v>
      </x:c>
      <x:c r="B433" t="str">
        <x:v>NMOS</x:v>
      </x:c>
      <x:c r="C433" s="97" t="n">
        <x:v>45</x:v>
      </x:c>
      <x:c r="D433" s="97" t="str">
        <x:v>HP</x:v>
      </x:c>
      <x:c r="E433" s="99" t="n">
        <x:v>1</x:v>
      </x:c>
      <x:c r="F433" s="99" t="n">
        <x:v>0.045</x:v>
      </x:c>
      <x:c r="G433" s="99" t="n">
        <x:v>25</x:v>
      </x:c>
      <x:c r="H433" s="99" t="n">
        <x:v>1</x:v>
      </x:c>
      <x:c r="I433" s="99" t="n">
        <x:v>0.7500000000000007</x:v>
      </x:c>
      <x:c r="J433" s="98" t="n">
        <x:v>0.0008170414976427304</x:v>
      </x:c>
      <x:c r="K433" t="str">
        <x:v>nominal_vdd</x:v>
      </x:c>
      <x:c r="L433" t="str">
        <x:v>model_nominal_vdd</x:v>
      </x:c>
      <x:c r="M433" t="n">
        <x:v>1</x:v>
      </x:c>
      <x:c r="N433" t="str">
        <x:v>simulation</x:v>
      </x:c>
      <x:c r="O433" t="str">
        <x:v>ngspice</x:v>
      </x:c>
      <x:c r="P433" t="str">
        <x:v>c9ed2e513523c57a76912a35b2860cb85e4aaa3402b69757d84efa9cc2fb8410</x:v>
      </x:c>
      <x:c r="Q433" t="str">
        <x:v>data/raw/ptm45_hp_vds_1v_raw.txt</x:v>
      </x:c>
    </x:row>
    <x:row r="434">
      <x:c r="A434" t="str">
        <x:v>PTM</x:v>
      </x:c>
      <x:c r="B434" t="str">
        <x:v>NMOS</x:v>
      </x:c>
      <x:c r="C434" s="97" t="n">
        <x:v>45</x:v>
      </x:c>
      <x:c r="D434" s="97" t="str">
        <x:v>HP</x:v>
      </x:c>
      <x:c r="E434" s="99" t="n">
        <x:v>1</x:v>
      </x:c>
      <x:c r="F434" s="99" t="n">
        <x:v>0.045</x:v>
      </x:c>
      <x:c r="G434" s="99" t="n">
        <x:v>25</x:v>
      </x:c>
      <x:c r="H434" s="99" t="n">
        <x:v>1</x:v>
      </x:c>
      <x:c r="I434" s="99" t="n">
        <x:v>0.7550000000000007</x:v>
      </x:c>
      <x:c r="J434" s="98" t="n">
        <x:v>0.0008275927815984853</x:v>
      </x:c>
      <x:c r="K434" t="str">
        <x:v>nominal_vdd</x:v>
      </x:c>
      <x:c r="L434" t="str">
        <x:v>model_nominal_vdd</x:v>
      </x:c>
      <x:c r="M434" t="n">
        <x:v>1</x:v>
      </x:c>
      <x:c r="N434" t="str">
        <x:v>simulation</x:v>
      </x:c>
      <x:c r="O434" t="str">
        <x:v>ngspice</x:v>
      </x:c>
      <x:c r="P434" t="str">
        <x:v>c9ed2e513523c57a76912a35b2860cb85e4aaa3402b69757d84efa9cc2fb8410</x:v>
      </x:c>
      <x:c r="Q434" t="str">
        <x:v>data/raw/ptm45_hp_vds_1v_raw.txt</x:v>
      </x:c>
    </x:row>
    <x:row r="435">
      <x:c r="A435" t="str">
        <x:v>PTM</x:v>
      </x:c>
      <x:c r="B435" t="str">
        <x:v>NMOS</x:v>
      </x:c>
      <x:c r="C435" s="97" t="n">
        <x:v>45</x:v>
      </x:c>
      <x:c r="D435" s="97" t="str">
        <x:v>HP</x:v>
      </x:c>
      <x:c r="E435" s="99" t="n">
        <x:v>1</x:v>
      </x:c>
      <x:c r="F435" s="99" t="n">
        <x:v>0.045</x:v>
      </x:c>
      <x:c r="G435" s="99" t="n">
        <x:v>25</x:v>
      </x:c>
      <x:c r="H435" s="99" t="n">
        <x:v>1</x:v>
      </x:c>
      <x:c r="I435" s="99" t="n">
        <x:v>0.7600000000000007</x:v>
      </x:c>
      <x:c r="J435" s="98" t="n">
        <x:v>0.0008381397524908558</x:v>
      </x:c>
      <x:c r="K435" t="str">
        <x:v>nominal_vdd</x:v>
      </x:c>
      <x:c r="L435" t="str">
        <x:v>model_nominal_vdd</x:v>
      </x:c>
      <x:c r="M435" t="n">
        <x:v>1</x:v>
      </x:c>
      <x:c r="N435" t="str">
        <x:v>simulation</x:v>
      </x:c>
      <x:c r="O435" t="str">
        <x:v>ngspice</x:v>
      </x:c>
      <x:c r="P435" t="str">
        <x:v>c9ed2e513523c57a76912a35b2860cb85e4aaa3402b69757d84efa9cc2fb8410</x:v>
      </x:c>
      <x:c r="Q435" t="str">
        <x:v>data/raw/ptm45_hp_vds_1v_raw.txt</x:v>
      </x:c>
    </x:row>
    <x:row r="436">
      <x:c r="A436" t="str">
        <x:v>PTM</x:v>
      </x:c>
      <x:c r="B436" t="str">
        <x:v>NMOS</x:v>
      </x:c>
      <x:c r="C436" s="97" t="n">
        <x:v>45</x:v>
      </x:c>
      <x:c r="D436" s="97" t="str">
        <x:v>HP</x:v>
      </x:c>
      <x:c r="E436" s="99" t="n">
        <x:v>1</x:v>
      </x:c>
      <x:c r="F436" s="99" t="n">
        <x:v>0.045</x:v>
      </x:c>
      <x:c r="G436" s="99" t="n">
        <x:v>25</x:v>
      </x:c>
      <x:c r="H436" s="99" t="n">
        <x:v>1</x:v>
      </x:c>
      <x:c r="I436" s="99" t="n">
        <x:v>0.7650000000000007</x:v>
      </x:c>
      <x:c r="J436" s="98" t="n">
        <x:v>0.0008486823836705794</x:v>
      </x:c>
      <x:c r="K436" t="str">
        <x:v>nominal_vdd</x:v>
      </x:c>
      <x:c r="L436" t="str">
        <x:v>model_nominal_vdd</x:v>
      </x:c>
      <x:c r="M436" t="n">
        <x:v>1</x:v>
      </x:c>
      <x:c r="N436" t="str">
        <x:v>simulation</x:v>
      </x:c>
      <x:c r="O436" t="str">
        <x:v>ngspice</x:v>
      </x:c>
      <x:c r="P436" t="str">
        <x:v>c9ed2e513523c57a76912a35b2860cb85e4aaa3402b69757d84efa9cc2fb8410</x:v>
      </x:c>
      <x:c r="Q436" t="str">
        <x:v>data/raw/ptm45_hp_vds_1v_raw.txt</x:v>
      </x:c>
    </x:row>
    <x:row r="437">
      <x:c r="A437" t="str">
        <x:v>PTM</x:v>
      </x:c>
      <x:c r="B437" t="str">
        <x:v>NMOS</x:v>
      </x:c>
      <x:c r="C437" s="97" t="n">
        <x:v>45</x:v>
      </x:c>
      <x:c r="D437" s="97" t="str">
        <x:v>HP</x:v>
      </x:c>
      <x:c r="E437" s="99" t="n">
        <x:v>1</x:v>
      </x:c>
      <x:c r="F437" s="99" t="n">
        <x:v>0.045</x:v>
      </x:c>
      <x:c r="G437" s="99" t="n">
        <x:v>25</x:v>
      </x:c>
      <x:c r="H437" s="99" t="n">
        <x:v>1</x:v>
      </x:c>
      <x:c r="I437" s="99" t="n">
        <x:v>0.7700000000000007</x:v>
      </x:c>
      <x:c r="J437" s="98" t="n">
        <x:v>0.0008592206536862912</x:v>
      </x:c>
      <x:c r="K437" t="str">
        <x:v>nominal_vdd</x:v>
      </x:c>
      <x:c r="L437" t="str">
        <x:v>model_nominal_vdd</x:v>
      </x:c>
      <x:c r="M437" t="n">
        <x:v>1</x:v>
      </x:c>
      <x:c r="N437" t="str">
        <x:v>simulation</x:v>
      </x:c>
      <x:c r="O437" t="str">
        <x:v>ngspice</x:v>
      </x:c>
      <x:c r="P437" t="str">
        <x:v>c9ed2e513523c57a76912a35b2860cb85e4aaa3402b69757d84efa9cc2fb8410</x:v>
      </x:c>
      <x:c r="Q437" t="str">
        <x:v>data/raw/ptm45_hp_vds_1v_raw.txt</x:v>
      </x:c>
    </x:row>
    <x:row r="438">
      <x:c r="A438" t="str">
        <x:v>PTM</x:v>
      </x:c>
      <x:c r="B438" t="str">
        <x:v>NMOS</x:v>
      </x:c>
      <x:c r="C438" s="97" t="n">
        <x:v>45</x:v>
      </x:c>
      <x:c r="D438" s="97" t="str">
        <x:v>HP</x:v>
      </x:c>
      <x:c r="E438" s="99" t="n">
        <x:v>1</x:v>
      </x:c>
      <x:c r="F438" s="99" t="n">
        <x:v>0.045</x:v>
      </x:c>
      <x:c r="G438" s="99" t="n">
        <x:v>25</x:v>
      </x:c>
      <x:c r="H438" s="99" t="n">
        <x:v>1</x:v>
      </x:c>
      <x:c r="I438" s="99" t="n">
        <x:v>0.7750000000000007</x:v>
      </x:c>
      <x:c r="J438" s="98" t="n">
        <x:v>0.000869754545603814</x:v>
      </x:c>
      <x:c r="K438" t="str">
        <x:v>nominal_vdd</x:v>
      </x:c>
      <x:c r="L438" t="str">
        <x:v>model_nominal_vdd</x:v>
      </x:c>
      <x:c r="M438" t="n">
        <x:v>1</x:v>
      </x:c>
      <x:c r="N438" t="str">
        <x:v>simulation</x:v>
      </x:c>
      <x:c r="O438" t="str">
        <x:v>ngspice</x:v>
      </x:c>
      <x:c r="P438" t="str">
        <x:v>c9ed2e513523c57a76912a35b2860cb85e4aaa3402b69757d84efa9cc2fb8410</x:v>
      </x:c>
      <x:c r="Q438" t="str">
        <x:v>data/raw/ptm45_hp_vds_1v_raw.txt</x:v>
      </x:c>
    </x:row>
    <x:row r="439">
      <x:c r="A439" t="str">
        <x:v>PTM</x:v>
      </x:c>
      <x:c r="B439" t="str">
        <x:v>NMOS</x:v>
      </x:c>
      <x:c r="C439" s="97" t="n">
        <x:v>45</x:v>
      </x:c>
      <x:c r="D439" s="97" t="str">
        <x:v>HP</x:v>
      </x:c>
      <x:c r="E439" s="99" t="n">
        <x:v>1</x:v>
      </x:c>
      <x:c r="F439" s="99" t="n">
        <x:v>0.045</x:v>
      </x:c>
      <x:c r="G439" s="99" t="n">
        <x:v>25</x:v>
      </x:c>
      <x:c r="H439" s="99" t="n">
        <x:v>1</x:v>
      </x:c>
      <x:c r="I439" s="99" t="n">
        <x:v>0.7800000000000007</x:v>
      </x:c>
      <x:c r="J439" s="98" t="n">
        <x:v>0.0008802840463896318</x:v>
      </x:c>
      <x:c r="K439" t="str">
        <x:v>nominal_vdd</x:v>
      </x:c>
      <x:c r="L439" t="str">
        <x:v>model_nominal_vdd</x:v>
      </x:c>
      <x:c r="M439" t="n">
        <x:v>1</x:v>
      </x:c>
      <x:c r="N439" t="str">
        <x:v>simulation</x:v>
      </x:c>
      <x:c r="O439" t="str">
        <x:v>ngspice</x:v>
      </x:c>
      <x:c r="P439" t="str">
        <x:v>c9ed2e513523c57a76912a35b2860cb85e4aaa3402b69757d84efa9cc2fb8410</x:v>
      </x:c>
      <x:c r="Q439" t="str">
        <x:v>data/raw/ptm45_hp_vds_1v_raw.txt</x:v>
      </x:c>
    </x:row>
    <x:row r="440">
      <x:c r="A440" t="str">
        <x:v>PTM</x:v>
      </x:c>
      <x:c r="B440" t="str">
        <x:v>NMOS</x:v>
      </x:c>
      <x:c r="C440" s="97" t="n">
        <x:v>45</x:v>
      </x:c>
      <x:c r="D440" s="97" t="str">
        <x:v>HP</x:v>
      </x:c>
      <x:c r="E440" s="99" t="n">
        <x:v>1</x:v>
      </x:c>
      <x:c r="F440" s="99" t="n">
        <x:v>0.045</x:v>
      </x:c>
      <x:c r="G440" s="99" t="n">
        <x:v>25</x:v>
      </x:c>
      <x:c r="H440" s="99" t="n">
        <x:v>1</x:v>
      </x:c>
      <x:c r="I440" s="99" t="n">
        <x:v>0.7850000000000007</x:v>
      </x:c>
      <x:c r="J440" s="98" t="n">
        <x:v>0.0008908091463533455</x:v>
      </x:c>
      <x:c r="K440" t="str">
        <x:v>nominal_vdd</x:v>
      </x:c>
      <x:c r="L440" t="str">
        <x:v>model_nominal_vdd</x:v>
      </x:c>
      <x:c r="M440" t="n">
        <x:v>1</x:v>
      </x:c>
      <x:c r="N440" t="str">
        <x:v>simulation</x:v>
      </x:c>
      <x:c r="O440" t="str">
        <x:v>ngspice</x:v>
      </x:c>
      <x:c r="P440" t="str">
        <x:v>c9ed2e513523c57a76912a35b2860cb85e4aaa3402b69757d84efa9cc2fb8410</x:v>
      </x:c>
      <x:c r="Q440" t="str">
        <x:v>data/raw/ptm45_hp_vds_1v_raw.txt</x:v>
      </x:c>
    </x:row>
    <x:row r="441">
      <x:c r="A441" t="str">
        <x:v>PTM</x:v>
      </x:c>
      <x:c r="B441" t="str">
        <x:v>NMOS</x:v>
      </x:c>
      <x:c r="C441" s="97" t="n">
        <x:v>45</x:v>
      </x:c>
      <x:c r="D441" s="97" t="str">
        <x:v>HP</x:v>
      </x:c>
      <x:c r="E441" s="99" t="n">
        <x:v>1</x:v>
      </x:c>
      <x:c r="F441" s="99" t="n">
        <x:v>0.045</x:v>
      </x:c>
      <x:c r="G441" s="99" t="n">
        <x:v>25</x:v>
      </x:c>
      <x:c r="H441" s="99" t="n">
        <x:v>1</x:v>
      </x:c>
      <x:c r="I441" s="99" t="n">
        <x:v>0.7900000000000007</x:v>
      </x:c>
      <x:c r="J441" s="98" t="n">
        <x:v>0.0009013298386442135</x:v>
      </x:c>
      <x:c r="K441" t="str">
        <x:v>nominal_vdd</x:v>
      </x:c>
      <x:c r="L441" t="str">
        <x:v>model_nominal_vdd</x:v>
      </x:c>
      <x:c r="M441" t="n">
        <x:v>1</x:v>
      </x:c>
      <x:c r="N441" t="str">
        <x:v>simulation</x:v>
      </x:c>
      <x:c r="O441" t="str">
        <x:v>ngspice</x:v>
      </x:c>
      <x:c r="P441" t="str">
        <x:v>c9ed2e513523c57a76912a35b2860cb85e4aaa3402b69757d84efa9cc2fb8410</x:v>
      </x:c>
      <x:c r="Q441" t="str">
        <x:v>data/raw/ptm45_hp_vds_1v_raw.txt</x:v>
      </x:c>
    </x:row>
    <x:row r="442">
      <x:c r="A442" t="str">
        <x:v>PTM</x:v>
      </x:c>
      <x:c r="B442" t="str">
        <x:v>NMOS</x:v>
      </x:c>
      <x:c r="C442" s="97" t="n">
        <x:v>45</x:v>
      </x:c>
      <x:c r="D442" s="97" t="str">
        <x:v>HP</x:v>
      </x:c>
      <x:c r="E442" s="99" t="n">
        <x:v>1</x:v>
      </x:c>
      <x:c r="F442" s="99" t="n">
        <x:v>0.045</x:v>
      </x:c>
      <x:c r="G442" s="99" t="n">
        <x:v>25</x:v>
      </x:c>
      <x:c r="H442" s="99" t="n">
        <x:v>1</x:v>
      </x:c>
      <x:c r="I442" s="99" t="n">
        <x:v>0.7950000000000007</x:v>
      </x:c>
      <x:c r="J442" s="98" t="n">
        <x:v>0.0009118461187972297</x:v>
      </x:c>
      <x:c r="K442" t="str">
        <x:v>nominal_vdd</x:v>
      </x:c>
      <x:c r="L442" t="str">
        <x:v>model_nominal_vdd</x:v>
      </x:c>
      <x:c r="M442" t="n">
        <x:v>1</x:v>
      </x:c>
      <x:c r="N442" t="str">
        <x:v>simulation</x:v>
      </x:c>
      <x:c r="O442" t="str">
        <x:v>ngspice</x:v>
      </x:c>
      <x:c r="P442" t="str">
        <x:v>c9ed2e513523c57a76912a35b2860cb85e4aaa3402b69757d84efa9cc2fb8410</x:v>
      </x:c>
      <x:c r="Q442" t="str">
        <x:v>data/raw/ptm45_hp_vds_1v_raw.txt</x:v>
      </x:c>
    </x:row>
    <x:row r="443">
      <x:c r="A443" t="str">
        <x:v>PTM</x:v>
      </x:c>
      <x:c r="B443" t="str">
        <x:v>NMOS</x:v>
      </x:c>
      <x:c r="C443" s="97" t="n">
        <x:v>45</x:v>
      </x:c>
      <x:c r="D443" s="97" t="str">
        <x:v>HP</x:v>
      </x:c>
      <x:c r="E443" s="99" t="n">
        <x:v>1</x:v>
      </x:c>
      <x:c r="F443" s="99" t="n">
        <x:v>0.045</x:v>
      </x:c>
      <x:c r="G443" s="99" t="n">
        <x:v>25</x:v>
      </x:c>
      <x:c r="H443" s="99" t="n">
        <x:v>1</x:v>
      </x:c>
      <x:c r="I443" s="99" t="n">
        <x:v>0.8000000000000007</x:v>
      </x:c>
      <x:c r="J443" s="98" t="n">
        <x:v>0.0009223579843246119</x:v>
      </x:c>
      <x:c r="K443" t="str">
        <x:v>nominal_vdd</x:v>
      </x:c>
      <x:c r="L443" t="str">
        <x:v>model_nominal_vdd</x:v>
      </x:c>
      <x:c r="M443" t="n">
        <x:v>1</x:v>
      </x:c>
      <x:c r="N443" t="str">
        <x:v>simulation</x:v>
      </x:c>
      <x:c r="O443" t="str">
        <x:v>ngspice</x:v>
      </x:c>
      <x:c r="P443" t="str">
        <x:v>c9ed2e513523c57a76912a35b2860cb85e4aaa3402b69757d84efa9cc2fb8410</x:v>
      </x:c>
      <x:c r="Q443" t="str">
        <x:v>data/raw/ptm45_hp_vds_1v_raw.txt</x:v>
      </x:c>
    </x:row>
    <x:row r="444">
      <x:c r="A444" t="str">
        <x:v>PTM</x:v>
      </x:c>
      <x:c r="B444" t="str">
        <x:v>NMOS</x:v>
      </x:c>
      <x:c r="C444" s="97" t="n">
        <x:v>45</x:v>
      </x:c>
      <x:c r="D444" s="97" t="str">
        <x:v>HP</x:v>
      </x:c>
      <x:c r="E444" s="99" t="n">
        <x:v>1</x:v>
      </x:c>
      <x:c r="F444" s="99" t="n">
        <x:v>0.045</x:v>
      </x:c>
      <x:c r="G444" s="99" t="n">
        <x:v>25</x:v>
      </x:c>
      <x:c r="H444" s="99" t="n">
        <x:v>1</x:v>
      </x:c>
      <x:c r="I444" s="99" t="n">
        <x:v>0.8050000000000007</x:v>
      </x:c>
      <x:c r="J444" s="98" t="n">
        <x:v>0.0009328654343488239</x:v>
      </x:c>
      <x:c r="K444" t="str">
        <x:v>nominal_vdd</x:v>
      </x:c>
      <x:c r="L444" t="str">
        <x:v>model_nominal_vdd</x:v>
      </x:c>
      <x:c r="M444" t="n">
        <x:v>1</x:v>
      </x:c>
      <x:c r="N444" t="str">
        <x:v>simulation</x:v>
      </x:c>
      <x:c r="O444" t="str">
        <x:v>ngspice</x:v>
      </x:c>
      <x:c r="P444" t="str">
        <x:v>c9ed2e513523c57a76912a35b2860cb85e4aaa3402b69757d84efa9cc2fb8410</x:v>
      </x:c>
      <x:c r="Q444" t="str">
        <x:v>data/raw/ptm45_hp_vds_1v_raw.txt</x:v>
      </x:c>
    </x:row>
    <x:row r="445">
      <x:c r="A445" t="str">
        <x:v>PTM</x:v>
      </x:c>
      <x:c r="B445" t="str">
        <x:v>NMOS</x:v>
      </x:c>
      <x:c r="C445" s="97" t="n">
        <x:v>45</x:v>
      </x:c>
      <x:c r="D445" s="97" t="str">
        <x:v>HP</x:v>
      </x:c>
      <x:c r="E445" s="99" t="n">
        <x:v>1</x:v>
      </x:c>
      <x:c r="F445" s="99" t="n">
        <x:v>0.045</x:v>
      </x:c>
      <x:c r="G445" s="99" t="n">
        <x:v>25</x:v>
      </x:c>
      <x:c r="H445" s="99" t="n">
        <x:v>1</x:v>
      </x:c>
      <x:c r="I445" s="99" t="n">
        <x:v>0.8100000000000007</x:v>
      </x:c>
      <x:c r="J445" s="98" t="n">
        <x:v>0.0009433684692735243</x:v>
      </x:c>
      <x:c r="K445" t="str">
        <x:v>nominal_vdd</x:v>
      </x:c>
      <x:c r="L445" t="str">
        <x:v>model_nominal_vdd</x:v>
      </x:c>
      <x:c r="M445" t="n">
        <x:v>1</x:v>
      </x:c>
      <x:c r="N445" t="str">
        <x:v>simulation</x:v>
      </x:c>
      <x:c r="O445" t="str">
        <x:v>ngspice</x:v>
      </x:c>
      <x:c r="P445" t="str">
        <x:v>c9ed2e513523c57a76912a35b2860cb85e4aaa3402b69757d84efa9cc2fb8410</x:v>
      </x:c>
      <x:c r="Q445" t="str">
        <x:v>data/raw/ptm45_hp_vds_1v_raw.txt</x:v>
      </x:c>
    </x:row>
    <x:row r="446">
      <x:c r="A446" t="str">
        <x:v>PTM</x:v>
      </x:c>
      <x:c r="B446" t="str">
        <x:v>NMOS</x:v>
      </x:c>
      <x:c r="C446" s="97" t="n">
        <x:v>45</x:v>
      </x:c>
      <x:c r="D446" s="97" t="str">
        <x:v>HP</x:v>
      </x:c>
      <x:c r="E446" s="99" t="n">
        <x:v>1</x:v>
      </x:c>
      <x:c r="F446" s="99" t="n">
        <x:v>0.045</x:v>
      </x:c>
      <x:c r="G446" s="99" t="n">
        <x:v>25</x:v>
      </x:c>
      <x:c r="H446" s="99" t="n">
        <x:v>1</x:v>
      </x:c>
      <x:c r="I446" s="99" t="n">
        <x:v>0.8150000000000007</x:v>
      </x:c>
      <x:c r="J446" s="98" t="n">
        <x:v>0.0009538670904892137</x:v>
      </x:c>
      <x:c r="K446" t="str">
        <x:v>nominal_vdd</x:v>
      </x:c>
      <x:c r="L446" t="str">
        <x:v>model_nominal_vdd</x:v>
      </x:c>
      <x:c r="M446" t="n">
        <x:v>1</x:v>
      </x:c>
      <x:c r="N446" t="str">
        <x:v>simulation</x:v>
      </x:c>
      <x:c r="O446" t="str">
        <x:v>ngspice</x:v>
      </x:c>
      <x:c r="P446" t="str">
        <x:v>c9ed2e513523c57a76912a35b2860cb85e4aaa3402b69757d84efa9cc2fb8410</x:v>
      </x:c>
      <x:c r="Q446" t="str">
        <x:v>data/raw/ptm45_hp_vds_1v_raw.txt</x:v>
      </x:c>
    </x:row>
    <x:row r="447">
      <x:c r="A447" t="str">
        <x:v>PTM</x:v>
      </x:c>
      <x:c r="B447" t="str">
        <x:v>NMOS</x:v>
      </x:c>
      <x:c r="C447" s="97" t="n">
        <x:v>45</x:v>
      </x:c>
      <x:c r="D447" s="97" t="str">
        <x:v>HP</x:v>
      </x:c>
      <x:c r="E447" s="99" t="n">
        <x:v>1</x:v>
      </x:c>
      <x:c r="F447" s="99" t="n">
        <x:v>0.045</x:v>
      </x:c>
      <x:c r="G447" s="99" t="n">
        <x:v>25</x:v>
      </x:c>
      <x:c r="H447" s="99" t="n">
        <x:v>1</x:v>
      </x:c>
      <x:c r="I447" s="99" t="n">
        <x:v>0.8200000000000007</x:v>
      </x:c>
      <x:c r="J447" s="98" t="n">
        <x:v>0.0009643613001104705</x:v>
      </x:c>
      <x:c r="K447" t="str">
        <x:v>nominal_vdd</x:v>
      </x:c>
      <x:c r="L447" t="str">
        <x:v>model_nominal_vdd</x:v>
      </x:c>
      <x:c r="M447" t="n">
        <x:v>1</x:v>
      </x:c>
      <x:c r="N447" t="str">
        <x:v>simulation</x:v>
      </x:c>
      <x:c r="O447" t="str">
        <x:v>ngspice</x:v>
      </x:c>
      <x:c r="P447" t="str">
        <x:v>c9ed2e513523c57a76912a35b2860cb85e4aaa3402b69757d84efa9cc2fb8410</x:v>
      </x:c>
      <x:c r="Q447" t="str">
        <x:v>data/raw/ptm45_hp_vds_1v_raw.txt</x:v>
      </x:c>
    </x:row>
    <x:row r="448">
      <x:c r="A448" t="str">
        <x:v>PTM</x:v>
      </x:c>
      <x:c r="B448" t="str">
        <x:v>NMOS</x:v>
      </x:c>
      <x:c r="C448" s="97" t="n">
        <x:v>45</x:v>
      </x:c>
      <x:c r="D448" s="97" t="str">
        <x:v>HP</x:v>
      </x:c>
      <x:c r="E448" s="99" t="n">
        <x:v>1</x:v>
      </x:c>
      <x:c r="F448" s="99" t="n">
        <x:v>0.045</x:v>
      </x:c>
      <x:c r="G448" s="99" t="n">
        <x:v>25</x:v>
      </x:c>
      <x:c r="H448" s="99" t="n">
        <x:v>1</x:v>
      </x:c>
      <x:c r="I448" s="99" t="n">
        <x:v>0.8250000000000007</x:v>
      </x:c>
      <x:c r="J448" s="98" t="n">
        <x:v>0.0009748511007420388</x:v>
      </x:c>
      <x:c r="K448" t="str">
        <x:v>nominal_vdd</x:v>
      </x:c>
      <x:c r="L448" t="str">
        <x:v>model_nominal_vdd</x:v>
      </x:c>
      <x:c r="M448" t="n">
        <x:v>1</x:v>
      </x:c>
      <x:c r="N448" t="str">
        <x:v>simulation</x:v>
      </x:c>
      <x:c r="O448" t="str">
        <x:v>ngspice</x:v>
      </x:c>
      <x:c r="P448" t="str">
        <x:v>c9ed2e513523c57a76912a35b2860cb85e4aaa3402b69757d84efa9cc2fb8410</x:v>
      </x:c>
      <x:c r="Q448" t="str">
        <x:v>data/raw/ptm45_hp_vds_1v_raw.txt</x:v>
      </x:c>
    </x:row>
    <x:row r="449">
      <x:c r="A449" t="str">
        <x:v>PTM</x:v>
      </x:c>
      <x:c r="B449" t="str">
        <x:v>NMOS</x:v>
      </x:c>
      <x:c r="C449" s="97" t="n">
        <x:v>45</x:v>
      </x:c>
      <x:c r="D449" s="97" t="str">
        <x:v>HP</x:v>
      </x:c>
      <x:c r="E449" s="99" t="n">
        <x:v>1</x:v>
      </x:c>
      <x:c r="F449" s="99" t="n">
        <x:v>0.045</x:v>
      </x:c>
      <x:c r="G449" s="99" t="n">
        <x:v>25</x:v>
      </x:c>
      <x:c r="H449" s="99" t="n">
        <x:v>1</x:v>
      </x:c>
      <x:c r="I449" s="99" t="n">
        <x:v>0.8300000000000007</x:v>
      </x:c>
      <x:c r="J449" s="98" t="n">
        <x:v>0.0009853364952711456</x:v>
      </x:c>
      <x:c r="K449" t="str">
        <x:v>nominal_vdd</x:v>
      </x:c>
      <x:c r="L449" t="str">
        <x:v>model_nominal_vdd</x:v>
      </x:c>
      <x:c r="M449" t="n">
        <x:v>1</x:v>
      </x:c>
      <x:c r="N449" t="str">
        <x:v>simulation</x:v>
      </x:c>
      <x:c r="O449" t="str">
        <x:v>ngspice</x:v>
      </x:c>
      <x:c r="P449" t="str">
        <x:v>c9ed2e513523c57a76912a35b2860cb85e4aaa3402b69757d84efa9cc2fb8410</x:v>
      </x:c>
      <x:c r="Q449" t="str">
        <x:v>data/raw/ptm45_hp_vds_1v_raw.txt</x:v>
      </x:c>
    </x:row>
    <x:row r="450">
      <x:c r="A450" t="str">
        <x:v>PTM</x:v>
      </x:c>
      <x:c r="B450" t="str">
        <x:v>NMOS</x:v>
      </x:c>
      <x:c r="C450" s="97" t="n">
        <x:v>45</x:v>
      </x:c>
      <x:c r="D450" s="97" t="str">
        <x:v>HP</x:v>
      </x:c>
      <x:c r="E450" s="99" t="n">
        <x:v>1</x:v>
      </x:c>
      <x:c r="F450" s="99" t="n">
        <x:v>0.045</x:v>
      </x:c>
      <x:c r="G450" s="99" t="n">
        <x:v>25</x:v>
      </x:c>
      <x:c r="H450" s="99" t="n">
        <x:v>1</x:v>
      </x:c>
      <x:c r="I450" s="99" t="n">
        <x:v>0.8350000000000007</x:v>
      </x:c>
      <x:c r="J450" s="98" t="n">
        <x:v>0.0009958174866837135</x:v>
      </x:c>
      <x:c r="K450" t="str">
        <x:v>nominal_vdd</x:v>
      </x:c>
      <x:c r="L450" t="str">
        <x:v>model_nominal_vdd</x:v>
      </x:c>
      <x:c r="M450" t="n">
        <x:v>1</x:v>
      </x:c>
      <x:c r="N450" t="str">
        <x:v>simulation</x:v>
      </x:c>
      <x:c r="O450" t="str">
        <x:v>ngspice</x:v>
      </x:c>
      <x:c r="P450" t="str">
        <x:v>c9ed2e513523c57a76912a35b2860cb85e4aaa3402b69757d84efa9cc2fb8410</x:v>
      </x:c>
      <x:c r="Q450" t="str">
        <x:v>data/raw/ptm45_hp_vds_1v_raw.txt</x:v>
      </x:c>
    </x:row>
    <x:row r="451">
      <x:c r="A451" t="str">
        <x:v>PTM</x:v>
      </x:c>
      <x:c r="B451" t="str">
        <x:v>NMOS</x:v>
      </x:c>
      <x:c r="C451" s="97" t="n">
        <x:v>45</x:v>
      </x:c>
      <x:c r="D451" s="97" t="str">
        <x:v>HP</x:v>
      </x:c>
      <x:c r="E451" s="99" t="n">
        <x:v>1</x:v>
      </x:c>
      <x:c r="F451" s="99" t="n">
        <x:v>0.045</x:v>
      </x:c>
      <x:c r="G451" s="99" t="n">
        <x:v>25</x:v>
      </x:c>
      <x:c r="H451" s="99" t="n">
        <x:v>1</x:v>
      </x:c>
      <x:c r="I451" s="99" t="n">
        <x:v>0.8400000000000007</x:v>
      </x:c>
      <x:c r="J451" s="98" t="n">
        <x:v>0.001006294077902229</x:v>
      </x:c>
      <x:c r="K451" t="str">
        <x:v>nominal_vdd</x:v>
      </x:c>
      <x:c r="L451" t="str">
        <x:v>model_nominal_vdd</x:v>
      </x:c>
      <x:c r="M451" t="n">
        <x:v>1</x:v>
      </x:c>
      <x:c r="N451" t="str">
        <x:v>simulation</x:v>
      </x:c>
      <x:c r="O451" t="str">
        <x:v>ngspice</x:v>
      </x:c>
      <x:c r="P451" t="str">
        <x:v>c9ed2e513523c57a76912a35b2860cb85e4aaa3402b69757d84efa9cc2fb8410</x:v>
      </x:c>
      <x:c r="Q451" t="str">
        <x:v>data/raw/ptm45_hp_vds_1v_raw.txt</x:v>
      </x:c>
    </x:row>
    <x:row r="452">
      <x:c r="A452" t="str">
        <x:v>PTM</x:v>
      </x:c>
      <x:c r="B452" t="str">
        <x:v>NMOS</x:v>
      </x:c>
      <x:c r="C452" s="97" t="n">
        <x:v>45</x:v>
      </x:c>
      <x:c r="D452" s="97" t="str">
        <x:v>HP</x:v>
      </x:c>
      <x:c r="E452" s="99" t="n">
        <x:v>1</x:v>
      </x:c>
      <x:c r="F452" s="99" t="n">
        <x:v>0.045</x:v>
      </x:c>
      <x:c r="G452" s="99" t="n">
        <x:v>25</x:v>
      </x:c>
      <x:c r="H452" s="99" t="n">
        <x:v>1</x:v>
      </x:c>
      <x:c r="I452" s="99" t="n">
        <x:v>0.8450000000000008</x:v>
      </x:c>
      <x:c r="J452" s="98" t="n">
        <x:v>0.001016766271643333</x:v>
      </x:c>
      <x:c r="K452" t="str">
        <x:v>nominal_vdd</x:v>
      </x:c>
      <x:c r="L452" t="str">
        <x:v>model_nominal_vdd</x:v>
      </x:c>
      <x:c r="M452" t="n">
        <x:v>1</x:v>
      </x:c>
      <x:c r="N452" t="str">
        <x:v>simulation</x:v>
      </x:c>
      <x:c r="O452" t="str">
        <x:v>ngspice</x:v>
      </x:c>
      <x:c r="P452" t="str">
        <x:v>c9ed2e513523c57a76912a35b2860cb85e4aaa3402b69757d84efa9cc2fb8410</x:v>
      </x:c>
      <x:c r="Q452" t="str">
        <x:v>data/raw/ptm45_hp_vds_1v_raw.txt</x:v>
      </x:c>
    </x:row>
    <x:row r="453">
      <x:c r="A453" t="str">
        <x:v>PTM</x:v>
      </x:c>
      <x:c r="B453" t="str">
        <x:v>NMOS</x:v>
      </x:c>
      <x:c r="C453" s="97" t="n">
        <x:v>45</x:v>
      </x:c>
      <x:c r="D453" s="97" t="str">
        <x:v>HP</x:v>
      </x:c>
      <x:c r="E453" s="99" t="n">
        <x:v>1</x:v>
      </x:c>
      <x:c r="F453" s="99" t="n">
        <x:v>0.045</x:v>
      </x:c>
      <x:c r="G453" s="99" t="n">
        <x:v>25</x:v>
      </x:c>
      <x:c r="H453" s="99" t="n">
        <x:v>1</x:v>
      </x:c>
      <x:c r="I453" s="99" t="n">
        <x:v>0.8500000000000008</x:v>
      </x:c>
      <x:c r="J453" s="98" t="n">
        <x:v>0.001027234070293259</x:v>
      </x:c>
      <x:c r="K453" t="str">
        <x:v>nominal_vdd</x:v>
      </x:c>
      <x:c r="L453" t="str">
        <x:v>model_nominal_vdd</x:v>
      </x:c>
      <x:c r="M453" t="n">
        <x:v>1</x:v>
      </x:c>
      <x:c r="N453" t="str">
        <x:v>simulation</x:v>
      </x:c>
      <x:c r="O453" t="str">
        <x:v>ngspice</x:v>
      </x:c>
      <x:c r="P453" t="str">
        <x:v>c9ed2e513523c57a76912a35b2860cb85e4aaa3402b69757d84efa9cc2fb8410</x:v>
      </x:c>
      <x:c r="Q453" t="str">
        <x:v>data/raw/ptm45_hp_vds_1v_raw.txt</x:v>
      </x:c>
    </x:row>
    <x:row r="454">
      <x:c r="A454" t="str">
        <x:v>PTM</x:v>
      </x:c>
      <x:c r="B454" t="str">
        <x:v>NMOS</x:v>
      </x:c>
      <x:c r="C454" s="97" t="n">
        <x:v>45</x:v>
      </x:c>
      <x:c r="D454" s="97" t="str">
        <x:v>HP</x:v>
      </x:c>
      <x:c r="E454" s="99" t="n">
        <x:v>1</x:v>
      </x:c>
      <x:c r="F454" s="99" t="n">
        <x:v>0.045</x:v>
      </x:c>
      <x:c r="G454" s="99" t="n">
        <x:v>25</x:v>
      </x:c>
      <x:c r="H454" s="99" t="n">
        <x:v>1</x:v>
      </x:c>
      <x:c r="I454" s="99" t="n">
        <x:v>0.8550000000000008</x:v>
      </x:c>
      <x:c r="J454" s="98" t="n">
        <x:v>0.001037697475799404</x:v>
      </x:c>
      <x:c r="K454" t="str">
        <x:v>nominal_vdd</x:v>
      </x:c>
      <x:c r="L454" t="str">
        <x:v>model_nominal_vdd</x:v>
      </x:c>
      <x:c r="M454" t="n">
        <x:v>1</x:v>
      </x:c>
      <x:c r="N454" t="str">
        <x:v>simulation</x:v>
      </x:c>
      <x:c r="O454" t="str">
        <x:v>ngspice</x:v>
      </x:c>
      <x:c r="P454" t="str">
        <x:v>c9ed2e513523c57a76912a35b2860cb85e4aaa3402b69757d84efa9cc2fb8410</x:v>
      </x:c>
      <x:c r="Q454" t="str">
        <x:v>data/raw/ptm45_hp_vds_1v_raw.txt</x:v>
      </x:c>
    </x:row>
    <x:row r="455">
      <x:c r="A455" t="str">
        <x:v>PTM</x:v>
      </x:c>
      <x:c r="B455" t="str">
        <x:v>NMOS</x:v>
      </x:c>
      <x:c r="C455" s="97" t="n">
        <x:v>45</x:v>
      </x:c>
      <x:c r="D455" s="97" t="str">
        <x:v>HP</x:v>
      </x:c>
      <x:c r="E455" s="99" t="n">
        <x:v>1</x:v>
      </x:c>
      <x:c r="F455" s="99" t="n">
        <x:v>0.045</x:v>
      </x:c>
      <x:c r="G455" s="99" t="n">
        <x:v>25</x:v>
      </x:c>
      <x:c r="H455" s="99" t="n">
        <x:v>1</x:v>
      </x:c>
      <x:c r="I455" s="99" t="n">
        <x:v>0.8600000000000008</x:v>
      </x:c>
      <x:c r="J455" s="98" t="n">
        <x:v>0.001048156489576517</x:v>
      </x:c>
      <x:c r="K455" t="str">
        <x:v>nominal_vdd</x:v>
      </x:c>
      <x:c r="L455" t="str">
        <x:v>model_nominal_vdd</x:v>
      </x:c>
      <x:c r="M455" t="n">
        <x:v>1</x:v>
      </x:c>
      <x:c r="N455" t="str">
        <x:v>simulation</x:v>
      </x:c>
      <x:c r="O455" t="str">
        <x:v>ngspice</x:v>
      </x:c>
      <x:c r="P455" t="str">
        <x:v>c9ed2e513523c57a76912a35b2860cb85e4aaa3402b69757d84efa9cc2fb8410</x:v>
      </x:c>
      <x:c r="Q455" t="str">
        <x:v>data/raw/ptm45_hp_vds_1v_raw.txt</x:v>
      </x:c>
    </x:row>
    <x:row r="456">
      <x:c r="A456" t="str">
        <x:v>PTM</x:v>
      </x:c>
      <x:c r="B456" t="str">
        <x:v>NMOS</x:v>
      </x:c>
      <x:c r="C456" s="97" t="n">
        <x:v>45</x:v>
      </x:c>
      <x:c r="D456" s="97" t="str">
        <x:v>HP</x:v>
      </x:c>
      <x:c r="E456" s="99" t="n">
        <x:v>1</x:v>
      </x:c>
      <x:c r="F456" s="99" t="n">
        <x:v>0.045</x:v>
      </x:c>
      <x:c r="G456" s="99" t="n">
        <x:v>25</x:v>
      </x:c>
      <x:c r="H456" s="99" t="n">
        <x:v>1</x:v>
      </x:c>
      <x:c r="I456" s="99" t="n">
        <x:v>0.8650000000000008</x:v>
      </x:c>
      <x:c r="J456" s="98" t="n">
        <x:v>0.001058611112426121</x:v>
      </x:c>
      <x:c r="K456" t="str">
        <x:v>nominal_vdd</x:v>
      </x:c>
      <x:c r="L456" t="str">
        <x:v>model_nominal_vdd</x:v>
      </x:c>
      <x:c r="M456" t="n">
        <x:v>1</x:v>
      </x:c>
      <x:c r="N456" t="str">
        <x:v>simulation</x:v>
      </x:c>
      <x:c r="O456" t="str">
        <x:v>ngspice</x:v>
      </x:c>
      <x:c r="P456" t="str">
        <x:v>c9ed2e513523c57a76912a35b2860cb85e4aaa3402b69757d84efa9cc2fb8410</x:v>
      </x:c>
      <x:c r="Q456" t="str">
        <x:v>data/raw/ptm45_hp_vds_1v_raw.txt</x:v>
      </x:c>
    </x:row>
    <x:row r="457">
      <x:c r="A457" t="str">
        <x:v>PTM</x:v>
      </x:c>
      <x:c r="B457" t="str">
        <x:v>NMOS</x:v>
      </x:c>
      <x:c r="C457" s="97" t="n">
        <x:v>45</x:v>
      </x:c>
      <x:c r="D457" s="97" t="str">
        <x:v>HP</x:v>
      </x:c>
      <x:c r="E457" s="99" t="n">
        <x:v>1</x:v>
      </x:c>
      <x:c r="F457" s="99" t="n">
        <x:v>0.045</x:v>
      </x:c>
      <x:c r="G457" s="99" t="n">
        <x:v>25</x:v>
      </x:c>
      <x:c r="H457" s="99" t="n">
        <x:v>1</x:v>
      </x:c>
      <x:c r="I457" s="99" t="n">
        <x:v>0.8700000000000008</x:v>
      </x:c>
      <x:c r="J457" s="98" t="n">
        <x:v>0.001069061344467763</x:v>
      </x:c>
      <x:c r="K457" t="str">
        <x:v>nominal_vdd</x:v>
      </x:c>
      <x:c r="L457" t="str">
        <x:v>model_nominal_vdd</x:v>
      </x:c>
      <x:c r="M457" t="n">
        <x:v>1</x:v>
      </x:c>
      <x:c r="N457" t="str">
        <x:v>simulation</x:v>
      </x:c>
      <x:c r="O457" t="str">
        <x:v>ngspice</x:v>
      </x:c>
      <x:c r="P457" t="str">
        <x:v>c9ed2e513523c57a76912a35b2860cb85e4aaa3402b69757d84efa9cc2fb8410</x:v>
      </x:c>
      <x:c r="Q457" t="str">
        <x:v>data/raw/ptm45_hp_vds_1v_raw.txt</x:v>
      </x:c>
    </x:row>
    <x:row r="458">
      <x:c r="A458" t="str">
        <x:v>PTM</x:v>
      </x:c>
      <x:c r="B458" t="str">
        <x:v>NMOS</x:v>
      </x:c>
      <x:c r="C458" s="97" t="n">
        <x:v>45</x:v>
      </x:c>
      <x:c r="D458" s="97" t="str">
        <x:v>HP</x:v>
      </x:c>
      <x:c r="E458" s="99" t="n">
        <x:v>1</x:v>
      </x:c>
      <x:c r="F458" s="99" t="n">
        <x:v>0.045</x:v>
      </x:c>
      <x:c r="G458" s="99" t="n">
        <x:v>25</x:v>
      </x:c>
      <x:c r="H458" s="99" t="n">
        <x:v>1</x:v>
      </x:c>
      <x:c r="I458" s="99" t="n">
        <x:v>0.8750000000000008</x:v>
      </x:c>
      <x:c r="J458" s="98" t="n">
        <x:v>0.001079507185081012</x:v>
      </x:c>
      <x:c r="K458" t="str">
        <x:v>nominal_vdd</x:v>
      </x:c>
      <x:c r="L458" t="str">
        <x:v>model_nominal_vdd</x:v>
      </x:c>
      <x:c r="M458" t="n">
        <x:v>1</x:v>
      </x:c>
      <x:c r="N458" t="str">
        <x:v>simulation</x:v>
      </x:c>
      <x:c r="O458" t="str">
        <x:v>ngspice</x:v>
      </x:c>
      <x:c r="P458" t="str">
        <x:v>c9ed2e513523c57a76912a35b2860cb85e4aaa3402b69757d84efa9cc2fb8410</x:v>
      </x:c>
      <x:c r="Q458" t="str">
        <x:v>data/raw/ptm45_hp_vds_1v_raw.txt</x:v>
      </x:c>
    </x:row>
    <x:row r="459">
      <x:c r="A459" t="str">
        <x:v>PTM</x:v>
      </x:c>
      <x:c r="B459" t="str">
        <x:v>NMOS</x:v>
      </x:c>
      <x:c r="C459" s="97" t="n">
        <x:v>45</x:v>
      </x:c>
      <x:c r="D459" s="97" t="str">
        <x:v>HP</x:v>
      </x:c>
      <x:c r="E459" s="99" t="n">
        <x:v>1</x:v>
      </x:c>
      <x:c r="F459" s="99" t="n">
        <x:v>0.045</x:v>
      </x:c>
      <x:c r="G459" s="99" t="n">
        <x:v>25</x:v>
      </x:c>
      <x:c r="H459" s="99" t="n">
        <x:v>1</x:v>
      </x:c>
      <x:c r="I459" s="99" t="n">
        <x:v>0.8800000000000008</x:v>
      </x:c>
      <x:c r="J459" s="98" t="n">
        <x:v>0.001089948632857063</x:v>
      </x:c>
      <x:c r="K459" t="str">
        <x:v>nominal_vdd</x:v>
      </x:c>
      <x:c r="L459" t="str">
        <x:v>model_nominal_vdd</x:v>
      </x:c>
      <x:c r="M459" t="n">
        <x:v>1</x:v>
      </x:c>
      <x:c r="N459" t="str">
        <x:v>simulation</x:v>
      </x:c>
      <x:c r="O459" t="str">
        <x:v>ngspice</x:v>
      </x:c>
      <x:c r="P459" t="str">
        <x:v>c9ed2e513523c57a76912a35b2860cb85e4aaa3402b69757d84efa9cc2fb8410</x:v>
      </x:c>
      <x:c r="Q459" t="str">
        <x:v>data/raw/ptm45_hp_vds_1v_raw.txt</x:v>
      </x:c>
    </x:row>
    <x:row r="460">
      <x:c r="A460" t="str">
        <x:v>PTM</x:v>
      </x:c>
      <x:c r="B460" t="str">
        <x:v>NMOS</x:v>
      </x:c>
      <x:c r="C460" s="97" t="n">
        <x:v>45</x:v>
      </x:c>
      <x:c r="D460" s="97" t="str">
        <x:v>HP</x:v>
      </x:c>
      <x:c r="E460" s="99" t="n">
        <x:v>1</x:v>
      </x:c>
      <x:c r="F460" s="99" t="n">
        <x:v>0.045</x:v>
      </x:c>
      <x:c r="G460" s="99" t="n">
        <x:v>25</x:v>
      </x:c>
      <x:c r="H460" s="99" t="n">
        <x:v>1</x:v>
      </x:c>
      <x:c r="I460" s="99" t="n">
        <x:v>0.8850000000000008</x:v>
      </x:c>
      <x:c r="J460" s="98" t="n">
        <x:v>0.001100385685558967</x:v>
      </x:c>
      <x:c r="K460" t="str">
        <x:v>nominal_vdd</x:v>
      </x:c>
      <x:c r="L460" t="str">
        <x:v>model_nominal_vdd</x:v>
      </x:c>
      <x:c r="M460" t="n">
        <x:v>1</x:v>
      </x:c>
      <x:c r="N460" t="str">
        <x:v>simulation</x:v>
      </x:c>
      <x:c r="O460" t="str">
        <x:v>ngspice</x:v>
      </x:c>
      <x:c r="P460" t="str">
        <x:v>c9ed2e513523c57a76912a35b2860cb85e4aaa3402b69757d84efa9cc2fb8410</x:v>
      </x:c>
      <x:c r="Q460" t="str">
        <x:v>data/raw/ptm45_hp_vds_1v_raw.txt</x:v>
      </x:c>
    </x:row>
    <x:row r="461">
      <x:c r="A461" t="str">
        <x:v>PTM</x:v>
      </x:c>
      <x:c r="B461" t="str">
        <x:v>NMOS</x:v>
      </x:c>
      <x:c r="C461" s="97" t="n">
        <x:v>45</x:v>
      </x:c>
      <x:c r="D461" s="97" t="str">
        <x:v>HP</x:v>
      </x:c>
      <x:c r="E461" s="99" t="n">
        <x:v>1</x:v>
      </x:c>
      <x:c r="F461" s="99" t="n">
        <x:v>0.045</x:v>
      </x:c>
      <x:c r="G461" s="99" t="n">
        <x:v>25</x:v>
      </x:c>
      <x:c r="H461" s="99" t="n">
        <x:v>1</x:v>
      </x:c>
      <x:c r="I461" s="99" t="n">
        <x:v>0.8900000000000008</x:v>
      </x:c>
      <x:c r="J461" s="98" t="n">
        <x:v>0.001110818340089577</x:v>
      </x:c>
      <x:c r="K461" t="str">
        <x:v>nominal_vdd</x:v>
      </x:c>
      <x:c r="L461" t="str">
        <x:v>model_nominal_vdd</x:v>
      </x:c>
      <x:c r="M461" t="n">
        <x:v>1</x:v>
      </x:c>
      <x:c r="N461" t="str">
        <x:v>simulation</x:v>
      </x:c>
      <x:c r="O461" t="str">
        <x:v>ngspice</x:v>
      </x:c>
      <x:c r="P461" t="str">
        <x:v>c9ed2e513523c57a76912a35b2860cb85e4aaa3402b69757d84efa9cc2fb8410</x:v>
      </x:c>
      <x:c r="Q461" t="str">
        <x:v>data/raw/ptm45_hp_vds_1v_raw.txt</x:v>
      </x:c>
    </x:row>
    <x:row r="462">
      <x:c r="A462" t="str">
        <x:v>PTM</x:v>
      </x:c>
      <x:c r="B462" t="str">
        <x:v>NMOS</x:v>
      </x:c>
      <x:c r="C462" s="97" t="n">
        <x:v>45</x:v>
      </x:c>
      <x:c r="D462" s="97" t="str">
        <x:v>HP</x:v>
      </x:c>
      <x:c r="E462" s="99" t="n">
        <x:v>1</x:v>
      </x:c>
      <x:c r="F462" s="99" t="n">
        <x:v>0.045</x:v>
      </x:c>
      <x:c r="G462" s="99" t="n">
        <x:v>25</x:v>
      </x:c>
      <x:c r="H462" s="99" t="n">
        <x:v>1</x:v>
      </x:c>
      <x:c r="I462" s="99" t="n">
        <x:v>0.8950000000000008</x:v>
      </x:c>
      <x:c r="J462" s="98" t="n">
        <x:v>0.001121246592466391</x:v>
      </x:c>
      <x:c r="K462" t="str">
        <x:v>nominal_vdd</x:v>
      </x:c>
      <x:c r="L462" t="str">
        <x:v>model_nominal_vdd</x:v>
      </x:c>
      <x:c r="M462" t="n">
        <x:v>1</x:v>
      </x:c>
      <x:c r="N462" t="str">
        <x:v>simulation</x:v>
      </x:c>
      <x:c r="O462" t="str">
        <x:v>ngspice</x:v>
      </x:c>
      <x:c r="P462" t="str">
        <x:v>c9ed2e513523c57a76912a35b2860cb85e4aaa3402b69757d84efa9cc2fb8410</x:v>
      </x:c>
      <x:c r="Q462" t="str">
        <x:v>data/raw/ptm45_hp_vds_1v_raw.txt</x:v>
      </x:c>
    </x:row>
    <x:row r="463">
      <x:c r="A463" t="str">
        <x:v>PTM</x:v>
      </x:c>
      <x:c r="B463" t="str">
        <x:v>NMOS</x:v>
      </x:c>
      <x:c r="C463" s="97" t="n">
        <x:v>45</x:v>
      </x:c>
      <x:c r="D463" s="97" t="str">
        <x:v>HP</x:v>
      </x:c>
      <x:c r="E463" s="99" t="n">
        <x:v>1</x:v>
      </x:c>
      <x:c r="F463" s="99" t="n">
        <x:v>0.045</x:v>
      </x:c>
      <x:c r="G463" s="99" t="n">
        <x:v>25</x:v>
      </x:c>
      <x:c r="H463" s="99" t="n">
        <x:v>1</x:v>
      </x:c>
      <x:c r="I463" s="99" t="n">
        <x:v>0.9000000000000008</x:v>
      </x:c>
      <x:c r="J463" s="98" t="n">
        <x:v>0.001131670437802516</x:v>
      </x:c>
      <x:c r="K463" t="str">
        <x:v>nominal_vdd</x:v>
      </x:c>
      <x:c r="L463" t="str">
        <x:v>model_nominal_vdd</x:v>
      </x:c>
      <x:c r="M463" t="n">
        <x:v>1</x:v>
      </x:c>
      <x:c r="N463" t="str">
        <x:v>simulation</x:v>
      </x:c>
      <x:c r="O463" t="str">
        <x:v>ngspice</x:v>
      </x:c>
      <x:c r="P463" t="str">
        <x:v>c9ed2e513523c57a76912a35b2860cb85e4aaa3402b69757d84efa9cc2fb8410</x:v>
      </x:c>
      <x:c r="Q463" t="str">
        <x:v>data/raw/ptm45_hp_vds_1v_raw.txt</x:v>
      </x:c>
    </x:row>
    <x:row r="464">
      <x:c r="A464" t="str">
        <x:v>PTM</x:v>
      </x:c>
      <x:c r="B464" t="str">
        <x:v>NMOS</x:v>
      </x:c>
      <x:c r="C464" s="97" t="n">
        <x:v>45</x:v>
      </x:c>
      <x:c r="D464" s="97" t="str">
        <x:v>HP</x:v>
      </x:c>
      <x:c r="E464" s="99" t="n">
        <x:v>1</x:v>
      </x:c>
      <x:c r="F464" s="99" t="n">
        <x:v>0.045</x:v>
      </x:c>
      <x:c r="G464" s="99" t="n">
        <x:v>25</x:v>
      </x:c>
      <x:c r="H464" s="99" t="n">
        <x:v>1</x:v>
      </x:c>
      <x:c r="I464" s="99" t="n">
        <x:v>0.9050000000000008</x:v>
      </x:c>
      <x:c r="J464" s="98" t="n">
        <x:v>0.001142089870293109</x:v>
      </x:c>
      <x:c r="K464" t="str">
        <x:v>nominal_vdd</x:v>
      </x:c>
      <x:c r="L464" t="str">
        <x:v>model_nominal_vdd</x:v>
      </x:c>
      <x:c r="M464" t="n">
        <x:v>1</x:v>
      </x:c>
      <x:c r="N464" t="str">
        <x:v>simulation</x:v>
      </x:c>
      <x:c r="O464" t="str">
        <x:v>ngspice</x:v>
      </x:c>
      <x:c r="P464" t="str">
        <x:v>c9ed2e513523c57a76912a35b2860cb85e4aaa3402b69757d84efa9cc2fb8410</x:v>
      </x:c>
      <x:c r="Q464" t="str">
        <x:v>data/raw/ptm45_hp_vds_1v_raw.txt</x:v>
      </x:c>
    </x:row>
    <x:row r="465">
      <x:c r="A465" t="str">
        <x:v>PTM</x:v>
      </x:c>
      <x:c r="B465" t="str">
        <x:v>NMOS</x:v>
      </x:c>
      <x:c r="C465" s="97" t="n">
        <x:v>45</x:v>
      </x:c>
      <x:c r="D465" s="97" t="str">
        <x:v>HP</x:v>
      </x:c>
      <x:c r="E465" s="99" t="n">
        <x:v>1</x:v>
      </x:c>
      <x:c r="F465" s="99" t="n">
        <x:v>0.045</x:v>
      </x:c>
      <x:c r="G465" s="99" t="n">
        <x:v>25</x:v>
      </x:c>
      <x:c r="H465" s="99" t="n">
        <x:v>1</x:v>
      </x:c>
      <x:c r="I465" s="99" t="n">
        <x:v>0.9100000000000008</x:v>
      </x:c>
      <x:c r="J465" s="98" t="n">
        <x:v>0.001152504883206628</x:v>
      </x:c>
      <x:c r="K465" t="str">
        <x:v>nominal_vdd</x:v>
      </x:c>
      <x:c r="L465" t="str">
        <x:v>model_nominal_vdd</x:v>
      </x:c>
      <x:c r="M465" t="n">
        <x:v>1</x:v>
      </x:c>
      <x:c r="N465" t="str">
        <x:v>simulation</x:v>
      </x:c>
      <x:c r="O465" t="str">
        <x:v>ngspice</x:v>
      </x:c>
      <x:c r="P465" t="str">
        <x:v>c9ed2e513523c57a76912a35b2860cb85e4aaa3402b69757d84efa9cc2fb8410</x:v>
      </x:c>
      <x:c r="Q465" t="str">
        <x:v>data/raw/ptm45_hp_vds_1v_raw.txt</x:v>
      </x:c>
    </x:row>
    <x:row r="466">
      <x:c r="A466" t="str">
        <x:v>PTM</x:v>
      </x:c>
      <x:c r="B466" t="str">
        <x:v>NMOS</x:v>
      </x:c>
      <x:c r="C466" s="97" t="n">
        <x:v>45</x:v>
      </x:c>
      <x:c r="D466" s="97" t="str">
        <x:v>HP</x:v>
      </x:c>
      <x:c r="E466" s="99" t="n">
        <x:v>1</x:v>
      </x:c>
      <x:c r="F466" s="99" t="n">
        <x:v>0.045</x:v>
      </x:c>
      <x:c r="G466" s="99" t="n">
        <x:v>25</x:v>
      </x:c>
      <x:c r="H466" s="99" t="n">
        <x:v>1</x:v>
      </x:c>
      <x:c r="I466" s="99" t="n">
        <x:v>0.9150000000000008</x:v>
      </x:c>
      <x:c r="J466" s="98" t="n">
        <x:v>0.001162915468880342</x:v>
      </x:c>
      <x:c r="K466" t="str">
        <x:v>nominal_vdd</x:v>
      </x:c>
      <x:c r="L466" t="str">
        <x:v>model_nominal_vdd</x:v>
      </x:c>
      <x:c r="M466" t="n">
        <x:v>1</x:v>
      </x:c>
      <x:c r="N466" t="str">
        <x:v>simulation</x:v>
      </x:c>
      <x:c r="O466" t="str">
        <x:v>ngspice</x:v>
      </x:c>
      <x:c r="P466" t="str">
        <x:v>c9ed2e513523c57a76912a35b2860cb85e4aaa3402b69757d84efa9cc2fb8410</x:v>
      </x:c>
      <x:c r="Q466" t="str">
        <x:v>data/raw/ptm45_hp_vds_1v_raw.txt</x:v>
      </x:c>
    </x:row>
    <x:row r="467">
      <x:c r="A467" t="str">
        <x:v>PTM</x:v>
      </x:c>
      <x:c r="B467" t="str">
        <x:v>NMOS</x:v>
      </x:c>
      <x:c r="C467" s="97" t="n">
        <x:v>45</x:v>
      </x:c>
      <x:c r="D467" s="97" t="str">
        <x:v>HP</x:v>
      </x:c>
      <x:c r="E467" s="99" t="n">
        <x:v>1</x:v>
      </x:c>
      <x:c r="F467" s="99" t="n">
        <x:v>0.045</x:v>
      </x:c>
      <x:c r="G467" s="99" t="n">
        <x:v>25</x:v>
      </x:c>
      <x:c r="H467" s="99" t="n">
        <x:v>1</x:v>
      </x:c>
      <x:c r="I467" s="99" t="n">
        <x:v>0.9200000000000008</x:v>
      </x:c>
      <x:c r="J467" s="98" t="n">
        <x:v>0.001173321618719588</x:v>
      </x:c>
      <x:c r="K467" t="str">
        <x:v>nominal_vdd</x:v>
      </x:c>
      <x:c r="L467" t="str">
        <x:v>model_nominal_vdd</x:v>
      </x:c>
      <x:c r="M467" t="n">
        <x:v>1</x:v>
      </x:c>
      <x:c r="N467" t="str">
        <x:v>simulation</x:v>
      </x:c>
      <x:c r="O467" t="str">
        <x:v>ngspice</x:v>
      </x:c>
      <x:c r="P467" t="str">
        <x:v>c9ed2e513523c57a76912a35b2860cb85e4aaa3402b69757d84efa9cc2fb8410</x:v>
      </x:c>
      <x:c r="Q467" t="str">
        <x:v>data/raw/ptm45_hp_vds_1v_raw.txt</x:v>
      </x:c>
    </x:row>
    <x:row r="468">
      <x:c r="A468" t="str">
        <x:v>PTM</x:v>
      </x:c>
      <x:c r="B468" t="str">
        <x:v>NMOS</x:v>
      </x:c>
      <x:c r="C468" s="97" t="n">
        <x:v>45</x:v>
      </x:c>
      <x:c r="D468" s="97" t="str">
        <x:v>HP</x:v>
      </x:c>
      <x:c r="E468" s="99" t="n">
        <x:v>1</x:v>
      </x:c>
      <x:c r="F468" s="99" t="n">
        <x:v>0.045</x:v>
      </x:c>
      <x:c r="G468" s="99" t="n">
        <x:v>25</x:v>
      </x:c>
      <x:c r="H468" s="99" t="n">
        <x:v>1</x:v>
      </x:c>
      <x:c r="I468" s="99" t="n">
        <x:v>0.9250000000000008</x:v>
      </x:c>
      <x:c r="J468" s="98" t="n">
        <x:v>0.001183723323200299</x:v>
      </x:c>
      <x:c r="K468" t="str">
        <x:v>nominal_vdd</x:v>
      </x:c>
      <x:c r="L468" t="str">
        <x:v>model_nominal_vdd</x:v>
      </x:c>
      <x:c r="M468" t="n">
        <x:v>1</x:v>
      </x:c>
      <x:c r="N468" t="str">
        <x:v>simulation</x:v>
      </x:c>
      <x:c r="O468" t="str">
        <x:v>ngspice</x:v>
      </x:c>
      <x:c r="P468" t="str">
        <x:v>c9ed2e513523c57a76912a35b2860cb85e4aaa3402b69757d84efa9cc2fb8410</x:v>
      </x:c>
      <x:c r="Q468" t="str">
        <x:v>data/raw/ptm45_hp_vds_1v_raw.txt</x:v>
      </x:c>
    </x:row>
    <x:row r="469">
      <x:c r="A469" t="str">
        <x:v>PTM</x:v>
      </x:c>
      <x:c r="B469" t="str">
        <x:v>NMOS</x:v>
      </x:c>
      <x:c r="C469" s="97" t="n">
        <x:v>45</x:v>
      </x:c>
      <x:c r="D469" s="97" t="str">
        <x:v>HP</x:v>
      </x:c>
      <x:c r="E469" s="99" t="n">
        <x:v>1</x:v>
      </x:c>
      <x:c r="F469" s="99" t="n">
        <x:v>0.045</x:v>
      </x:c>
      <x:c r="G469" s="99" t="n">
        <x:v>25</x:v>
      </x:c>
      <x:c r="H469" s="99" t="n">
        <x:v>1</x:v>
      </x:c>
      <x:c r="I469" s="99" t="n">
        <x:v>0.9300000000000008</x:v>
      </x:c>
      <x:c r="J469" s="98" t="n">
        <x:v>0.001194120571874382</x:v>
      </x:c>
      <x:c r="K469" t="str">
        <x:v>nominal_vdd</x:v>
      </x:c>
      <x:c r="L469" t="str">
        <x:v>model_nominal_vdd</x:v>
      </x:c>
      <x:c r="M469" t="n">
        <x:v>1</x:v>
      </x:c>
      <x:c r="N469" t="str">
        <x:v>simulation</x:v>
      </x:c>
      <x:c r="O469" t="str">
        <x:v>ngspice</x:v>
      </x:c>
      <x:c r="P469" t="str">
        <x:v>c9ed2e513523c57a76912a35b2860cb85e4aaa3402b69757d84efa9cc2fb8410</x:v>
      </x:c>
      <x:c r="Q469" t="str">
        <x:v>data/raw/ptm45_hp_vds_1v_raw.txt</x:v>
      </x:c>
    </x:row>
    <x:row r="470">
      <x:c r="A470" t="str">
        <x:v>PTM</x:v>
      </x:c>
      <x:c r="B470" t="str">
        <x:v>NMOS</x:v>
      </x:c>
      <x:c r="C470" s="97" t="n">
        <x:v>45</x:v>
      </x:c>
      <x:c r="D470" s="97" t="str">
        <x:v>HP</x:v>
      </x:c>
      <x:c r="E470" s="99" t="n">
        <x:v>1</x:v>
      </x:c>
      <x:c r="F470" s="99" t="n">
        <x:v>0.045</x:v>
      </x:c>
      <x:c r="G470" s="99" t="n">
        <x:v>25</x:v>
      </x:c>
      <x:c r="H470" s="99" t="n">
        <x:v>1</x:v>
      </x:c>
      <x:c r="I470" s="99" t="n">
        <x:v>0.9350000000000008</x:v>
      </x:c>
      <x:c r="J470" s="98" t="n">
        <x:v>0.00120451335337756</x:v>
      </x:c>
      <x:c r="K470" t="str">
        <x:v>nominal_vdd</x:v>
      </x:c>
      <x:c r="L470" t="str">
        <x:v>model_nominal_vdd</x:v>
      </x:c>
      <x:c r="M470" t="n">
        <x:v>1</x:v>
      </x:c>
      <x:c r="N470" t="str">
        <x:v>simulation</x:v>
      </x:c>
      <x:c r="O470" t="str">
        <x:v>ngspice</x:v>
      </x:c>
      <x:c r="P470" t="str">
        <x:v>c9ed2e513523c57a76912a35b2860cb85e4aaa3402b69757d84efa9cc2fb8410</x:v>
      </x:c>
      <x:c r="Q470" t="str">
        <x:v>data/raw/ptm45_hp_vds_1v_raw.txt</x:v>
      </x:c>
    </x:row>
    <x:row r="471">
      <x:c r="A471" t="str">
        <x:v>PTM</x:v>
      </x:c>
      <x:c r="B471" t="str">
        <x:v>NMOS</x:v>
      </x:c>
      <x:c r="C471" s="97" t="n">
        <x:v>45</x:v>
      </x:c>
      <x:c r="D471" s="97" t="str">
        <x:v>HP</x:v>
      </x:c>
      <x:c r="E471" s="99" t="n">
        <x:v>1</x:v>
      </x:c>
      <x:c r="F471" s="99" t="n">
        <x:v>0.045</x:v>
      </x:c>
      <x:c r="G471" s="99" t="n">
        <x:v>25</x:v>
      </x:c>
      <x:c r="H471" s="99" t="n">
        <x:v>1</x:v>
      </x:c>
      <x:c r="I471" s="99" t="n">
        <x:v>0.9400000000000008</x:v>
      </x:c>
      <x:c r="J471" s="98" t="n">
        <x:v>0.00121490165543932</x:v>
      </x:c>
      <x:c r="K471" t="str">
        <x:v>nominal_vdd</x:v>
      </x:c>
      <x:c r="L471" t="str">
        <x:v>model_nominal_vdd</x:v>
      </x:c>
      <x:c r="M471" t="n">
        <x:v>1</x:v>
      </x:c>
      <x:c r="N471" t="str">
        <x:v>simulation</x:v>
      </x:c>
      <x:c r="O471" t="str">
        <x:v>ngspice</x:v>
      </x:c>
      <x:c r="P471" t="str">
        <x:v>c9ed2e513523c57a76912a35b2860cb85e4aaa3402b69757d84efa9cc2fb8410</x:v>
      </x:c>
      <x:c r="Q471" t="str">
        <x:v>data/raw/ptm45_hp_vds_1v_raw.txt</x:v>
      </x:c>
    </x:row>
    <x:row r="472">
      <x:c r="A472" t="str">
        <x:v>PTM</x:v>
      </x:c>
      <x:c r="B472" t="str">
        <x:v>NMOS</x:v>
      </x:c>
      <x:c r="C472" s="97" t="n">
        <x:v>45</x:v>
      </x:c>
      <x:c r="D472" s="97" t="str">
        <x:v>HP</x:v>
      </x:c>
      <x:c r="E472" s="99" t="n">
        <x:v>1</x:v>
      </x:c>
      <x:c r="F472" s="99" t="n">
        <x:v>0.045</x:v>
      </x:c>
      <x:c r="G472" s="99" t="n">
        <x:v>25</x:v>
      </x:c>
      <x:c r="H472" s="99" t="n">
        <x:v>1</x:v>
      </x:c>
      <x:c r="I472" s="99" t="n">
        <x:v>0.9450000000000008</x:v>
      </x:c>
      <x:c r="J472" s="98" t="n">
        <x:v>0.001225285464894685</x:v>
      </x:c>
      <x:c r="K472" t="str">
        <x:v>nominal_vdd</x:v>
      </x:c>
      <x:c r="L472" t="str">
        <x:v>model_nominal_vdd</x:v>
      </x:c>
      <x:c r="M472" t="n">
        <x:v>1</x:v>
      </x:c>
      <x:c r="N472" t="str">
        <x:v>simulation</x:v>
      </x:c>
      <x:c r="O472" t="str">
        <x:v>ngspice</x:v>
      </x:c>
      <x:c r="P472" t="str">
        <x:v>c9ed2e513523c57a76912a35b2860cb85e4aaa3402b69757d84efa9cc2fb8410</x:v>
      </x:c>
      <x:c r="Q472" t="str">
        <x:v>data/raw/ptm45_hp_vds_1v_raw.txt</x:v>
      </x:c>
    </x:row>
    <x:row r="473">
      <x:c r="A473" t="str">
        <x:v>PTM</x:v>
      </x:c>
      <x:c r="B473" t="str">
        <x:v>NMOS</x:v>
      </x:c>
      <x:c r="C473" s="97" t="n">
        <x:v>45</x:v>
      </x:c>
      <x:c r="D473" s="97" t="str">
        <x:v>HP</x:v>
      </x:c>
      <x:c r="E473" s="99" t="n">
        <x:v>1</x:v>
      </x:c>
      <x:c r="F473" s="99" t="n">
        <x:v>0.045</x:v>
      </x:c>
      <x:c r="G473" s="99" t="n">
        <x:v>25</x:v>
      </x:c>
      <x:c r="H473" s="99" t="n">
        <x:v>1</x:v>
      </x:c>
      <x:c r="I473" s="99" t="n">
        <x:v>0.9500000000000008</x:v>
      </x:c>
      <x:c r="J473" s="98" t="n">
        <x:v>0.001235664767697483</x:v>
      </x:c>
      <x:c r="K473" t="str">
        <x:v>nominal_vdd</x:v>
      </x:c>
      <x:c r="L473" t="str">
        <x:v>model_nominal_vdd</x:v>
      </x:c>
      <x:c r="M473" t="n">
        <x:v>1</x:v>
      </x:c>
      <x:c r="N473" t="str">
        <x:v>simulation</x:v>
      </x:c>
      <x:c r="O473" t="str">
        <x:v>ngspice</x:v>
      </x:c>
      <x:c r="P473" t="str">
        <x:v>c9ed2e513523c57a76912a35b2860cb85e4aaa3402b69757d84efa9cc2fb8410</x:v>
      </x:c>
      <x:c r="Q473" t="str">
        <x:v>data/raw/ptm45_hp_vds_1v_raw.txt</x:v>
      </x:c>
    </x:row>
    <x:row r="474">
      <x:c r="A474" t="str">
        <x:v>PTM</x:v>
      </x:c>
      <x:c r="B474" t="str">
        <x:v>NMOS</x:v>
      </x:c>
      <x:c r="C474" s="97" t="n">
        <x:v>45</x:v>
      </x:c>
      <x:c r="D474" s="97" t="str">
        <x:v>HP</x:v>
      </x:c>
      <x:c r="E474" s="99" t="n">
        <x:v>1</x:v>
      </x:c>
      <x:c r="F474" s="99" t="n">
        <x:v>0.045</x:v>
      </x:c>
      <x:c r="G474" s="99" t="n">
        <x:v>25</x:v>
      </x:c>
      <x:c r="H474" s="99" t="n">
        <x:v>1</x:v>
      </x:c>
      <x:c r="I474" s="99" t="n">
        <x:v>0.9550000000000008</x:v>
      </x:c>
      <x:c r="J474" s="98" t="n">
        <x:v>0.001246039548934875</x:v>
      </x:c>
      <x:c r="K474" t="str">
        <x:v>nominal_vdd</x:v>
      </x:c>
      <x:c r="L474" t="str">
        <x:v>model_nominal_vdd</x:v>
      </x:c>
      <x:c r="M474" t="n">
        <x:v>1</x:v>
      </x:c>
      <x:c r="N474" t="str">
        <x:v>simulation</x:v>
      </x:c>
      <x:c r="O474" t="str">
        <x:v>ngspice</x:v>
      </x:c>
      <x:c r="P474" t="str">
        <x:v>c9ed2e513523c57a76912a35b2860cb85e4aaa3402b69757d84efa9cc2fb8410</x:v>
      </x:c>
      <x:c r="Q474" t="str">
        <x:v>data/raw/ptm45_hp_vds_1v_raw.txt</x:v>
      </x:c>
    </x:row>
    <x:row r="475">
      <x:c r="A475" t="str">
        <x:v>PTM</x:v>
      </x:c>
      <x:c r="B475" t="str">
        <x:v>NMOS</x:v>
      </x:c>
      <x:c r="C475" s="97" t="n">
        <x:v>45</x:v>
      </x:c>
      <x:c r="D475" s="97" t="str">
        <x:v>HP</x:v>
      </x:c>
      <x:c r="E475" s="99" t="n">
        <x:v>1</x:v>
      </x:c>
      <x:c r="F475" s="99" t="n">
        <x:v>0.045</x:v>
      </x:c>
      <x:c r="G475" s="99" t="n">
        <x:v>25</x:v>
      </x:c>
      <x:c r="H475" s="99" t="n">
        <x:v>1</x:v>
      </x:c>
      <x:c r="I475" s="99" t="n">
        <x:v>0.9600000000000009</x:v>
      </x:c>
      <x:c r="J475" s="98" t="n">
        <x:v>0.001256409792842924</x:v>
      </x:c>
      <x:c r="K475" t="str">
        <x:v>nominal_vdd</x:v>
      </x:c>
      <x:c r="L475" t="str">
        <x:v>model_nominal_vdd</x:v>
      </x:c>
      <x:c r="M475" t="n">
        <x:v>1</x:v>
      </x:c>
      <x:c r="N475" t="str">
        <x:v>simulation</x:v>
      </x:c>
      <x:c r="O475" t="str">
        <x:v>ngspice</x:v>
      </x:c>
      <x:c r="P475" t="str">
        <x:v>c9ed2e513523c57a76912a35b2860cb85e4aaa3402b69757d84efa9cc2fb8410</x:v>
      </x:c>
      <x:c r="Q475" t="str">
        <x:v>data/raw/ptm45_hp_vds_1v_raw.txt</x:v>
      </x:c>
    </x:row>
    <x:row r="476">
      <x:c r="A476" t="str">
        <x:v>PTM</x:v>
      </x:c>
      <x:c r="B476" t="str">
        <x:v>NMOS</x:v>
      </x:c>
      <x:c r="C476" s="97" t="n">
        <x:v>45</x:v>
      </x:c>
      <x:c r="D476" s="97" t="str">
        <x:v>HP</x:v>
      </x:c>
      <x:c r="E476" s="99" t="n">
        <x:v>1</x:v>
      </x:c>
      <x:c r="F476" s="99" t="n">
        <x:v>0.045</x:v>
      </x:c>
      <x:c r="G476" s="99" t="n">
        <x:v>25</x:v>
      </x:c>
      <x:c r="H476" s="99" t="n">
        <x:v>1</x:v>
      </x:c>
      <x:c r="I476" s="99" t="n">
        <x:v>0.9650000000000009</x:v>
      </x:c>
      <x:c r="J476" s="98" t="n">
        <x:v>0.001266775482822979</x:v>
      </x:c>
      <x:c r="K476" t="str">
        <x:v>nominal_vdd</x:v>
      </x:c>
      <x:c r="L476" t="str">
        <x:v>model_nominal_vdd</x:v>
      </x:c>
      <x:c r="M476" t="n">
        <x:v>1</x:v>
      </x:c>
      <x:c r="N476" t="str">
        <x:v>simulation</x:v>
      </x:c>
      <x:c r="O476" t="str">
        <x:v>ngspice</x:v>
      </x:c>
      <x:c r="P476" t="str">
        <x:v>c9ed2e513523c57a76912a35b2860cb85e4aaa3402b69757d84efa9cc2fb8410</x:v>
      </x:c>
      <x:c r="Q476" t="str">
        <x:v>data/raw/ptm45_hp_vds_1v_raw.txt</x:v>
      </x:c>
    </x:row>
    <x:row r="477">
      <x:c r="A477" t="str">
        <x:v>PTM</x:v>
      </x:c>
      <x:c r="B477" t="str">
        <x:v>NMOS</x:v>
      </x:c>
      <x:c r="C477" s="97" t="n">
        <x:v>45</x:v>
      </x:c>
      <x:c r="D477" s="97" t="str">
        <x:v>HP</x:v>
      </x:c>
      <x:c r="E477" s="99" t="n">
        <x:v>1</x:v>
      </x:c>
      <x:c r="F477" s="99" t="n">
        <x:v>0.045</x:v>
      </x:c>
      <x:c r="G477" s="99" t="n">
        <x:v>25</x:v>
      </x:c>
      <x:c r="H477" s="99" t="n">
        <x:v>1</x:v>
      </x:c>
      <x:c r="I477" s="99" t="n">
        <x:v>0.9700000000000009</x:v>
      </x:c>
      <x:c r="J477" s="98" t="n">
        <x:v>0.001277136601458703</x:v>
      </x:c>
      <x:c r="K477" t="str">
        <x:v>nominal_vdd</x:v>
      </x:c>
      <x:c r="L477" t="str">
        <x:v>model_nominal_vdd</x:v>
      </x:c>
      <x:c r="M477" t="n">
        <x:v>1</x:v>
      </x:c>
      <x:c r="N477" t="str">
        <x:v>simulation</x:v>
      </x:c>
      <x:c r="O477" t="str">
        <x:v>ngspice</x:v>
      </x:c>
      <x:c r="P477" t="str">
        <x:v>c9ed2e513523c57a76912a35b2860cb85e4aaa3402b69757d84efa9cc2fb8410</x:v>
      </x:c>
      <x:c r="Q477" t="str">
        <x:v>data/raw/ptm45_hp_vds_1v_raw.txt</x:v>
      </x:c>
    </x:row>
    <x:row r="478">
      <x:c r="A478" t="str">
        <x:v>PTM</x:v>
      </x:c>
      <x:c r="B478" t="str">
        <x:v>NMOS</x:v>
      </x:c>
      <x:c r="C478" s="97" t="n">
        <x:v>45</x:v>
      </x:c>
      <x:c r="D478" s="97" t="str">
        <x:v>HP</x:v>
      </x:c>
      <x:c r="E478" s="99" t="n">
        <x:v>1</x:v>
      </x:c>
      <x:c r="F478" s="99" t="n">
        <x:v>0.045</x:v>
      </x:c>
      <x:c r="G478" s="99" t="n">
        <x:v>25</x:v>
      </x:c>
      <x:c r="H478" s="99" t="n">
        <x:v>1</x:v>
      </x:c>
      <x:c r="I478" s="99" t="n">
        <x:v>0.9750000000000009</x:v>
      </x:c>
      <x:c r="J478" s="98" t="n">
        <x:v>0.001287493130533544</x:v>
      </x:c>
      <x:c r="K478" t="str">
        <x:v>nominal_vdd</x:v>
      </x:c>
      <x:c r="L478" t="str">
        <x:v>model_nominal_vdd</x:v>
      </x:c>
      <x:c r="M478" t="n">
        <x:v>1</x:v>
      </x:c>
      <x:c r="N478" t="str">
        <x:v>simulation</x:v>
      </x:c>
      <x:c r="O478" t="str">
        <x:v>ngspice</x:v>
      </x:c>
      <x:c r="P478" t="str">
        <x:v>c9ed2e513523c57a76912a35b2860cb85e4aaa3402b69757d84efa9cc2fb8410</x:v>
      </x:c>
      <x:c r="Q478" t="str">
        <x:v>data/raw/ptm45_hp_vds_1v_raw.txt</x:v>
      </x:c>
    </x:row>
    <x:row r="479">
      <x:c r="A479" t="str">
        <x:v>PTM</x:v>
      </x:c>
      <x:c r="B479" t="str">
        <x:v>NMOS</x:v>
      </x:c>
      <x:c r="C479" s="97" t="n">
        <x:v>45</x:v>
      </x:c>
      <x:c r="D479" s="97" t="str">
        <x:v>HP</x:v>
      </x:c>
      <x:c r="E479" s="99" t="n">
        <x:v>1</x:v>
      </x:c>
      <x:c r="F479" s="99" t="n">
        <x:v>0.045</x:v>
      </x:c>
      <x:c r="G479" s="99" t="n">
        <x:v>25</x:v>
      </x:c>
      <x:c r="H479" s="99" t="n">
        <x:v>1</x:v>
      </x:c>
      <x:c r="I479" s="99" t="n">
        <x:v>0.9800000000000009</x:v>
      </x:c>
      <x:c r="J479" s="98" t="n">
        <x:v>0.001297845051048551</x:v>
      </x:c>
      <x:c r="K479" t="str">
        <x:v>nominal_vdd</x:v>
      </x:c>
      <x:c r="L479" t="str">
        <x:v>model_nominal_vdd</x:v>
      </x:c>
      <x:c r="M479" t="n">
        <x:v>1</x:v>
      </x:c>
      <x:c r="N479" t="str">
        <x:v>simulation</x:v>
      </x:c>
      <x:c r="O479" t="str">
        <x:v>ngspice</x:v>
      </x:c>
      <x:c r="P479" t="str">
        <x:v>c9ed2e513523c57a76912a35b2860cb85e4aaa3402b69757d84efa9cc2fb8410</x:v>
      </x:c>
      <x:c r="Q479" t="str">
        <x:v>data/raw/ptm45_hp_vds_1v_raw.txt</x:v>
      </x:c>
    </x:row>
    <x:row r="480">
      <x:c r="A480" t="str">
        <x:v>PTM</x:v>
      </x:c>
      <x:c r="B480" t="str">
        <x:v>NMOS</x:v>
      </x:c>
      <x:c r="C480" s="97" t="n">
        <x:v>45</x:v>
      </x:c>
      <x:c r="D480" s="97" t="str">
        <x:v>HP</x:v>
      </x:c>
      <x:c r="E480" s="99" t="n">
        <x:v>1</x:v>
      </x:c>
      <x:c r="F480" s="99" t="n">
        <x:v>0.045</x:v>
      </x:c>
      <x:c r="G480" s="99" t="n">
        <x:v>25</x:v>
      </x:c>
      <x:c r="H480" s="99" t="n">
        <x:v>1</x:v>
      </x:c>
      <x:c r="I480" s="99" t="n">
        <x:v>0.9850000000000009</x:v>
      </x:c>
      <x:c r="J480" s="98" t="n">
        <x:v>0.001308192343240366</x:v>
      </x:c>
      <x:c r="K480" t="str">
        <x:v>nominal_vdd</x:v>
      </x:c>
      <x:c r="L480" t="str">
        <x:v>model_nominal_vdd</x:v>
      </x:c>
      <x:c r="M480" t="n">
        <x:v>1</x:v>
      </x:c>
      <x:c r="N480" t="str">
        <x:v>simulation</x:v>
      </x:c>
      <x:c r="O480" t="str">
        <x:v>ngspice</x:v>
      </x:c>
      <x:c r="P480" t="str">
        <x:v>c9ed2e513523c57a76912a35b2860cb85e4aaa3402b69757d84efa9cc2fb8410</x:v>
      </x:c>
      <x:c r="Q480" t="str">
        <x:v>data/raw/ptm45_hp_vds_1v_raw.txt</x:v>
      </x:c>
    </x:row>
    <x:row r="481">
      <x:c r="A481" t="str">
        <x:v>PTM</x:v>
      </x:c>
      <x:c r="B481" t="str">
        <x:v>NMOS</x:v>
      </x:c>
      <x:c r="C481" s="97" t="n">
        <x:v>45</x:v>
      </x:c>
      <x:c r="D481" s="97" t="str">
        <x:v>HP</x:v>
      </x:c>
      <x:c r="E481" s="99" t="n">
        <x:v>1</x:v>
      </x:c>
      <x:c r="F481" s="99" t="n">
        <x:v>0.045</x:v>
      </x:c>
      <x:c r="G481" s="99" t="n">
        <x:v>25</x:v>
      </x:c>
      <x:c r="H481" s="99" t="n">
        <x:v>1</x:v>
      </x:c>
      <x:c r="I481" s="99" t="n">
        <x:v>0.9900000000000009</x:v>
      </x:c>
      <x:c r="J481" s="98" t="n">
        <x:v>0.00131853498659927</x:v>
      </x:c>
      <x:c r="K481" t="str">
        <x:v>nominal_vdd</x:v>
      </x:c>
      <x:c r="L481" t="str">
        <x:v>model_nominal_vdd</x:v>
      </x:c>
      <x:c r="M481" t="n">
        <x:v>1</x:v>
      </x:c>
      <x:c r="N481" t="str">
        <x:v>simulation</x:v>
      </x:c>
      <x:c r="O481" t="str">
        <x:v>ngspice</x:v>
      </x:c>
      <x:c r="P481" t="str">
        <x:v>c9ed2e513523c57a76912a35b2860cb85e4aaa3402b69757d84efa9cc2fb8410</x:v>
      </x:c>
      <x:c r="Q481" t="str">
        <x:v>data/raw/ptm45_hp_vds_1v_raw.txt</x:v>
      </x:c>
    </x:row>
    <x:row r="482">
      <x:c r="A482" t="str">
        <x:v>PTM</x:v>
      </x:c>
      <x:c r="B482" t="str">
        <x:v>NMOS</x:v>
      </x:c>
      <x:c r="C482" s="97" t="n">
        <x:v>45</x:v>
      </x:c>
      <x:c r="D482" s="97" t="str">
        <x:v>HP</x:v>
      </x:c>
      <x:c r="E482" s="99" t="n">
        <x:v>1</x:v>
      </x:c>
      <x:c r="F482" s="99" t="n">
        <x:v>0.045</x:v>
      </x:c>
      <x:c r="G482" s="99" t="n">
        <x:v>25</x:v>
      </x:c>
      <x:c r="H482" s="99" t="n">
        <x:v>1</x:v>
      </x:c>
      <x:c r="I482" s="99" t="n">
        <x:v>0.9950000000000009</x:v>
      </x:c>
      <x:c r="J482" s="98" t="n">
        <x:v>0.001328872959887199</x:v>
      </x:c>
      <x:c r="K482" t="str">
        <x:v>nominal_vdd</x:v>
      </x:c>
      <x:c r="L482" t="str">
        <x:v>model_nominal_vdd</x:v>
      </x:c>
      <x:c r="M482" t="n">
        <x:v>1</x:v>
      </x:c>
      <x:c r="N482" t="str">
        <x:v>simulation</x:v>
      </x:c>
      <x:c r="O482" t="str">
        <x:v>ngspice</x:v>
      </x:c>
      <x:c r="P482" t="str">
        <x:v>c9ed2e513523c57a76912a35b2860cb85e4aaa3402b69757d84efa9cc2fb8410</x:v>
      </x:c>
      <x:c r="Q482" t="str">
        <x:v>data/raw/ptm45_hp_vds_1v_raw.txt</x:v>
      </x:c>
    </x:row>
    <x:row r="483">
      <x:c r="A483" t="str">
        <x:v>PTM</x:v>
      </x:c>
      <x:c r="B483" t="str">
        <x:v>NMOS</x:v>
      </x:c>
      <x:c r="C483" s="97" t="n">
        <x:v>45</x:v>
      </x:c>
      <x:c r="D483" s="97" t="str">
        <x:v>HP</x:v>
      </x:c>
      <x:c r="E483" s="99" t="n">
        <x:v>1</x:v>
      </x:c>
      <x:c r="F483" s="99" t="n">
        <x:v>0.045</x:v>
      </x:c>
      <x:c r="G483" s="99" t="n">
        <x:v>25</x:v>
      </x:c>
      <x:c r="H483" s="99" t="n">
        <x:v>1</x:v>
      </x:c>
      <x:c r="I483" s="99" t="n">
        <x:v>1.000000000000001</x:v>
      </x:c>
      <x:c r="J483" s="98" t="n">
        <x:v>0.001339206241155616</x:v>
      </x:c>
      <x:c r="K483" t="str">
        <x:v>nominal_vdd</x:v>
      </x:c>
      <x:c r="L483" t="str">
        <x:v>model_nominal_vdd</x:v>
      </x:c>
      <x:c r="M483" t="n">
        <x:v>1</x:v>
      </x:c>
      <x:c r="N483" t="str">
        <x:v>simulation</x:v>
      </x:c>
      <x:c r="O483" t="str">
        <x:v>ngspice</x:v>
      </x:c>
      <x:c r="P483" t="str">
        <x:v>c9ed2e513523c57a76912a35b2860cb85e4aaa3402b69757d84efa9cc2fb8410</x:v>
      </x:c>
      <x:c r="Q483" t="str">
        <x:v>data/raw/ptm45_hp_vds_1v_raw.txt</x:v>
      </x:c>
    </x:row>
    <x:row r="484">
      <x:c r="A484" t="str">
        <x:v>PTM</x:v>
      </x:c>
      <x:c r="B484" t="str">
        <x:v>NMOS</x:v>
      </x:c>
      <x:c r="C484" s="97" t="n">
        <x:v>45</x:v>
      </x:c>
      <x:c r="D484" s="97" t="str">
        <x:v>LP</x:v>
      </x:c>
      <x:c r="E484" s="99" t="n">
        <x:v>1</x:v>
      </x:c>
      <x:c r="F484" s="99" t="n">
        <x:v>0.045</x:v>
      </x:c>
      <x:c r="G484" s="99" t="n">
        <x:v>25</x:v>
      </x:c>
      <x:c r="H484" s="99" t="n">
        <x:v>0.05</x:v>
      </x:c>
      <x:c r="I484" s="99" t="n">
        <x:v>-0.2</x:v>
      </x:c>
      <x:c r="J484" s="98" t="n">
        <x:v>7.395875460396777e-14</x:v>
      </x:c>
      <x:c r="K484" t="str">
        <x:v>low_vds</x:v>
      </x:c>
      <x:c r="L484" t="str">
        <x:v>low_drain_bias</x:v>
      </x:c>
      <x:c r="M484" t="n">
        <x:v>1.1</x:v>
      </x:c>
      <x:c r="N484" t="str">
        <x:v>simulation</x:v>
      </x:c>
      <x:c r="O484" t="str">
        <x:v>ngspice</x:v>
      </x:c>
      <x:c r="P484" t="str">
        <x:v>397141eb8a813045075ac2be3098d3b136ebaf4d597c08fca627922a75e443b7</x:v>
      </x:c>
      <x:c r="Q484" t="str">
        <x:v>data/raw/ptm45_lp_vds_0p05v_raw.txt</x:v>
      </x:c>
    </x:row>
    <x:row r="485">
      <x:c r="A485" t="str">
        <x:v>PTM</x:v>
      </x:c>
      <x:c r="B485" t="str">
        <x:v>NMOS</x:v>
      </x:c>
      <x:c r="C485" s="97" t="n">
        <x:v>45</x:v>
      </x:c>
      <x:c r="D485" s="97" t="str">
        <x:v>LP</x:v>
      </x:c>
      <x:c r="E485" s="99" t="n">
        <x:v>1</x:v>
      </x:c>
      <x:c r="F485" s="99" t="n">
        <x:v>0.045</x:v>
      </x:c>
      <x:c r="G485" s="99" t="n">
        <x:v>25</x:v>
      </x:c>
      <x:c r="H485" s="99" t="n">
        <x:v>0.05</x:v>
      </x:c>
      <x:c r="I485" s="99" t="n">
        <x:v>-0.195</x:v>
      </x:c>
      <x:c r="J485" s="98" t="n">
        <x:v>7.601454251612677e-14</x:v>
      </x:c>
      <x:c r="K485" t="str">
        <x:v>low_vds</x:v>
      </x:c>
      <x:c r="L485" t="str">
        <x:v>low_drain_bias</x:v>
      </x:c>
      <x:c r="M485" t="n">
        <x:v>1.1</x:v>
      </x:c>
      <x:c r="N485" t="str">
        <x:v>simulation</x:v>
      </x:c>
      <x:c r="O485" t="str">
        <x:v>ngspice</x:v>
      </x:c>
      <x:c r="P485" t="str">
        <x:v>397141eb8a813045075ac2be3098d3b136ebaf4d597c08fca627922a75e443b7</x:v>
      </x:c>
      <x:c r="Q485" t="str">
        <x:v>data/raw/ptm45_lp_vds_0p05v_raw.txt</x:v>
      </x:c>
    </x:row>
    <x:row r="486">
      <x:c r="A486" t="str">
        <x:v>PTM</x:v>
      </x:c>
      <x:c r="B486" t="str">
        <x:v>NMOS</x:v>
      </x:c>
      <x:c r="C486" s="97" t="n">
        <x:v>45</x:v>
      </x:c>
      <x:c r="D486" s="97" t="str">
        <x:v>LP</x:v>
      </x:c>
      <x:c r="E486" s="99" t="n">
        <x:v>1</x:v>
      </x:c>
      <x:c r="F486" s="99" t="n">
        <x:v>0.045</x:v>
      </x:c>
      <x:c r="G486" s="99" t="n">
        <x:v>25</x:v>
      </x:c>
      <x:c r="H486" s="99" t="n">
        <x:v>0.05</x:v>
      </x:c>
      <x:c r="I486" s="99" t="n">
        <x:v>-0.19</x:v>
      </x:c>
      <x:c r="J486" s="98" t="n">
        <x:v>7.850783667536664e-14</x:v>
      </x:c>
      <x:c r="K486" t="str">
        <x:v>low_vds</x:v>
      </x:c>
      <x:c r="L486" t="str">
        <x:v>low_drain_bias</x:v>
      </x:c>
      <x:c r="M486" t="n">
        <x:v>1.1</x:v>
      </x:c>
      <x:c r="N486" t="str">
        <x:v>simulation</x:v>
      </x:c>
      <x:c r="O486" t="str">
        <x:v>ngspice</x:v>
      </x:c>
      <x:c r="P486" t="str">
        <x:v>397141eb8a813045075ac2be3098d3b136ebaf4d597c08fca627922a75e443b7</x:v>
      </x:c>
      <x:c r="Q486" t="str">
        <x:v>data/raw/ptm45_lp_vds_0p05v_raw.txt</x:v>
      </x:c>
    </x:row>
    <x:row r="487">
      <x:c r="A487" t="str">
        <x:v>PTM</x:v>
      </x:c>
      <x:c r="B487" t="str">
        <x:v>NMOS</x:v>
      </x:c>
      <x:c r="C487" s="97" t="n">
        <x:v>45</x:v>
      </x:c>
      <x:c r="D487" s="97" t="str">
        <x:v>LP</x:v>
      </x:c>
      <x:c r="E487" s="99" t="n">
        <x:v>1</x:v>
      </x:c>
      <x:c r="F487" s="99" t="n">
        <x:v>0.045</x:v>
      </x:c>
      <x:c r="G487" s="99" t="n">
        <x:v>25</x:v>
      </x:c>
      <x:c r="H487" s="99" t="n">
        <x:v>0.05</x:v>
      </x:c>
      <x:c r="I487" s="99" t="n">
        <x:v>-0.185</x:v>
      </x:c>
      <x:c r="J487" s="98" t="n">
        <x:v>8.135751620383013e-14</x:v>
      </x:c>
      <x:c r="K487" t="str">
        <x:v>low_vds</x:v>
      </x:c>
      <x:c r="L487" t="str">
        <x:v>low_drain_bias</x:v>
      </x:c>
      <x:c r="M487" t="n">
        <x:v>1.1</x:v>
      </x:c>
      <x:c r="N487" t="str">
        <x:v>simulation</x:v>
      </x:c>
      <x:c r="O487" t="str">
        <x:v>ngspice</x:v>
      </x:c>
      <x:c r="P487" t="str">
        <x:v>397141eb8a813045075ac2be3098d3b136ebaf4d597c08fca627922a75e443b7</x:v>
      </x:c>
      <x:c r="Q487" t="str">
        <x:v>data/raw/ptm45_lp_vds_0p05v_raw.txt</x:v>
      </x:c>
    </x:row>
    <x:row r="488">
      <x:c r="A488" t="str">
        <x:v>PTM</x:v>
      </x:c>
      <x:c r="B488" t="str">
        <x:v>NMOS</x:v>
      </x:c>
      <x:c r="C488" s="97" t="n">
        <x:v>45</x:v>
      </x:c>
      <x:c r="D488" s="97" t="str">
        <x:v>LP</x:v>
      </x:c>
      <x:c r="E488" s="99" t="n">
        <x:v>1</x:v>
      </x:c>
      <x:c r="F488" s="99" t="n">
        <x:v>0.045</x:v>
      </x:c>
      <x:c r="G488" s="99" t="n">
        <x:v>25</x:v>
      </x:c>
      <x:c r="H488" s="99" t="n">
        <x:v>0.05</x:v>
      </x:c>
      <x:c r="I488" s="99" t="n">
        <x:v>-0.18</x:v>
      </x:c>
      <x:c r="J488" s="98" t="n">
        <x:v>8.461451989416025e-14</x:v>
      </x:c>
      <x:c r="K488" t="str">
        <x:v>low_vds</x:v>
      </x:c>
      <x:c r="L488" t="str">
        <x:v>low_drain_bias</x:v>
      </x:c>
      <x:c r="M488" t="n">
        <x:v>1.1</x:v>
      </x:c>
      <x:c r="N488" t="str">
        <x:v>simulation</x:v>
      </x:c>
      <x:c r="O488" t="str">
        <x:v>ngspice</x:v>
      </x:c>
      <x:c r="P488" t="str">
        <x:v>397141eb8a813045075ac2be3098d3b136ebaf4d597c08fca627922a75e443b7</x:v>
      </x:c>
      <x:c r="Q488" t="str">
        <x:v>data/raw/ptm45_lp_vds_0p05v_raw.txt</x:v>
      </x:c>
    </x:row>
    <x:row r="489">
      <x:c r="A489" t="str">
        <x:v>PTM</x:v>
      </x:c>
      <x:c r="B489" t="str">
        <x:v>NMOS</x:v>
      </x:c>
      <x:c r="C489" s="97" t="n">
        <x:v>45</x:v>
      </x:c>
      <x:c r="D489" s="97" t="str">
        <x:v>LP</x:v>
      </x:c>
      <x:c r="E489" s="99" t="n">
        <x:v>1</x:v>
      </x:c>
      <x:c r="F489" s="99" t="n">
        <x:v>0.045</x:v>
      </x:c>
      <x:c r="G489" s="99" t="n">
        <x:v>25</x:v>
      </x:c>
      <x:c r="H489" s="99" t="n">
        <x:v>0.05</x:v>
      </x:c>
      <x:c r="I489" s="99" t="n">
        <x:v>-0.175</x:v>
      </x:c>
      <x:c r="J489" s="98" t="n">
        <x:v>8.833706685786712e-14</x:v>
      </x:c>
      <x:c r="K489" t="str">
        <x:v>low_vds</x:v>
      </x:c>
      <x:c r="L489" t="str">
        <x:v>low_drain_bias</x:v>
      </x:c>
      <x:c r="M489" t="n">
        <x:v>1.1</x:v>
      </x:c>
      <x:c r="N489" t="str">
        <x:v>simulation</x:v>
      </x:c>
      <x:c r="O489" t="str">
        <x:v>ngspice</x:v>
      </x:c>
      <x:c r="P489" t="str">
        <x:v>397141eb8a813045075ac2be3098d3b136ebaf4d597c08fca627922a75e443b7</x:v>
      </x:c>
      <x:c r="Q489" t="str">
        <x:v>data/raw/ptm45_lp_vds_0p05v_raw.txt</x:v>
      </x:c>
    </x:row>
    <x:row r="490">
      <x:c r="A490" t="str">
        <x:v>PTM</x:v>
      </x:c>
      <x:c r="B490" t="str">
        <x:v>NMOS</x:v>
      </x:c>
      <x:c r="C490" s="97" t="n">
        <x:v>45</x:v>
      </x:c>
      <x:c r="D490" s="97" t="str">
        <x:v>LP</x:v>
      </x:c>
      <x:c r="E490" s="99" t="n">
        <x:v>1</x:v>
      </x:c>
      <x:c r="F490" s="99" t="n">
        <x:v>0.045</x:v>
      </x:c>
      <x:c r="G490" s="99" t="n">
        <x:v>25</x:v>
      </x:c>
      <x:c r="H490" s="99" t="n">
        <x:v>0.05</x:v>
      </x:c>
      <x:c r="I490" s="99" t="n">
        <x:v>-0.17</x:v>
      </x:c>
      <x:c r="J490" s="98" t="n">
        <x:v>9.259169694949073e-14</x:v>
      </x:c>
      <x:c r="K490" t="str">
        <x:v>low_vds</x:v>
      </x:c>
      <x:c r="L490" t="str">
        <x:v>low_drain_bias</x:v>
      </x:c>
      <x:c r="M490" t="n">
        <x:v>1.1</x:v>
      </x:c>
      <x:c r="N490" t="str">
        <x:v>simulation</x:v>
      </x:c>
      <x:c r="O490" t="str">
        <x:v>ngspice</x:v>
      </x:c>
      <x:c r="P490" t="str">
        <x:v>397141eb8a813045075ac2be3098d3b136ebaf4d597c08fca627922a75e443b7</x:v>
      </x:c>
      <x:c r="Q490" t="str">
        <x:v>data/raw/ptm45_lp_vds_0p05v_raw.txt</x:v>
      </x:c>
    </x:row>
    <x:row r="491">
      <x:c r="A491" t="str">
        <x:v>PTM</x:v>
      </x:c>
      <x:c r="B491" t="str">
        <x:v>NMOS</x:v>
      </x:c>
      <x:c r="C491" s="97" t="n">
        <x:v>45</x:v>
      </x:c>
      <x:c r="D491" s="97" t="str">
        <x:v>LP</x:v>
      </x:c>
      <x:c r="E491" s="99" t="n">
        <x:v>1</x:v>
      </x:c>
      <x:c r="F491" s="99" t="n">
        <x:v>0.045</x:v>
      </x:c>
      <x:c r="G491" s="99" t="n">
        <x:v>25</x:v>
      </x:c>
      <x:c r="H491" s="99" t="n">
        <x:v>0.05</x:v>
      </x:c>
      <x:c r="I491" s="99" t="n">
        <x:v>-0.165</x:v>
      </x:c>
      <x:c r="J491" s="98" t="n">
        <x:v>9.745445985747446e-14</x:v>
      </x:c>
      <x:c r="K491" t="str">
        <x:v>low_vds</x:v>
      </x:c>
      <x:c r="L491" t="str">
        <x:v>low_drain_bias</x:v>
      </x:c>
      <x:c r="M491" t="n">
        <x:v>1.1</x:v>
      </x:c>
      <x:c r="N491" t="str">
        <x:v>simulation</x:v>
      </x:c>
      <x:c r="O491" t="str">
        <x:v>ngspice</x:v>
      </x:c>
      <x:c r="P491" t="str">
        <x:v>397141eb8a813045075ac2be3098d3b136ebaf4d597c08fca627922a75e443b7</x:v>
      </x:c>
      <x:c r="Q491" t="str">
        <x:v>data/raw/ptm45_lp_vds_0p05v_raw.txt</x:v>
      </x:c>
    </x:row>
    <x:row r="492">
      <x:c r="A492" t="str">
        <x:v>PTM</x:v>
      </x:c>
      <x:c r="B492" t="str">
        <x:v>NMOS</x:v>
      </x:c>
      <x:c r="C492" s="97" t="n">
        <x:v>45</x:v>
      </x:c>
      <x:c r="D492" s="97" t="str">
        <x:v>LP</x:v>
      </x:c>
      <x:c r="E492" s="99" t="n">
        <x:v>1</x:v>
      </x:c>
      <x:c r="F492" s="99" t="n">
        <x:v>0.045</x:v>
      </x:c>
      <x:c r="G492" s="99" t="n">
        <x:v>25</x:v>
      </x:c>
      <x:c r="H492" s="99" t="n">
        <x:v>0.05</x:v>
      </x:c>
      <x:c r="I492" s="99" t="n">
        <x:v>-0.16</x:v>
      </x:c>
      <x:c r="J492" s="98" t="n">
        <x:v>1.030122740929751e-13</x:v>
      </x:c>
      <x:c r="K492" t="str">
        <x:v>low_vds</x:v>
      </x:c>
      <x:c r="L492" t="str">
        <x:v>low_drain_bias</x:v>
      </x:c>
      <x:c r="M492" t="n">
        <x:v>1.1</x:v>
      </x:c>
      <x:c r="N492" t="str">
        <x:v>simulation</x:v>
      </x:c>
      <x:c r="O492" t="str">
        <x:v>ngspice</x:v>
      </x:c>
      <x:c r="P492" t="str">
        <x:v>397141eb8a813045075ac2be3098d3b136ebaf4d597c08fca627922a75e443b7</x:v>
      </x:c>
      <x:c r="Q492" t="str">
        <x:v>data/raw/ptm45_lp_vds_0p05v_raw.txt</x:v>
      </x:c>
    </x:row>
    <x:row r="493">
      <x:c r="A493" t="str">
        <x:v>PTM</x:v>
      </x:c>
      <x:c r="B493" t="str">
        <x:v>NMOS</x:v>
      </x:c>
      <x:c r="C493" s="97" t="n">
        <x:v>45</x:v>
      </x:c>
      <x:c r="D493" s="97" t="str">
        <x:v>LP</x:v>
      </x:c>
      <x:c r="E493" s="99" t="n">
        <x:v>1</x:v>
      </x:c>
      <x:c r="F493" s="99" t="n">
        <x:v>0.045</x:v>
      </x:c>
      <x:c r="G493" s="99" t="n">
        <x:v>25</x:v>
      </x:c>
      <x:c r="H493" s="99" t="n">
        <x:v>0.05</x:v>
      </x:c>
      <x:c r="I493" s="99" t="n">
        <x:v>-0.155</x:v>
      </x:c>
      <x:c r="J493" s="98" t="n">
        <x:v>1.09364480156364e-13</x:v>
      </x:c>
      <x:c r="K493" t="str">
        <x:v>low_vds</x:v>
      </x:c>
      <x:c r="L493" t="str">
        <x:v>low_drain_bias</x:v>
      </x:c>
      <x:c r="M493" t="n">
        <x:v>1.1</x:v>
      </x:c>
      <x:c r="N493" t="str">
        <x:v>simulation</x:v>
      </x:c>
      <x:c r="O493" t="str">
        <x:v>ngspice</x:v>
      </x:c>
      <x:c r="P493" t="str">
        <x:v>397141eb8a813045075ac2be3098d3b136ebaf4d597c08fca627922a75e443b7</x:v>
      </x:c>
      <x:c r="Q493" t="str">
        <x:v>data/raw/ptm45_lp_vds_0p05v_raw.txt</x:v>
      </x:c>
    </x:row>
    <x:row r="494">
      <x:c r="A494" t="str">
        <x:v>PTM</x:v>
      </x:c>
      <x:c r="B494" t="str">
        <x:v>NMOS</x:v>
      </x:c>
      <x:c r="C494" s="97" t="n">
        <x:v>45</x:v>
      </x:c>
      <x:c r="D494" s="97" t="str">
        <x:v>LP</x:v>
      </x:c>
      <x:c r="E494" s="99" t="n">
        <x:v>1</x:v>
      </x:c>
      <x:c r="F494" s="99" t="n">
        <x:v>0.045</x:v>
      </x:c>
      <x:c r="G494" s="99" t="n">
        <x:v>25</x:v>
      </x:c>
      <x:c r="H494" s="99" t="n">
        <x:v>0.05</x:v>
      </x:c>
      <x:c r="I494" s="99" t="n">
        <x:v>-0.15</x:v>
      </x:c>
      <x:c r="J494" s="98" t="n">
        <x:v>1.166246156059891e-13</x:v>
      </x:c>
      <x:c r="K494" t="str">
        <x:v>low_vds</x:v>
      </x:c>
      <x:c r="L494" t="str">
        <x:v>low_drain_bias</x:v>
      </x:c>
      <x:c r="M494" t="n">
        <x:v>1.1</x:v>
      </x:c>
      <x:c r="N494" t="str">
        <x:v>simulation</x:v>
      </x:c>
      <x:c r="O494" t="str">
        <x:v>ngspice</x:v>
      </x:c>
      <x:c r="P494" t="str">
        <x:v>397141eb8a813045075ac2be3098d3b136ebaf4d597c08fca627922a75e443b7</x:v>
      </x:c>
      <x:c r="Q494" t="str">
        <x:v>data/raw/ptm45_lp_vds_0p05v_raw.txt</x:v>
      </x:c>
    </x:row>
    <x:row r="495">
      <x:c r="A495" t="str">
        <x:v>PTM</x:v>
      </x:c>
      <x:c r="B495" t="str">
        <x:v>NMOS</x:v>
      </x:c>
      <x:c r="C495" s="97" t="n">
        <x:v>45</x:v>
      </x:c>
      <x:c r="D495" s="97" t="str">
        <x:v>LP</x:v>
      </x:c>
      <x:c r="E495" s="99" t="n">
        <x:v>1</x:v>
      </x:c>
      <x:c r="F495" s="99" t="n">
        <x:v>0.045</x:v>
      </x:c>
      <x:c r="G495" s="99" t="n">
        <x:v>25</x:v>
      </x:c>
      <x:c r="H495" s="99" t="n">
        <x:v>0.05</x:v>
      </x:c>
      <x:c r="I495" s="99" t="n">
        <x:v>-0.145</x:v>
      </x:c>
      <x:c r="J495" s="98" t="n">
        <x:v>1.249224437386227e-13</x:v>
      </x:c>
      <x:c r="K495" t="str">
        <x:v>low_vds</x:v>
      </x:c>
      <x:c r="L495" t="str">
        <x:v>low_drain_bias</x:v>
      </x:c>
      <x:c r="M495" t="n">
        <x:v>1.1</x:v>
      </x:c>
      <x:c r="N495" t="str">
        <x:v>simulation</x:v>
      </x:c>
      <x:c r="O495" t="str">
        <x:v>ngspice</x:v>
      </x:c>
      <x:c r="P495" t="str">
        <x:v>397141eb8a813045075ac2be3098d3b136ebaf4d597c08fca627922a75e443b7</x:v>
      </x:c>
      <x:c r="Q495" t="str">
        <x:v>data/raw/ptm45_lp_vds_0p05v_raw.txt</x:v>
      </x:c>
    </x:row>
    <x:row r="496">
      <x:c r="A496" t="str">
        <x:v>PTM</x:v>
      </x:c>
      <x:c r="B496" t="str">
        <x:v>NMOS</x:v>
      </x:c>
      <x:c r="C496" s="97" t="n">
        <x:v>45</x:v>
      </x:c>
      <x:c r="D496" s="97" t="str">
        <x:v>LP</x:v>
      </x:c>
      <x:c r="E496" s="99" t="n">
        <x:v>1</x:v>
      </x:c>
      <x:c r="F496" s="99" t="n">
        <x:v>0.045</x:v>
      </x:c>
      <x:c r="G496" s="99" t="n">
        <x:v>25</x:v>
      </x:c>
      <x:c r="H496" s="99" t="n">
        <x:v>0.05</x:v>
      </x:c>
      <x:c r="I496" s="99" t="n">
        <x:v>-0.14</x:v>
      </x:c>
      <x:c r="J496" s="98" t="n">
        <x:v>1.34406272092415e-13</x:v>
      </x:c>
      <x:c r="K496" t="str">
        <x:v>low_vds</x:v>
      </x:c>
      <x:c r="L496" t="str">
        <x:v>low_drain_bias</x:v>
      </x:c>
      <x:c r="M496" t="n">
        <x:v>1.1</x:v>
      </x:c>
      <x:c r="N496" t="str">
        <x:v>simulation</x:v>
      </x:c>
      <x:c r="O496" t="str">
        <x:v>ngspice</x:v>
      </x:c>
      <x:c r="P496" t="str">
        <x:v>397141eb8a813045075ac2be3098d3b136ebaf4d597c08fca627922a75e443b7</x:v>
      </x:c>
      <x:c r="Q496" t="str">
        <x:v>data/raw/ptm45_lp_vds_0p05v_raw.txt</x:v>
      </x:c>
    </x:row>
    <x:row r="497">
      <x:c r="A497" t="str">
        <x:v>PTM</x:v>
      </x:c>
      <x:c r="B497" t="str">
        <x:v>NMOS</x:v>
      </x:c>
      <x:c r="C497" s="97" t="n">
        <x:v>45</x:v>
      </x:c>
      <x:c r="D497" s="97" t="str">
        <x:v>LP</x:v>
      </x:c>
      <x:c r="E497" s="99" t="n">
        <x:v>1</x:v>
      </x:c>
      <x:c r="F497" s="99" t="n">
        <x:v>0.045</x:v>
      </x:c>
      <x:c r="G497" s="99" t="n">
        <x:v>25</x:v>
      </x:c>
      <x:c r="H497" s="99" t="n">
        <x:v>0.05</x:v>
      </x:c>
      <x:c r="I497" s="99" t="n">
        <x:v>-0.135</x:v>
      </x:c>
      <x:c r="J497" s="98" t="n">
        <x:v>1.452456021733825e-13</x:v>
      </x:c>
      <x:c r="K497" t="str">
        <x:v>low_vds</x:v>
      </x:c>
      <x:c r="L497" t="str">
        <x:v>low_drain_bias</x:v>
      </x:c>
      <x:c r="M497" t="n">
        <x:v>1.1</x:v>
      </x:c>
      <x:c r="N497" t="str">
        <x:v>simulation</x:v>
      </x:c>
      <x:c r="O497" t="str">
        <x:v>ngspice</x:v>
      </x:c>
      <x:c r="P497" t="str">
        <x:v>397141eb8a813045075ac2be3098d3b136ebaf4d597c08fca627922a75e443b7</x:v>
      </x:c>
      <x:c r="Q497" t="str">
        <x:v>data/raw/ptm45_lp_vds_0p05v_raw.txt</x:v>
      </x:c>
    </x:row>
    <x:row r="498">
      <x:c r="A498" t="str">
        <x:v>PTM</x:v>
      </x:c>
      <x:c r="B498" t="str">
        <x:v>NMOS</x:v>
      </x:c>
      <x:c r="C498" s="97" t="n">
        <x:v>45</x:v>
      </x:c>
      <x:c r="D498" s="97" t="str">
        <x:v>LP</x:v>
      </x:c>
      <x:c r="E498" s="99" t="n">
        <x:v>1</x:v>
      </x:c>
      <x:c r="F498" s="99" t="n">
        <x:v>0.045</x:v>
      </x:c>
      <x:c r="G498" s="99" t="n">
        <x:v>25</x:v>
      </x:c>
      <x:c r="H498" s="99" t="n">
        <x:v>0.05</x:v>
      </x:c>
      <x:c r="I498" s="99" t="n">
        <x:v>-0.1299999999999999</x:v>
      </x:c>
      <x:c r="J498" s="98" t="n">
        <x:v>1.576341577000058e-13</x:v>
      </x:c>
      <x:c r="K498" t="str">
        <x:v>low_vds</x:v>
      </x:c>
      <x:c r="L498" t="str">
        <x:v>low_drain_bias</x:v>
      </x:c>
      <x:c r="M498" t="n">
        <x:v>1.1</x:v>
      </x:c>
      <x:c r="N498" t="str">
        <x:v>simulation</x:v>
      </x:c>
      <x:c r="O498" t="str">
        <x:v>ngspice</x:v>
      </x:c>
      <x:c r="P498" t="str">
        <x:v>397141eb8a813045075ac2be3098d3b136ebaf4d597c08fca627922a75e443b7</x:v>
      </x:c>
      <x:c r="Q498" t="str">
        <x:v>data/raw/ptm45_lp_vds_0p05v_raw.txt</x:v>
      </x:c>
    </x:row>
    <x:row r="499">
      <x:c r="A499" t="str">
        <x:v>PTM</x:v>
      </x:c>
      <x:c r="B499" t="str">
        <x:v>NMOS</x:v>
      </x:c>
      <x:c r="C499" s="97" t="n">
        <x:v>45</x:v>
      </x:c>
      <x:c r="D499" s="97" t="str">
        <x:v>LP</x:v>
      </x:c>
      <x:c r="E499" s="99" t="n">
        <x:v>1</x:v>
      </x:c>
      <x:c r="F499" s="99" t="n">
        <x:v>0.045</x:v>
      </x:c>
      <x:c r="G499" s="99" t="n">
        <x:v>25</x:v>
      </x:c>
      <x:c r="H499" s="99" t="n">
        <x:v>0.05</x:v>
      </x:c>
      <x:c r="I499" s="99" t="n">
        <x:v>-0.1249999999999999</x:v>
      </x:c>
      <x:c r="J499" s="98" t="n">
        <x:v>1.717933454327264e-13</x:v>
      </x:c>
      <x:c r="K499" t="str">
        <x:v>low_vds</x:v>
      </x:c>
      <x:c r="L499" t="str">
        <x:v>low_drain_bias</x:v>
      </x:c>
      <x:c r="M499" t="n">
        <x:v>1.1</x:v>
      </x:c>
      <x:c r="N499" t="str">
        <x:v>simulation</x:v>
      </x:c>
      <x:c r="O499" t="str">
        <x:v>ngspice</x:v>
      </x:c>
      <x:c r="P499" t="str">
        <x:v>397141eb8a813045075ac2be3098d3b136ebaf4d597c08fca627922a75e443b7</x:v>
      </x:c>
      <x:c r="Q499" t="str">
        <x:v>data/raw/ptm45_lp_vds_0p05v_raw.txt</x:v>
      </x:c>
    </x:row>
    <x:row r="500">
      <x:c r="A500" t="str">
        <x:v>PTM</x:v>
      </x:c>
      <x:c r="B500" t="str">
        <x:v>NMOS</x:v>
      </x:c>
      <x:c r="C500" s="97" t="n">
        <x:v>45</x:v>
      </x:c>
      <x:c r="D500" s="97" t="str">
        <x:v>LP</x:v>
      </x:c>
      <x:c r="E500" s="99" t="n">
        <x:v>1</x:v>
      </x:c>
      <x:c r="F500" s="99" t="n">
        <x:v>0.045</x:v>
      </x:c>
      <x:c r="G500" s="99" t="n">
        <x:v>25</x:v>
      </x:c>
      <x:c r="H500" s="99" t="n">
        <x:v>0.05</x:v>
      </x:c>
      <x:c r="I500" s="99" t="n">
        <x:v>-0.1199999999999999</x:v>
      </x:c>
      <x:c r="J500" s="98" t="n">
        <x:v>1.879762103396908e-13</x:v>
      </x:c>
      <x:c r="K500" t="str">
        <x:v>low_vds</x:v>
      </x:c>
      <x:c r="L500" t="str">
        <x:v>low_drain_bias</x:v>
      </x:c>
      <x:c r="M500" t="n">
        <x:v>1.1</x:v>
      </x:c>
      <x:c r="N500" t="str">
        <x:v>simulation</x:v>
      </x:c>
      <x:c r="O500" t="str">
        <x:v>ngspice</x:v>
      </x:c>
      <x:c r="P500" t="str">
        <x:v>397141eb8a813045075ac2be3098d3b136ebaf4d597c08fca627922a75e443b7</x:v>
      </x:c>
      <x:c r="Q500" t="str">
        <x:v>data/raw/ptm45_lp_vds_0p05v_raw.txt</x:v>
      </x:c>
    </x:row>
    <x:row r="501">
      <x:c r="A501" t="str">
        <x:v>PTM</x:v>
      </x:c>
      <x:c r="B501" t="str">
        <x:v>NMOS</x:v>
      </x:c>
      <x:c r="C501" s="97" t="n">
        <x:v>45</x:v>
      </x:c>
      <x:c r="D501" s="97" t="str">
        <x:v>LP</x:v>
      </x:c>
      <x:c r="E501" s="99" t="n">
        <x:v>1</x:v>
      </x:c>
      <x:c r="F501" s="99" t="n">
        <x:v>0.045</x:v>
      </x:c>
      <x:c r="G501" s="99" t="n">
        <x:v>25</x:v>
      </x:c>
      <x:c r="H501" s="99" t="n">
        <x:v>0.05</x:v>
      </x:c>
      <x:c r="I501" s="99" t="n">
        <x:v>-0.1149999999999999</x:v>
      </x:c>
      <x:c r="J501" s="98" t="n">
        <x:v>2.064719556977238e-13</x:v>
      </x:c>
      <x:c r="K501" t="str">
        <x:v>low_vds</x:v>
      </x:c>
      <x:c r="L501" t="str">
        <x:v>low_drain_bias</x:v>
      </x:c>
      <x:c r="M501" t="n">
        <x:v>1.1</x:v>
      </x:c>
      <x:c r="N501" t="str">
        <x:v>simulation</x:v>
      </x:c>
      <x:c r="O501" t="str">
        <x:v>ngspice</x:v>
      </x:c>
      <x:c r="P501" t="str">
        <x:v>397141eb8a813045075ac2be3098d3b136ebaf4d597c08fca627922a75e443b7</x:v>
      </x:c>
      <x:c r="Q501" t="str">
        <x:v>data/raw/ptm45_lp_vds_0p05v_raw.txt</x:v>
      </x:c>
    </x:row>
    <x:row r="502">
      <x:c r="A502" t="str">
        <x:v>PTM</x:v>
      </x:c>
      <x:c r="B502" t="str">
        <x:v>NMOS</x:v>
      </x:c>
      <x:c r="C502" s="97" t="n">
        <x:v>45</x:v>
      </x:c>
      <x:c r="D502" s="97" t="str">
        <x:v>LP</x:v>
      </x:c>
      <x:c r="E502" s="99" t="n">
        <x:v>1</x:v>
      </x:c>
      <x:c r="F502" s="99" t="n">
        <x:v>0.045</x:v>
      </x:c>
      <x:c r="G502" s="99" t="n">
        <x:v>25</x:v>
      </x:c>
      <x:c r="H502" s="99" t="n">
        <x:v>0.05</x:v>
      </x:c>
      <x:c r="I502" s="99" t="n">
        <x:v>-0.1099999999999999</x:v>
      </x:c>
      <x:c r="J502" s="98" t="n">
        <x:v>2.276111087748233e-13</x:v>
      </x:c>
      <x:c r="K502" t="str">
        <x:v>low_vds</x:v>
      </x:c>
      <x:c r="L502" t="str">
        <x:v>low_drain_bias</x:v>
      </x:c>
      <x:c r="M502" t="n">
        <x:v>1.1</x:v>
      </x:c>
      <x:c r="N502" t="str">
        <x:v>simulation</x:v>
      </x:c>
      <x:c r="O502" t="str">
        <x:v>ngspice</x:v>
      </x:c>
      <x:c r="P502" t="str">
        <x:v>397141eb8a813045075ac2be3098d3b136ebaf4d597c08fca627922a75e443b7</x:v>
      </x:c>
      <x:c r="Q502" t="str">
        <x:v>data/raw/ptm45_lp_vds_0p05v_raw.txt</x:v>
      </x:c>
    </x:row>
    <x:row r="503">
      <x:c r="A503" t="str">
        <x:v>PTM</x:v>
      </x:c>
      <x:c r="B503" t="str">
        <x:v>NMOS</x:v>
      </x:c>
      <x:c r="C503" s="97" t="n">
        <x:v>45</x:v>
      </x:c>
      <x:c r="D503" s="97" t="str">
        <x:v>LP</x:v>
      </x:c>
      <x:c r="E503" s="99" t="n">
        <x:v>1</x:v>
      </x:c>
      <x:c r="F503" s="99" t="n">
        <x:v>0.045</x:v>
      </x:c>
      <x:c r="G503" s="99" t="n">
        <x:v>25</x:v>
      </x:c>
      <x:c r="H503" s="99" t="n">
        <x:v>0.05</x:v>
      </x:c>
      <x:c r="I503" s="99" t="n">
        <x:v>-0.1049999999999999</x:v>
      </x:c>
      <x:c r="J503" s="98" t="n">
        <x:v>2.517714242670328e-13</x:v>
      </x:c>
      <x:c r="K503" t="str">
        <x:v>low_vds</x:v>
      </x:c>
      <x:c r="L503" t="str">
        <x:v>low_drain_bias</x:v>
      </x:c>
      <x:c r="M503" t="n">
        <x:v>1.1</x:v>
      </x:c>
      <x:c r="N503" t="str">
        <x:v>simulation</x:v>
      </x:c>
      <x:c r="O503" t="str">
        <x:v>ngspice</x:v>
      </x:c>
      <x:c r="P503" t="str">
        <x:v>397141eb8a813045075ac2be3098d3b136ebaf4d597c08fca627922a75e443b7</x:v>
      </x:c>
      <x:c r="Q503" t="str">
        <x:v>data/raw/ptm45_lp_vds_0p05v_raw.txt</x:v>
      </x:c>
    </x:row>
    <x:row r="504">
      <x:c r="A504" t="str">
        <x:v>PTM</x:v>
      </x:c>
      <x:c r="B504" t="str">
        <x:v>NMOS</x:v>
      </x:c>
      <x:c r="C504" s="97" t="n">
        <x:v>45</x:v>
      </x:c>
      <x:c r="D504" s="97" t="str">
        <x:v>LP</x:v>
      </x:c>
      <x:c r="E504" s="99" t="n">
        <x:v>1</x:v>
      </x:c>
      <x:c r="F504" s="99" t="n">
        <x:v>0.045</x:v>
      </x:c>
      <x:c r="G504" s="99" t="n">
        <x:v>25</x:v>
      </x:c>
      <x:c r="H504" s="99" t="n">
        <x:v>0.05</x:v>
      </x:c>
      <x:c r="I504" s="99" t="n">
        <x:v>-0.09999999999999992</x:v>
      </x:c>
      <x:c r="J504" s="98" t="n">
        <x:v>2.793846307853277e-13</x:v>
      </x:c>
      <x:c r="K504" t="str">
        <x:v>low_vds</x:v>
      </x:c>
      <x:c r="L504" t="str">
        <x:v>low_drain_bias</x:v>
      </x:c>
      <x:c r="M504" t="n">
        <x:v>1.1</x:v>
      </x:c>
      <x:c r="N504" t="str">
        <x:v>simulation</x:v>
      </x:c>
      <x:c r="O504" t="str">
        <x:v>ngspice</x:v>
      </x:c>
      <x:c r="P504" t="str">
        <x:v>397141eb8a813045075ac2be3098d3b136ebaf4d597c08fca627922a75e443b7</x:v>
      </x:c>
      <x:c r="Q504" t="str">
        <x:v>data/raw/ptm45_lp_vds_0p05v_raw.txt</x:v>
      </x:c>
    </x:row>
    <x:row r="505">
      <x:c r="A505" t="str">
        <x:v>PTM</x:v>
      </x:c>
      <x:c r="B505" t="str">
        <x:v>NMOS</x:v>
      </x:c>
      <x:c r="C505" s="97" t="n">
        <x:v>45</x:v>
      </x:c>
      <x:c r="D505" s="97" t="str">
        <x:v>LP</x:v>
      </x:c>
      <x:c r="E505" s="99" t="n">
        <x:v>1</x:v>
      </x:c>
      <x:c r="F505" s="99" t="n">
        <x:v>0.045</x:v>
      </x:c>
      <x:c r="G505" s="99" t="n">
        <x:v>25</x:v>
      </x:c>
      <x:c r="H505" s="99" t="n">
        <x:v>0.05</x:v>
      </x:c>
      <x:c r="I505" s="99" t="n">
        <x:v>-0.09499999999999992</x:v>
      </x:c>
      <x:c r="J505" s="98" t="n">
        <x:v>3.10944140741686e-13</x:v>
      </x:c>
      <x:c r="K505" t="str">
        <x:v>low_vds</x:v>
      </x:c>
      <x:c r="L505" t="str">
        <x:v>low_drain_bias</x:v>
      </x:c>
      <x:c r="M505" t="n">
        <x:v>1.1</x:v>
      </x:c>
      <x:c r="N505" t="str">
        <x:v>simulation</x:v>
      </x:c>
      <x:c r="O505" t="str">
        <x:v>ngspice</x:v>
      </x:c>
      <x:c r="P505" t="str">
        <x:v>397141eb8a813045075ac2be3098d3b136ebaf4d597c08fca627922a75e443b7</x:v>
      </x:c>
      <x:c r="Q505" t="str">
        <x:v>data/raw/ptm45_lp_vds_0p05v_raw.txt</x:v>
      </x:c>
    </x:row>
    <x:row r="506">
      <x:c r="A506" t="str">
        <x:v>PTM</x:v>
      </x:c>
      <x:c r="B506" t="str">
        <x:v>NMOS</x:v>
      </x:c>
      <x:c r="C506" s="97" t="n">
        <x:v>45</x:v>
      </x:c>
      <x:c r="D506" s="97" t="str">
        <x:v>LP</x:v>
      </x:c>
      <x:c r="E506" s="99" t="n">
        <x:v>1</x:v>
      </x:c>
      <x:c r="F506" s="99" t="n">
        <x:v>0.045</x:v>
      </x:c>
      <x:c r="G506" s="99" t="n">
        <x:v>25</x:v>
      </x:c>
      <x:c r="H506" s="99" t="n">
        <x:v>0.05</x:v>
      </x:c>
      <x:c r="I506" s="99" t="n">
        <x:v>-0.08999999999999991</x:v>
      </x:c>
      <x:c r="J506" s="98" t="n">
        <x:v>3.470138611172444e-13</x:v>
      </x:c>
      <x:c r="K506" t="str">
        <x:v>low_vds</x:v>
      </x:c>
      <x:c r="L506" t="str">
        <x:v>low_drain_bias</x:v>
      </x:c>
      <x:c r="M506" t="n">
        <x:v>1.1</x:v>
      </x:c>
      <x:c r="N506" t="str">
        <x:v>simulation</x:v>
      </x:c>
      <x:c r="O506" t="str">
        <x:v>ngspice</x:v>
      </x:c>
      <x:c r="P506" t="str">
        <x:v>397141eb8a813045075ac2be3098d3b136ebaf4d597c08fca627922a75e443b7</x:v>
      </x:c>
      <x:c r="Q506" t="str">
        <x:v>data/raw/ptm45_lp_vds_0p05v_raw.txt</x:v>
      </x:c>
    </x:row>
    <x:row r="507">
      <x:c r="A507" t="str">
        <x:v>PTM</x:v>
      </x:c>
      <x:c r="B507" t="str">
        <x:v>NMOS</x:v>
      </x:c>
      <x:c r="C507" s="97" t="n">
        <x:v>45</x:v>
      </x:c>
      <x:c r="D507" s="97" t="str">
        <x:v>LP</x:v>
      </x:c>
      <x:c r="E507" s="99" t="n">
        <x:v>1</x:v>
      </x:c>
      <x:c r="F507" s="99" t="n">
        <x:v>0.045</x:v>
      </x:c>
      <x:c r="G507" s="99" t="n">
        <x:v>25</x:v>
      </x:c>
      <x:c r="H507" s="99" t="n">
        <x:v>0.05</x:v>
      </x:c>
      <x:c r="I507" s="99" t="n">
        <x:v>-0.08499999999999991</x:v>
      </x:c>
      <x:c r="J507" s="98" t="n">
        <x:v>3.882382622197583e-13</x:v>
      </x:c>
      <x:c r="K507" t="str">
        <x:v>low_vds</x:v>
      </x:c>
      <x:c r="L507" t="str">
        <x:v>low_drain_bias</x:v>
      </x:c>
      <x:c r="M507" t="n">
        <x:v>1.1</x:v>
      </x:c>
      <x:c r="N507" t="str">
        <x:v>simulation</x:v>
      </x:c>
      <x:c r="O507" t="str">
        <x:v>ngspice</x:v>
      </x:c>
      <x:c r="P507" t="str">
        <x:v>397141eb8a813045075ac2be3098d3b136ebaf4d597c08fca627922a75e443b7</x:v>
      </x:c>
      <x:c r="Q507" t="str">
        <x:v>data/raw/ptm45_lp_vds_0p05v_raw.txt</x:v>
      </x:c>
    </x:row>
    <x:row r="508">
      <x:c r="A508" t="str">
        <x:v>PTM</x:v>
      </x:c>
      <x:c r="B508" t="str">
        <x:v>NMOS</x:v>
      </x:c>
      <x:c r="C508" s="97" t="n">
        <x:v>45</x:v>
      </x:c>
      <x:c r="D508" s="97" t="str">
        <x:v>LP</x:v>
      </x:c>
      <x:c r="E508" s="99" t="n">
        <x:v>1</x:v>
      </x:c>
      <x:c r="F508" s="99" t="n">
        <x:v>0.045</x:v>
      </x:c>
      <x:c r="G508" s="99" t="n">
        <x:v>25</x:v>
      </x:c>
      <x:c r="H508" s="99" t="n">
        <x:v>0.05</x:v>
      </x:c>
      <x:c r="I508" s="99" t="n">
        <x:v>-0.0799999999999999</x:v>
      </x:c>
      <x:c r="J508" s="98" t="n">
        <x:v>4.353538839185174e-13</x:v>
      </x:c>
      <x:c r="K508" t="str">
        <x:v>low_vds</x:v>
      </x:c>
      <x:c r="L508" t="str">
        <x:v>low_drain_bias</x:v>
      </x:c>
      <x:c r="M508" t="n">
        <x:v>1.1</x:v>
      </x:c>
      <x:c r="N508" t="str">
        <x:v>simulation</x:v>
      </x:c>
      <x:c r="O508" t="str">
        <x:v>ngspice</x:v>
      </x:c>
      <x:c r="P508" t="str">
        <x:v>397141eb8a813045075ac2be3098d3b136ebaf4d597c08fca627922a75e443b7</x:v>
      </x:c>
      <x:c r="Q508" t="str">
        <x:v>data/raw/ptm45_lp_vds_0p05v_raw.txt</x:v>
      </x:c>
    </x:row>
    <x:row r="509">
      <x:c r="A509" t="str">
        <x:v>PTM</x:v>
      </x:c>
      <x:c r="B509" t="str">
        <x:v>NMOS</x:v>
      </x:c>
      <x:c r="C509" s="97" t="n">
        <x:v>45</x:v>
      </x:c>
      <x:c r="D509" s="97" t="str">
        <x:v>LP</x:v>
      </x:c>
      <x:c r="E509" s="99" t="n">
        <x:v>1</x:v>
      </x:c>
      <x:c r="F509" s="99" t="n">
        <x:v>0.045</x:v>
      </x:c>
      <x:c r="G509" s="99" t="n">
        <x:v>25</x:v>
      </x:c>
      <x:c r="H509" s="99" t="n">
        <x:v>0.05</x:v>
      </x:c>
      <x:c r="I509" s="99" t="n">
        <x:v>-0.0749999999999999</x:v>
      </x:c>
      <x:c r="J509" s="98" t="n">
        <x:v>4.892024844485102e-13</x:v>
      </x:c>
      <x:c r="K509" t="str">
        <x:v>low_vds</x:v>
      </x:c>
      <x:c r="L509" t="str">
        <x:v>low_drain_bias</x:v>
      </x:c>
      <x:c r="M509" t="n">
        <x:v>1.1</x:v>
      </x:c>
      <x:c r="N509" t="str">
        <x:v>simulation</x:v>
      </x:c>
      <x:c r="O509" t="str">
        <x:v>ngspice</x:v>
      </x:c>
      <x:c r="P509" t="str">
        <x:v>397141eb8a813045075ac2be3098d3b136ebaf4d597c08fca627922a75e443b7</x:v>
      </x:c>
      <x:c r="Q509" t="str">
        <x:v>data/raw/ptm45_lp_vds_0p05v_raw.txt</x:v>
      </x:c>
    </x:row>
    <x:row r="510">
      <x:c r="A510" t="str">
        <x:v>PTM</x:v>
      </x:c>
      <x:c r="B510" t="str">
        <x:v>NMOS</x:v>
      </x:c>
      <x:c r="C510" s="97" t="n">
        <x:v>45</x:v>
      </x:c>
      <x:c r="D510" s="97" t="str">
        <x:v>LP</x:v>
      </x:c>
      <x:c r="E510" s="99" t="n">
        <x:v>1</x:v>
      </x:c>
      <x:c r="F510" s="99" t="n">
        <x:v>0.045</x:v>
      </x:c>
      <x:c r="G510" s="99" t="n">
        <x:v>25</x:v>
      </x:c>
      <x:c r="H510" s="99" t="n">
        <x:v>0.05</x:v>
      </x:c>
      <x:c r="I510" s="99" t="n">
        <x:v>-0.0699999999999999</x:v>
      </x:c>
      <x:c r="J510" s="98" t="n">
        <x:v>5.507460661046448e-13</x:v>
      </x:c>
      <x:c r="K510" t="str">
        <x:v>low_vds</x:v>
      </x:c>
      <x:c r="L510" t="str">
        <x:v>low_drain_bias</x:v>
      </x:c>
      <x:c r="M510" t="n">
        <x:v>1.1</x:v>
      </x:c>
      <x:c r="N510" t="str">
        <x:v>simulation</x:v>
      </x:c>
      <x:c r="O510" t="str">
        <x:v>ngspice</x:v>
      </x:c>
      <x:c r="P510" t="str">
        <x:v>397141eb8a813045075ac2be3098d3b136ebaf4d597c08fca627922a75e443b7</x:v>
      </x:c>
      <x:c r="Q510" t="str">
        <x:v>data/raw/ptm45_lp_vds_0p05v_raw.txt</x:v>
      </x:c>
    </x:row>
    <x:row r="511">
      <x:c r="A511" t="str">
        <x:v>PTM</x:v>
      </x:c>
      <x:c r="B511" t="str">
        <x:v>NMOS</x:v>
      </x:c>
      <x:c r="C511" s="97" t="n">
        <x:v>45</x:v>
      </x:c>
      <x:c r="D511" s="97" t="str">
        <x:v>LP</x:v>
      </x:c>
      <x:c r="E511" s="99" t="n">
        <x:v>1</x:v>
      </x:c>
      <x:c r="F511" s="99" t="n">
        <x:v>0.045</x:v>
      </x:c>
      <x:c r="G511" s="99" t="n">
        <x:v>25</x:v>
      </x:c>
      <x:c r="H511" s="99" t="n">
        <x:v>0.05</x:v>
      </x:c>
      <x:c r="I511" s="99" t="n">
        <x:v>-0.06499999999999989</x:v>
      </x:c>
      <x:c r="J511" s="98" t="n">
        <x:v>6.210840455007625e-13</x:v>
      </x:c>
      <x:c r="K511" t="str">
        <x:v>low_vds</x:v>
      </x:c>
      <x:c r="L511" t="str">
        <x:v>low_drain_bias</x:v>
      </x:c>
      <x:c r="M511" t="n">
        <x:v>1.1</x:v>
      </x:c>
      <x:c r="N511" t="str">
        <x:v>simulation</x:v>
      </x:c>
      <x:c r="O511" t="str">
        <x:v>ngspice</x:v>
      </x:c>
      <x:c r="P511" t="str">
        <x:v>397141eb8a813045075ac2be3098d3b136ebaf4d597c08fca627922a75e443b7</x:v>
      </x:c>
      <x:c r="Q511" t="str">
        <x:v>data/raw/ptm45_lp_vds_0p05v_raw.txt</x:v>
      </x:c>
    </x:row>
    <x:row r="512">
      <x:c r="A512" t="str">
        <x:v>PTM</x:v>
      </x:c>
      <x:c r="B512" t="str">
        <x:v>NMOS</x:v>
      </x:c>
      <x:c r="C512" s="97" t="n">
        <x:v>45</x:v>
      </x:c>
      <x:c r="D512" s="97" t="str">
        <x:v>LP</x:v>
      </x:c>
      <x:c r="E512" s="99" t="n">
        <x:v>1</x:v>
      </x:c>
      <x:c r="F512" s="99" t="n">
        <x:v>0.045</x:v>
      </x:c>
      <x:c r="G512" s="99" t="n">
        <x:v>25</x:v>
      </x:c>
      <x:c r="H512" s="99" t="n">
        <x:v>0.05</x:v>
      </x:c>
      <x:c r="I512" s="99" t="n">
        <x:v>-0.05999999999999989</x:v>
      </x:c>
      <x:c r="J512" s="98" t="n">
        <x:v>7.014728742536475e-13</x:v>
      </x:c>
      <x:c r="K512" t="str">
        <x:v>low_vds</x:v>
      </x:c>
      <x:c r="L512" t="str">
        <x:v>low_drain_bias</x:v>
      </x:c>
      <x:c r="M512" t="n">
        <x:v>1.1</x:v>
      </x:c>
      <x:c r="N512" t="str">
        <x:v>simulation</x:v>
      </x:c>
      <x:c r="O512" t="str">
        <x:v>ngspice</x:v>
      </x:c>
      <x:c r="P512" t="str">
        <x:v>397141eb8a813045075ac2be3098d3b136ebaf4d597c08fca627922a75e443b7</x:v>
      </x:c>
      <x:c r="Q512" t="str">
        <x:v>data/raw/ptm45_lp_vds_0p05v_raw.txt</x:v>
      </x:c>
    </x:row>
    <x:row r="513">
      <x:c r="A513" t="str">
        <x:v>PTM</x:v>
      </x:c>
      <x:c r="B513" t="str">
        <x:v>NMOS</x:v>
      </x:c>
      <x:c r="C513" s="97" t="n">
        <x:v>45</x:v>
      </x:c>
      <x:c r="D513" s="97" t="str">
        <x:v>LP</x:v>
      </x:c>
      <x:c r="E513" s="99" t="n">
        <x:v>1</x:v>
      </x:c>
      <x:c r="F513" s="99" t="n">
        <x:v>0.045</x:v>
      </x:c>
      <x:c r="G513" s="99" t="n">
        <x:v>25</x:v>
      </x:c>
      <x:c r="H513" s="99" t="n">
        <x:v>0.05</x:v>
      </x:c>
      <x:c r="I513" s="99" t="n">
        <x:v>-0.0549999999999999</x:v>
      </x:c>
      <x:c r="J513" s="98" t="n">
        <x:v>7.933484594838286e-13</x:v>
      </x:c>
      <x:c r="K513" t="str">
        <x:v>low_vds</x:v>
      </x:c>
      <x:c r="L513" t="str">
        <x:v>low_drain_bias</x:v>
      </x:c>
      <x:c r="M513" t="n">
        <x:v>1.1</x:v>
      </x:c>
      <x:c r="N513" t="str">
        <x:v>simulation</x:v>
      </x:c>
      <x:c r="O513" t="str">
        <x:v>ngspice</x:v>
      </x:c>
      <x:c r="P513" t="str">
        <x:v>397141eb8a813045075ac2be3098d3b136ebaf4d597c08fca627922a75e443b7</x:v>
      </x:c>
      <x:c r="Q513" t="str">
        <x:v>data/raw/ptm45_lp_vds_0p05v_raw.txt</x:v>
      </x:c>
    </x:row>
    <x:row r="514">
      <x:c r="A514" t="str">
        <x:v>PTM</x:v>
      </x:c>
      <x:c r="B514" t="str">
        <x:v>NMOS</x:v>
      </x:c>
      <x:c r="C514" s="97" t="n">
        <x:v>45</x:v>
      </x:c>
      <x:c r="D514" s="97" t="str">
        <x:v>LP</x:v>
      </x:c>
      <x:c r="E514" s="99" t="n">
        <x:v>1</x:v>
      </x:c>
      <x:c r="F514" s="99" t="n">
        <x:v>0.045</x:v>
      </x:c>
      <x:c r="G514" s="99" t="n">
        <x:v>25</x:v>
      </x:c>
      <x:c r="H514" s="99" t="n">
        <x:v>0.05</x:v>
      </x:c>
      <x:c r="I514" s="99" t="n">
        <x:v>-0.0499999999999999</x:v>
      </x:c>
      <x:c r="J514" s="98" t="n">
        <x:v>8.983517832673063e-13</x:v>
      </x:c>
      <x:c r="K514" t="str">
        <x:v>low_vds</x:v>
      </x:c>
      <x:c r="L514" t="str">
        <x:v>low_drain_bias</x:v>
      </x:c>
      <x:c r="M514" t="n">
        <x:v>1.1</x:v>
      </x:c>
      <x:c r="N514" t="str">
        <x:v>simulation</x:v>
      </x:c>
      <x:c r="O514" t="str">
        <x:v>ngspice</x:v>
      </x:c>
      <x:c r="P514" t="str">
        <x:v>397141eb8a813045075ac2be3098d3b136ebaf4d597c08fca627922a75e443b7</x:v>
      </x:c>
      <x:c r="Q514" t="str">
        <x:v>data/raw/ptm45_lp_vds_0p05v_raw.txt</x:v>
      </x:c>
    </x:row>
    <x:row r="515">
      <x:c r="A515" t="str">
        <x:v>PTM</x:v>
      </x:c>
      <x:c r="B515" t="str">
        <x:v>NMOS</x:v>
      </x:c>
      <x:c r="C515" s="97" t="n">
        <x:v>45</x:v>
      </x:c>
      <x:c r="D515" s="97" t="str">
        <x:v>LP</x:v>
      </x:c>
      <x:c r="E515" s="99" t="n">
        <x:v>1</x:v>
      </x:c>
      <x:c r="F515" s="99" t="n">
        <x:v>0.045</x:v>
      </x:c>
      <x:c r="G515" s="99" t="n">
        <x:v>25</x:v>
      </x:c>
      <x:c r="H515" s="99" t="n">
        <x:v>0.05</x:v>
      </x:c>
      <x:c r="I515" s="99" t="n">
        <x:v>-0.0449999999999999</x:v>
      </x:c>
      <x:c r="J515" s="98" t="n">
        <x:v>1.01835817701383e-12</x:v>
      </x:c>
      <x:c r="K515" t="str">
        <x:v>low_vds</x:v>
      </x:c>
      <x:c r="L515" t="str">
        <x:v>low_drain_bias</x:v>
      </x:c>
      <x:c r="M515" t="n">
        <x:v>1.1</x:v>
      </x:c>
      <x:c r="N515" t="str">
        <x:v>simulation</x:v>
      </x:c>
      <x:c r="O515" t="str">
        <x:v>ngspice</x:v>
      </x:c>
      <x:c r="P515" t="str">
        <x:v>397141eb8a813045075ac2be3098d3b136ebaf4d597c08fca627922a75e443b7</x:v>
      </x:c>
      <x:c r="Q515" t="str">
        <x:v>data/raw/ptm45_lp_vds_0p05v_raw.txt</x:v>
      </x:c>
    </x:row>
    <x:row r="516">
      <x:c r="A516" t="str">
        <x:v>PTM</x:v>
      </x:c>
      <x:c r="B516" t="str">
        <x:v>NMOS</x:v>
      </x:c>
      <x:c r="C516" s="97" t="n">
        <x:v>45</x:v>
      </x:c>
      <x:c r="D516" s="97" t="str">
        <x:v>LP</x:v>
      </x:c>
      <x:c r="E516" s="99" t="n">
        <x:v>1</x:v>
      </x:c>
      <x:c r="F516" s="99" t="n">
        <x:v>0.045</x:v>
      </x:c>
      <x:c r="G516" s="99" t="n">
        <x:v>25</x:v>
      </x:c>
      <x:c r="H516" s="99" t="n">
        <x:v>0.05</x:v>
      </x:c>
      <x:c r="I516" s="99" t="n">
        <x:v>-0.0399999999999999</x:v>
      </x:c>
      <x:c r="J516" s="98" t="n">
        <x:v>1.155510771630305e-12</x:v>
      </x:c>
      <x:c r="K516" t="str">
        <x:v>low_vds</x:v>
      </x:c>
      <x:c r="L516" t="str">
        <x:v>low_drain_bias</x:v>
      </x:c>
      <x:c r="M516" t="n">
        <x:v>1.1</x:v>
      </x:c>
      <x:c r="N516" t="str">
        <x:v>simulation</x:v>
      </x:c>
      <x:c r="O516" t="str">
        <x:v>ngspice</x:v>
      </x:c>
      <x:c r="P516" t="str">
        <x:v>397141eb8a813045075ac2be3098d3b136ebaf4d597c08fca627922a75e443b7</x:v>
      </x:c>
      <x:c r="Q516" t="str">
        <x:v>data/raw/ptm45_lp_vds_0p05v_raw.txt</x:v>
      </x:c>
    </x:row>
    <x:row r="517">
      <x:c r="A517" t="str">
        <x:v>PTM</x:v>
      </x:c>
      <x:c r="B517" t="str">
        <x:v>NMOS</x:v>
      </x:c>
      <x:c r="C517" s="97" t="n">
        <x:v>45</x:v>
      </x:c>
      <x:c r="D517" s="97" t="str">
        <x:v>LP</x:v>
      </x:c>
      <x:c r="E517" s="99" t="n">
        <x:v>1</x:v>
      </x:c>
      <x:c r="F517" s="99" t="n">
        <x:v>0.045</x:v>
      </x:c>
      <x:c r="G517" s="99" t="n">
        <x:v>25</x:v>
      </x:c>
      <x:c r="H517" s="99" t="n">
        <x:v>0.05</x:v>
      </x:c>
      <x:c r="I517" s="99" t="n">
        <x:v>-0.03499999999999991</x:v>
      </x:c>
      <x:c r="J517" s="98" t="n">
        <x:v>1.312258718417095e-12</x:v>
      </x:c>
      <x:c r="K517" t="str">
        <x:v>low_vds</x:v>
      </x:c>
      <x:c r="L517" t="str">
        <x:v>low_drain_bias</x:v>
      </x:c>
      <x:c r="M517" t="n">
        <x:v>1.1</x:v>
      </x:c>
      <x:c r="N517" t="str">
        <x:v>simulation</x:v>
      </x:c>
      <x:c r="O517" t="str">
        <x:v>ngspice</x:v>
      </x:c>
      <x:c r="P517" t="str">
        <x:v>397141eb8a813045075ac2be3098d3b136ebaf4d597c08fca627922a75e443b7</x:v>
      </x:c>
      <x:c r="Q517" t="str">
        <x:v>data/raw/ptm45_lp_vds_0p05v_raw.txt</x:v>
      </x:c>
    </x:row>
    <x:row r="518">
      <x:c r="A518" t="str">
        <x:v>PTM</x:v>
      </x:c>
      <x:c r="B518" t="str">
        <x:v>NMOS</x:v>
      </x:c>
      <x:c r="C518" s="97" t="n">
        <x:v>45</x:v>
      </x:c>
      <x:c r="D518" s="97" t="str">
        <x:v>LP</x:v>
      </x:c>
      <x:c r="E518" s="99" t="n">
        <x:v>1</x:v>
      </x:c>
      <x:c r="F518" s="99" t="n">
        <x:v>0.045</x:v>
      </x:c>
      <x:c r="G518" s="99" t="n">
        <x:v>25</x:v>
      </x:c>
      <x:c r="H518" s="99" t="n">
        <x:v>0.05</x:v>
      </x:c>
      <x:c r="I518" s="99" t="n">
        <x:v>-0.02999999999999991</x:v>
      </x:c>
      <x:c r="J518" s="98" t="n">
        <x:v>1.491400860282069e-12</x:v>
      </x:c>
      <x:c r="K518" t="str">
        <x:v>low_vds</x:v>
      </x:c>
      <x:c r="L518" t="str">
        <x:v>low_drain_bias</x:v>
      </x:c>
      <x:c r="M518" t="n">
        <x:v>1.1</x:v>
      </x:c>
      <x:c r="N518" t="str">
        <x:v>simulation</x:v>
      </x:c>
      <x:c r="O518" t="str">
        <x:v>ngspice</x:v>
      </x:c>
      <x:c r="P518" t="str">
        <x:v>397141eb8a813045075ac2be3098d3b136ebaf4d597c08fca627922a75e443b7</x:v>
      </x:c>
      <x:c r="Q518" t="str">
        <x:v>data/raw/ptm45_lp_vds_0p05v_raw.txt</x:v>
      </x:c>
    </x:row>
    <x:row r="519">
      <x:c r="A519" t="str">
        <x:v>PTM</x:v>
      </x:c>
      <x:c r="B519" t="str">
        <x:v>NMOS</x:v>
      </x:c>
      <x:c r="C519" s="97" t="n">
        <x:v>45</x:v>
      </x:c>
      <x:c r="D519" s="97" t="str">
        <x:v>LP</x:v>
      </x:c>
      <x:c r="E519" s="99" t="n">
        <x:v>1</x:v>
      </x:c>
      <x:c r="F519" s="99" t="n">
        <x:v>0.045</x:v>
      </x:c>
      <x:c r="G519" s="99" t="n">
        <x:v>25</x:v>
      </x:c>
      <x:c r="H519" s="99" t="n">
        <x:v>0.05</x:v>
      </x:c>
      <x:c r="I519" s="99" t="n">
        <x:v>-0.0249999999999999</x:v>
      </x:c>
      <x:c r="J519" s="98" t="n">
        <x:v>1.696135629485605e-12</x:v>
      </x:c>
      <x:c r="K519" t="str">
        <x:v>low_vds</x:v>
      </x:c>
      <x:c r="L519" t="str">
        <x:v>low_drain_bias</x:v>
      </x:c>
      <x:c r="M519" t="n">
        <x:v>1.1</x:v>
      </x:c>
      <x:c r="N519" t="str">
        <x:v>simulation</x:v>
      </x:c>
      <x:c r="O519" t="str">
        <x:v>ngspice</x:v>
      </x:c>
      <x:c r="P519" t="str">
        <x:v>397141eb8a813045075ac2be3098d3b136ebaf4d597c08fca627922a75e443b7</x:v>
      </x:c>
      <x:c r="Q519" t="str">
        <x:v>data/raw/ptm45_lp_vds_0p05v_raw.txt</x:v>
      </x:c>
    </x:row>
    <x:row r="520">
      <x:c r="A520" t="str">
        <x:v>PTM</x:v>
      </x:c>
      <x:c r="B520" t="str">
        <x:v>NMOS</x:v>
      </x:c>
      <x:c r="C520" s="97" t="n">
        <x:v>45</x:v>
      </x:c>
      <x:c r="D520" s="97" t="str">
        <x:v>LP</x:v>
      </x:c>
      <x:c r="E520" s="99" t="n">
        <x:v>1</x:v>
      </x:c>
      <x:c r="F520" s="99" t="n">
        <x:v>0.045</x:v>
      </x:c>
      <x:c r="G520" s="99" t="n">
        <x:v>25</x:v>
      </x:c>
      <x:c r="H520" s="99" t="n">
        <x:v>0.05</x:v>
      </x:c>
      <x:c r="I520" s="99" t="n">
        <x:v>-0.0199999999999999</x:v>
      </x:c>
      <x:c r="J520" s="98" t="n">
        <x:v>1.93011805838471e-12</x:v>
      </x:c>
      <x:c r="K520" t="str">
        <x:v>low_vds</x:v>
      </x:c>
      <x:c r="L520" t="str">
        <x:v>low_drain_bias</x:v>
      </x:c>
      <x:c r="M520" t="n">
        <x:v>1.1</x:v>
      </x:c>
      <x:c r="N520" t="str">
        <x:v>simulation</x:v>
      </x:c>
      <x:c r="O520" t="str">
        <x:v>ngspice</x:v>
      </x:c>
      <x:c r="P520" t="str">
        <x:v>397141eb8a813045075ac2be3098d3b136ebaf4d597c08fca627922a75e443b7</x:v>
      </x:c>
      <x:c r="Q520" t="str">
        <x:v>data/raw/ptm45_lp_vds_0p05v_raw.txt</x:v>
      </x:c>
    </x:row>
    <x:row r="521">
      <x:c r="A521" t="str">
        <x:v>PTM</x:v>
      </x:c>
      <x:c r="B521" t="str">
        <x:v>NMOS</x:v>
      </x:c>
      <x:c r="C521" s="97" t="n">
        <x:v>45</x:v>
      </x:c>
      <x:c r="D521" s="97" t="str">
        <x:v>LP</x:v>
      </x:c>
      <x:c r="E521" s="99" t="n">
        <x:v>1</x:v>
      </x:c>
      <x:c r="F521" s="99" t="n">
        <x:v>0.045</x:v>
      </x:c>
      <x:c r="G521" s="99" t="n">
        <x:v>25</x:v>
      </x:c>
      <x:c r="H521" s="99" t="n">
        <x:v>0.05</x:v>
      </x:c>
      <x:c r="I521" s="99" t="n">
        <x:v>-0.0149999999999999</x:v>
      </x:c>
      <x:c r="J521" s="98" t="n">
        <x:v>2.197524915686957e-12</x:v>
      </x:c>
      <x:c r="K521" t="str">
        <x:v>low_vds</x:v>
      </x:c>
      <x:c r="L521" t="str">
        <x:v>low_drain_bias</x:v>
      </x:c>
      <x:c r="M521" t="n">
        <x:v>1.1</x:v>
      </x:c>
      <x:c r="N521" t="str">
        <x:v>simulation</x:v>
      </x:c>
      <x:c r="O521" t="str">
        <x:v>ngspice</x:v>
      </x:c>
      <x:c r="P521" t="str">
        <x:v>397141eb8a813045075ac2be3098d3b136ebaf4d597c08fca627922a75e443b7</x:v>
      </x:c>
      <x:c r="Q521" t="str">
        <x:v>data/raw/ptm45_lp_vds_0p05v_raw.txt</x:v>
      </x:c>
    </x:row>
    <x:row r="522">
      <x:c r="A522" t="str">
        <x:v>PTM</x:v>
      </x:c>
      <x:c r="B522" t="str">
        <x:v>NMOS</x:v>
      </x:c>
      <x:c r="C522" s="97" t="n">
        <x:v>45</x:v>
      </x:c>
      <x:c r="D522" s="97" t="str">
        <x:v>LP</x:v>
      </x:c>
      <x:c r="E522" s="99" t="n">
        <x:v>1</x:v>
      </x:c>
      <x:c r="F522" s="99" t="n">
        <x:v>0.045</x:v>
      </x:c>
      <x:c r="G522" s="99" t="n">
        <x:v>25</x:v>
      </x:c>
      <x:c r="H522" s="99" t="n">
        <x:v>0.05</x:v>
      </x:c>
      <x:c r="I522" s="99" t="n">
        <x:v>-0.009999999999999901</x:v>
      </x:c>
      <x:c r="J522" s="98" t="n">
        <x:v>2.503129124444736e-12</x:v>
      </x:c>
      <x:c r="K522" t="str">
        <x:v>low_vds</x:v>
      </x:c>
      <x:c r="L522" t="str">
        <x:v>low_drain_bias</x:v>
      </x:c>
      <x:c r="M522" t="n">
        <x:v>1.1</x:v>
      </x:c>
      <x:c r="N522" t="str">
        <x:v>simulation</x:v>
      </x:c>
      <x:c r="O522" t="str">
        <x:v>ngspice</x:v>
      </x:c>
      <x:c r="P522" t="str">
        <x:v>397141eb8a813045075ac2be3098d3b136ebaf4d597c08fca627922a75e443b7</x:v>
      </x:c>
      <x:c r="Q522" t="str">
        <x:v>data/raw/ptm45_lp_vds_0p05v_raw.txt</x:v>
      </x:c>
    </x:row>
    <x:row r="523">
      <x:c r="A523" t="str">
        <x:v>PTM</x:v>
      </x:c>
      <x:c r="B523" t="str">
        <x:v>NMOS</x:v>
      </x:c>
      <x:c r="C523" s="97" t="n">
        <x:v>45</x:v>
      </x:c>
      <x:c r="D523" s="97" t="str">
        <x:v>LP</x:v>
      </x:c>
      <x:c r="E523" s="99" t="n">
        <x:v>1</x:v>
      </x:c>
      <x:c r="F523" s="99" t="n">
        <x:v>0.045</x:v>
      </x:c>
      <x:c r="G523" s="99" t="n">
        <x:v>25</x:v>
      </x:c>
      <x:c r="H523" s="99" t="n">
        <x:v>0.05</x:v>
      </x:c>
      <x:c r="I523" s="99" t="n">
        <x:v>-0.004999999999999901</x:v>
      </x:c>
      <x:c r="J523" s="98" t="n">
        <x:v>2.85238478210448e-12</x:v>
      </x:c>
      <x:c r="K523" t="str">
        <x:v>low_vds</x:v>
      </x:c>
      <x:c r="L523" t="str">
        <x:v>low_drain_bias</x:v>
      </x:c>
      <x:c r="M523" t="n">
        <x:v>1.1</x:v>
      </x:c>
      <x:c r="N523" t="str">
        <x:v>simulation</x:v>
      </x:c>
      <x:c r="O523" t="str">
        <x:v>ngspice</x:v>
      </x:c>
      <x:c r="P523" t="str">
        <x:v>397141eb8a813045075ac2be3098d3b136ebaf4d597c08fca627922a75e443b7</x:v>
      </x:c>
      <x:c r="Q523" t="str">
        <x:v>data/raw/ptm45_lp_vds_0p05v_raw.txt</x:v>
      </x:c>
    </x:row>
    <x:row r="524">
      <x:c r="A524" t="str">
        <x:v>PTM</x:v>
      </x:c>
      <x:c r="B524" t="str">
        <x:v>NMOS</x:v>
      </x:c>
      <x:c r="C524" s="97" t="n">
        <x:v>45</x:v>
      </x:c>
      <x:c r="D524" s="97" t="str">
        <x:v>LP</x:v>
      </x:c>
      <x:c r="E524" s="99" t="n">
        <x:v>1</x:v>
      </x:c>
      <x:c r="F524" s="99" t="n">
        <x:v>0.045</x:v>
      </x:c>
      <x:c r="G524" s="99" t="n">
        <x:v>25</x:v>
      </x:c>
      <x:c r="H524" s="99" t="n">
        <x:v>0.05</x:v>
      </x:c>
      <x:c r="I524" s="99" t="n">
        <x:v>9.8879238130678e-17</x:v>
      </x:c>
      <x:c r="J524" s="98" t="n">
        <x:v>3.251524290405956e-12</x:v>
      </x:c>
      <x:c r="K524" t="str">
        <x:v>low_vds</x:v>
      </x:c>
      <x:c r="L524" t="str">
        <x:v>low_drain_bias</x:v>
      </x:c>
      <x:c r="M524" t="n">
        <x:v>1.1</x:v>
      </x:c>
      <x:c r="N524" t="str">
        <x:v>simulation</x:v>
      </x:c>
      <x:c r="O524" t="str">
        <x:v>ngspice</x:v>
      </x:c>
      <x:c r="P524" t="str">
        <x:v>397141eb8a813045075ac2be3098d3b136ebaf4d597c08fca627922a75e443b7</x:v>
      </x:c>
      <x:c r="Q524" t="str">
        <x:v>data/raw/ptm45_lp_vds_0p05v_raw.txt</x:v>
      </x:c>
    </x:row>
    <x:row r="525">
      <x:c r="A525" t="str">
        <x:v>PTM</x:v>
      </x:c>
      <x:c r="B525" t="str">
        <x:v>NMOS</x:v>
      </x:c>
      <x:c r="C525" s="97" t="n">
        <x:v>45</x:v>
      </x:c>
      <x:c r="D525" s="97" t="str">
        <x:v>LP</x:v>
      </x:c>
      <x:c r="E525" s="99" t="n">
        <x:v>1</x:v>
      </x:c>
      <x:c r="F525" s="99" t="n">
        <x:v>0.045</x:v>
      </x:c>
      <x:c r="G525" s="99" t="n">
        <x:v>25</x:v>
      </x:c>
      <x:c r="H525" s="99" t="n">
        <x:v>0.05</x:v>
      </x:c>
      <x:c r="I525" s="99" t="n">
        <x:v>0.005000000000000099</x:v>
      </x:c>
      <x:c r="J525" s="98" t="n">
        <x:v>3.707669316523959e-12</x:v>
      </x:c>
      <x:c r="K525" t="str">
        <x:v>low_vds</x:v>
      </x:c>
      <x:c r="L525" t="str">
        <x:v>low_drain_bias</x:v>
      </x:c>
      <x:c r="M525" t="n">
        <x:v>1.1</x:v>
      </x:c>
      <x:c r="N525" t="str">
        <x:v>simulation</x:v>
      </x:c>
      <x:c r="O525" t="str">
        <x:v>ngspice</x:v>
      </x:c>
      <x:c r="P525" t="str">
        <x:v>397141eb8a813045075ac2be3098d3b136ebaf4d597c08fca627922a75e443b7</x:v>
      </x:c>
      <x:c r="Q525" t="str">
        <x:v>data/raw/ptm45_lp_vds_0p05v_raw.txt</x:v>
      </x:c>
    </x:row>
    <x:row r="526">
      <x:c r="A526" t="str">
        <x:v>PTM</x:v>
      </x:c>
      <x:c r="B526" t="str">
        <x:v>NMOS</x:v>
      </x:c>
      <x:c r="C526" s="97" t="n">
        <x:v>45</x:v>
      </x:c>
      <x:c r="D526" s="97" t="str">
        <x:v>LP</x:v>
      </x:c>
      <x:c r="E526" s="99" t="n">
        <x:v>1</x:v>
      </x:c>
      <x:c r="F526" s="99" t="n">
        <x:v>0.045</x:v>
      </x:c>
      <x:c r="G526" s="99" t="n">
        <x:v>25</x:v>
      </x:c>
      <x:c r="H526" s="99" t="n">
        <x:v>0.05</x:v>
      </x:c>
      <x:c r="I526" s="99" t="n">
        <x:v>0.0100000000000001</x:v>
      </x:c>
      <x:c r="J526" s="98" t="n">
        <x:v>4.228957551063623e-12</x:v>
      </x:c>
      <x:c r="K526" t="str">
        <x:v>low_vds</x:v>
      </x:c>
      <x:c r="L526" t="str">
        <x:v>low_drain_bias</x:v>
      </x:c>
      <x:c r="M526" t="n">
        <x:v>1.1</x:v>
      </x:c>
      <x:c r="N526" t="str">
        <x:v>simulation</x:v>
      </x:c>
      <x:c r="O526" t="str">
        <x:v>ngspice</x:v>
      </x:c>
      <x:c r="P526" t="str">
        <x:v>397141eb8a813045075ac2be3098d3b136ebaf4d597c08fca627922a75e443b7</x:v>
      </x:c>
      <x:c r="Q526" t="str">
        <x:v>data/raw/ptm45_lp_vds_0p05v_raw.txt</x:v>
      </x:c>
    </x:row>
    <x:row r="527">
      <x:c r="A527" t="str">
        <x:v>PTM</x:v>
      </x:c>
      <x:c r="B527" t="str">
        <x:v>NMOS</x:v>
      </x:c>
      <x:c r="C527" s="97" t="n">
        <x:v>45</x:v>
      </x:c>
      <x:c r="D527" s="97" t="str">
        <x:v>LP</x:v>
      </x:c>
      <x:c r="E527" s="99" t="n">
        <x:v>1</x:v>
      </x:c>
      <x:c r="F527" s="99" t="n">
        <x:v>0.045</x:v>
      </x:c>
      <x:c r="G527" s="99" t="n">
        <x:v>25</x:v>
      </x:c>
      <x:c r="H527" s="99" t="n">
        <x:v>0.05</x:v>
      </x:c>
      <x:c r="I527" s="99" t="n">
        <x:v>0.0150000000000001</x:v>
      </x:c>
      <x:c r="J527" s="98" t="n">
        <x:v>4.824687506685198e-12</x:v>
      </x:c>
      <x:c r="K527" t="str">
        <x:v>low_vds</x:v>
      </x:c>
      <x:c r="L527" t="str">
        <x:v>low_drain_bias</x:v>
      </x:c>
      <x:c r="M527" t="n">
        <x:v>1.1</x:v>
      </x:c>
      <x:c r="N527" t="str">
        <x:v>simulation</x:v>
      </x:c>
      <x:c r="O527" t="str">
        <x:v>ngspice</x:v>
      </x:c>
      <x:c r="P527" t="str">
        <x:v>397141eb8a813045075ac2be3098d3b136ebaf4d597c08fca627922a75e443b7</x:v>
      </x:c>
      <x:c r="Q527" t="str">
        <x:v>data/raw/ptm45_lp_vds_0p05v_raw.txt</x:v>
      </x:c>
    </x:row>
    <x:row r="528">
      <x:c r="A528" t="str">
        <x:v>PTM</x:v>
      </x:c>
      <x:c r="B528" t="str">
        <x:v>NMOS</x:v>
      </x:c>
      <x:c r="C528" s="97" t="n">
        <x:v>45</x:v>
      </x:c>
      <x:c r="D528" s="97" t="str">
        <x:v>LP</x:v>
      </x:c>
      <x:c r="E528" s="99" t="n">
        <x:v>1</x:v>
      </x:c>
      <x:c r="F528" s="99" t="n">
        <x:v>0.045</x:v>
      </x:c>
      <x:c r="G528" s="99" t="n">
        <x:v>25</x:v>
      </x:c>
      <x:c r="H528" s="99" t="n">
        <x:v>0.05</x:v>
      </x:c>
      <x:c r="I528" s="99" t="n">
        <x:v>0.0200000000000001</x:v>
      </x:c>
      <x:c r="J528" s="98" t="n">
        <x:v>5.505483919056862e-12</x:v>
      </x:c>
      <x:c r="K528" t="str">
        <x:v>low_vds</x:v>
      </x:c>
      <x:c r="L528" t="str">
        <x:v>low_drain_bias</x:v>
      </x:c>
      <x:c r="M528" t="n">
        <x:v>1.1</x:v>
      </x:c>
      <x:c r="N528" t="str">
        <x:v>simulation</x:v>
      </x:c>
      <x:c r="O528" t="str">
        <x:v>ngspice</x:v>
      </x:c>
      <x:c r="P528" t="str">
        <x:v>397141eb8a813045075ac2be3098d3b136ebaf4d597c08fca627922a75e443b7</x:v>
      </x:c>
      <x:c r="Q528" t="str">
        <x:v>data/raw/ptm45_lp_vds_0p05v_raw.txt</x:v>
      </x:c>
    </x:row>
    <x:row r="529">
      <x:c r="A529" t="str">
        <x:v>PTM</x:v>
      </x:c>
      <x:c r="B529" t="str">
        <x:v>NMOS</x:v>
      </x:c>
      <x:c r="C529" s="97" t="n">
        <x:v>45</x:v>
      </x:c>
      <x:c r="D529" s="97" t="str">
        <x:v>LP</x:v>
      </x:c>
      <x:c r="E529" s="99" t="n">
        <x:v>1</x:v>
      </x:c>
      <x:c r="F529" s="99" t="n">
        <x:v>0.045</x:v>
      </x:c>
      <x:c r="G529" s="99" t="n">
        <x:v>25</x:v>
      </x:c>
      <x:c r="H529" s="99" t="n">
        <x:v>0.05</x:v>
      </x:c>
      <x:c r="I529" s="99" t="n">
        <x:v>0.0250000000000001</x:v>
      </x:c>
      <x:c r="J529" s="98" t="n">
        <x:v>6.283486673927796e-12</x:v>
      </x:c>
      <x:c r="K529" t="str">
        <x:v>low_vds</x:v>
      </x:c>
      <x:c r="L529" t="str">
        <x:v>low_drain_bias</x:v>
      </x:c>
      <x:c r="M529" t="n">
        <x:v>1.1</x:v>
      </x:c>
      <x:c r="N529" t="str">
        <x:v>simulation</x:v>
      </x:c>
      <x:c r="O529" t="str">
        <x:v>ngspice</x:v>
      </x:c>
      <x:c r="P529" t="str">
        <x:v>397141eb8a813045075ac2be3098d3b136ebaf4d597c08fca627922a75e443b7</x:v>
      </x:c>
      <x:c r="Q529" t="str">
        <x:v>data/raw/ptm45_lp_vds_0p05v_raw.txt</x:v>
      </x:c>
    </x:row>
    <x:row r="530">
      <x:c r="A530" t="str">
        <x:v>PTM</x:v>
      </x:c>
      <x:c r="B530" t="str">
        <x:v>NMOS</x:v>
      </x:c>
      <x:c r="C530" s="97" t="n">
        <x:v>45</x:v>
      </x:c>
      <x:c r="D530" s="97" t="str">
        <x:v>LP</x:v>
      </x:c>
      <x:c r="E530" s="99" t="n">
        <x:v>1</x:v>
      </x:c>
      <x:c r="F530" s="99" t="n">
        <x:v>0.045</x:v>
      </x:c>
      <x:c r="G530" s="99" t="n">
        <x:v>25</x:v>
      </x:c>
      <x:c r="H530" s="99" t="n">
        <x:v>0.05</x:v>
      </x:c>
      <x:c r="I530" s="99" t="n">
        <x:v>0.0300000000000001</x:v>
      </x:c>
      <x:c r="J530" s="98" t="n">
        <x:v>7.172566597765344e-12</x:v>
      </x:c>
      <x:c r="K530" t="str">
        <x:v>low_vds</x:v>
      </x:c>
      <x:c r="L530" t="str">
        <x:v>low_drain_bias</x:v>
      </x:c>
      <x:c r="M530" t="n">
        <x:v>1.1</x:v>
      </x:c>
      <x:c r="N530" t="str">
        <x:v>simulation</x:v>
      </x:c>
      <x:c r="O530" t="str">
        <x:v>ngspice</x:v>
      </x:c>
      <x:c r="P530" t="str">
        <x:v>397141eb8a813045075ac2be3098d3b136ebaf4d597c08fca627922a75e443b7</x:v>
      </x:c>
      <x:c r="Q530" t="str">
        <x:v>data/raw/ptm45_lp_vds_0p05v_raw.txt</x:v>
      </x:c>
    </x:row>
    <x:row r="531">
      <x:c r="A531" t="str">
        <x:v>PTM</x:v>
      </x:c>
      <x:c r="B531" t="str">
        <x:v>NMOS</x:v>
      </x:c>
      <x:c r="C531" s="97" t="n">
        <x:v>45</x:v>
      </x:c>
      <x:c r="D531" s="97" t="str">
        <x:v>LP</x:v>
      </x:c>
      <x:c r="E531" s="99" t="n">
        <x:v>1</x:v>
      </x:c>
      <x:c r="F531" s="99" t="n">
        <x:v>0.045</x:v>
      </x:c>
      <x:c r="G531" s="99" t="n">
        <x:v>25</x:v>
      </x:c>
      <x:c r="H531" s="99" t="n">
        <x:v>0.05</x:v>
      </x:c>
      <x:c r="I531" s="99" t="n">
        <x:v>0.0350000000000001</x:v>
      </x:c>
      <x:c r="J531" s="98" t="n">
        <x:v>8.188571920535385e-12</x:v>
      </x:c>
      <x:c r="K531" t="str">
        <x:v>low_vds</x:v>
      </x:c>
      <x:c r="L531" t="str">
        <x:v>low_drain_bias</x:v>
      </x:c>
      <x:c r="M531" t="n">
        <x:v>1.1</x:v>
      </x:c>
      <x:c r="N531" t="str">
        <x:v>simulation</x:v>
      </x:c>
      <x:c r="O531" t="str">
        <x:v>ngspice</x:v>
      </x:c>
      <x:c r="P531" t="str">
        <x:v>397141eb8a813045075ac2be3098d3b136ebaf4d597c08fca627922a75e443b7</x:v>
      </x:c>
      <x:c r="Q531" t="str">
        <x:v>data/raw/ptm45_lp_vds_0p05v_raw.txt</x:v>
      </x:c>
    </x:row>
    <x:row r="532">
      <x:c r="A532" t="str">
        <x:v>PTM</x:v>
      </x:c>
      <x:c r="B532" t="str">
        <x:v>NMOS</x:v>
      </x:c>
      <x:c r="C532" s="97" t="n">
        <x:v>45</x:v>
      </x:c>
      <x:c r="D532" s="97" t="str">
        <x:v>LP</x:v>
      </x:c>
      <x:c r="E532" s="99" t="n">
        <x:v>1</x:v>
      </x:c>
      <x:c r="F532" s="99" t="n">
        <x:v>0.045</x:v>
      </x:c>
      <x:c r="G532" s="99" t="n">
        <x:v>25</x:v>
      </x:c>
      <x:c r="H532" s="99" t="n">
        <x:v>0.05</x:v>
      </x:c>
      <x:c r="I532" s="99" t="n">
        <x:v>0.0400000000000001</x:v>
      </x:c>
      <x:c r="J532" s="98" t="n">
        <x:v>9.34960975708919e-12</x:v>
      </x:c>
      <x:c r="K532" t="str">
        <x:v>low_vds</x:v>
      </x:c>
      <x:c r="L532" t="str">
        <x:v>low_drain_bias</x:v>
      </x:c>
      <x:c r="M532" t="n">
        <x:v>1.1</x:v>
      </x:c>
      <x:c r="N532" t="str">
        <x:v>simulation</x:v>
      </x:c>
      <x:c r="O532" t="str">
        <x:v>ngspice</x:v>
      </x:c>
      <x:c r="P532" t="str">
        <x:v>397141eb8a813045075ac2be3098d3b136ebaf4d597c08fca627922a75e443b7</x:v>
      </x:c>
      <x:c r="Q532" t="str">
        <x:v>data/raw/ptm45_lp_vds_0p05v_raw.txt</x:v>
      </x:c>
    </x:row>
    <x:row r="533">
      <x:c r="A533" t="str">
        <x:v>PTM</x:v>
      </x:c>
      <x:c r="B533" t="str">
        <x:v>NMOS</x:v>
      </x:c>
      <x:c r="C533" s="97" t="n">
        <x:v>45</x:v>
      </x:c>
      <x:c r="D533" s="97" t="str">
        <x:v>LP</x:v>
      </x:c>
      <x:c r="E533" s="99" t="n">
        <x:v>1</x:v>
      </x:c>
      <x:c r="F533" s="99" t="n">
        <x:v>0.045</x:v>
      </x:c>
      <x:c r="G533" s="99" t="n">
        <x:v>25</x:v>
      </x:c>
      <x:c r="H533" s="99" t="n">
        <x:v>0.05</x:v>
      </x:c>
      <x:c r="I533" s="99" t="n">
        <x:v>0.0450000000000001</x:v>
      </x:c>
      <x:c r="J533" s="98" t="n">
        <x:v>1.067636756637527e-11</x:v>
      </x:c>
      <x:c r="K533" t="str">
        <x:v>low_vds</x:v>
      </x:c>
      <x:c r="L533" t="str">
        <x:v>low_drain_bias</x:v>
      </x:c>
      <x:c r="M533" t="n">
        <x:v>1.1</x:v>
      </x:c>
      <x:c r="N533" t="str">
        <x:v>simulation</x:v>
      </x:c>
      <x:c r="O533" t="str">
        <x:v>ngspice</x:v>
      </x:c>
      <x:c r="P533" t="str">
        <x:v>397141eb8a813045075ac2be3098d3b136ebaf4d597c08fca627922a75e443b7</x:v>
      </x:c>
      <x:c r="Q533" t="str">
        <x:v>data/raw/ptm45_lp_vds_0p05v_raw.txt</x:v>
      </x:c>
    </x:row>
    <x:row r="534">
      <x:c r="A534" t="str">
        <x:v>PTM</x:v>
      </x:c>
      <x:c r="B534" t="str">
        <x:v>NMOS</x:v>
      </x:c>
      <x:c r="C534" s="97" t="n">
        <x:v>45</x:v>
      </x:c>
      <x:c r="D534" s="97" t="str">
        <x:v>LP</x:v>
      </x:c>
      <x:c r="E534" s="99" t="n">
        <x:v>1</x:v>
      </x:c>
      <x:c r="F534" s="99" t="n">
        <x:v>0.045</x:v>
      </x:c>
      <x:c r="G534" s="99" t="n">
        <x:v>25</x:v>
      </x:c>
      <x:c r="H534" s="99" t="n">
        <x:v>0.05</x:v>
      </x:c>
      <x:c r="I534" s="99" t="n">
        <x:v>0.05000000000000009</x:v>
      </x:c>
      <x:c r="J534" s="98" t="n">
        <x:v>1.219248024650123e-11</x:v>
      </x:c>
      <x:c r="K534" t="str">
        <x:v>low_vds</x:v>
      </x:c>
      <x:c r="L534" t="str">
        <x:v>low_drain_bias</x:v>
      </x:c>
      <x:c r="M534" t="n">
        <x:v>1.1</x:v>
      </x:c>
      <x:c r="N534" t="str">
        <x:v>simulation</x:v>
      </x:c>
      <x:c r="O534" t="str">
        <x:v>ngspice</x:v>
      </x:c>
      <x:c r="P534" t="str">
        <x:v>397141eb8a813045075ac2be3098d3b136ebaf4d597c08fca627922a75e443b7</x:v>
      </x:c>
      <x:c r="Q534" t="str">
        <x:v>data/raw/ptm45_lp_vds_0p05v_raw.txt</x:v>
      </x:c>
    </x:row>
    <x:row r="535">
      <x:c r="A535" t="str">
        <x:v>PTM</x:v>
      </x:c>
      <x:c r="B535" t="str">
        <x:v>NMOS</x:v>
      </x:c>
      <x:c r="C535" s="97" t="n">
        <x:v>45</x:v>
      </x:c>
      <x:c r="D535" s="97" t="str">
        <x:v>LP</x:v>
      </x:c>
      <x:c r="E535" s="99" t="n">
        <x:v>1</x:v>
      </x:c>
      <x:c r="F535" s="99" t="n">
        <x:v>0.045</x:v>
      </x:c>
      <x:c r="G535" s="99" t="n">
        <x:v>25</x:v>
      </x:c>
      <x:c r="H535" s="99" t="n">
        <x:v>0.05</x:v>
      </x:c>
      <x:c r="I535" s="99" t="n">
        <x:v>0.05500000000000009</x:v>
      </x:c>
      <x:c r="J535" s="98" t="n">
        <x:v>1.392494932025244e-11</x:v>
      </x:c>
      <x:c r="K535" t="str">
        <x:v>low_vds</x:v>
      </x:c>
      <x:c r="L535" t="str">
        <x:v>low_drain_bias</x:v>
      </x:c>
      <x:c r="M535" t="n">
        <x:v>1.1</x:v>
      </x:c>
      <x:c r="N535" t="str">
        <x:v>simulation</x:v>
      </x:c>
      <x:c r="O535" t="str">
        <x:v>ngspice</x:v>
      </x:c>
      <x:c r="P535" t="str">
        <x:v>397141eb8a813045075ac2be3098d3b136ebaf4d597c08fca627922a75e443b7</x:v>
      </x:c>
      <x:c r="Q535" t="str">
        <x:v>data/raw/ptm45_lp_vds_0p05v_raw.txt</x:v>
      </x:c>
    </x:row>
    <x:row r="536">
      <x:c r="A536" t="str">
        <x:v>PTM</x:v>
      </x:c>
      <x:c r="B536" t="str">
        <x:v>NMOS</x:v>
      </x:c>
      <x:c r="C536" s="97" t="n">
        <x:v>45</x:v>
      </x:c>
      <x:c r="D536" s="97" t="str">
        <x:v>LP</x:v>
      </x:c>
      <x:c r="E536" s="99" t="n">
        <x:v>1</x:v>
      </x:c>
      <x:c r="F536" s="99" t="n">
        <x:v>0.045</x:v>
      </x:c>
      <x:c r="G536" s="99" t="n">
        <x:v>25</x:v>
      </x:c>
      <x:c r="H536" s="99" t="n">
        <x:v>0.05</x:v>
      </x:c>
      <x:c r="I536" s="99" t="n">
        <x:v>0.06000000000000009</x:v>
      </x:c>
      <x:c r="J536" s="98" t="n">
        <x:v>1.590462157302586e-11</x:v>
      </x:c>
      <x:c r="K536" t="str">
        <x:v>low_vds</x:v>
      </x:c>
      <x:c r="L536" t="str">
        <x:v>low_drain_bias</x:v>
      </x:c>
      <x:c r="M536" t="n">
        <x:v>1.1</x:v>
      </x:c>
      <x:c r="N536" t="str">
        <x:v>simulation</x:v>
      </x:c>
      <x:c r="O536" t="str">
        <x:v>ngspice</x:v>
      </x:c>
      <x:c r="P536" t="str">
        <x:v>397141eb8a813045075ac2be3098d3b136ebaf4d597c08fca627922a75e443b7</x:v>
      </x:c>
      <x:c r="Q536" t="str">
        <x:v>data/raw/ptm45_lp_vds_0p05v_raw.txt</x:v>
      </x:c>
    </x:row>
    <x:row r="537">
      <x:c r="A537" t="str">
        <x:v>PTM</x:v>
      </x:c>
      <x:c r="B537" t="str">
        <x:v>NMOS</x:v>
      </x:c>
      <x:c r="C537" s="97" t="n">
        <x:v>45</x:v>
      </x:c>
      <x:c r="D537" s="97" t="str">
        <x:v>LP</x:v>
      </x:c>
      <x:c r="E537" s="99" t="n">
        <x:v>1</x:v>
      </x:c>
      <x:c r="F537" s="99" t="n">
        <x:v>0.045</x:v>
      </x:c>
      <x:c r="G537" s="99" t="n">
        <x:v>25</x:v>
      </x:c>
      <x:c r="H537" s="99" t="n">
        <x:v>0.05</x:v>
      </x:c>
      <x:c r="I537" s="99" t="n">
        <x:v>0.06500000000000009</x:v>
      </x:c>
      <x:c r="J537" s="98" t="n">
        <x:v>1.816673553939301e-11</x:v>
      </x:c>
      <x:c r="K537" t="str">
        <x:v>low_vds</x:v>
      </x:c>
      <x:c r="L537" t="str">
        <x:v>low_drain_bias</x:v>
      </x:c>
      <x:c r="M537" t="n">
        <x:v>1.1</x:v>
      </x:c>
      <x:c r="N537" t="str">
        <x:v>simulation</x:v>
      </x:c>
      <x:c r="O537" t="str">
        <x:v>ngspice</x:v>
      </x:c>
      <x:c r="P537" t="str">
        <x:v>397141eb8a813045075ac2be3098d3b136ebaf4d597c08fca627922a75e443b7</x:v>
      </x:c>
      <x:c r="Q537" t="str">
        <x:v>data/raw/ptm45_lp_vds_0p05v_raw.txt</x:v>
      </x:c>
    </x:row>
    <x:row r="538">
      <x:c r="A538" t="str">
        <x:v>PTM</x:v>
      </x:c>
      <x:c r="B538" t="str">
        <x:v>NMOS</x:v>
      </x:c>
      <x:c r="C538" s="97" t="n">
        <x:v>45</x:v>
      </x:c>
      <x:c r="D538" s="97" t="str">
        <x:v>LP</x:v>
      </x:c>
      <x:c r="E538" s="99" t="n">
        <x:v>1</x:v>
      </x:c>
      <x:c r="F538" s="99" t="n">
        <x:v>0.045</x:v>
      </x:c>
      <x:c r="G538" s="99" t="n">
        <x:v>25</x:v>
      </x:c>
      <x:c r="H538" s="99" t="n">
        <x:v>0.05</x:v>
      </x:c>
      <x:c r="I538" s="99" t="n">
        <x:v>0.07000000000000009</x:v>
      </x:c>
      <x:c r="J538" s="98" t="n">
        <x:v>2.075154541235166e-11</x:v>
      </x:c>
      <x:c r="K538" t="str">
        <x:v>low_vds</x:v>
      </x:c>
      <x:c r="L538" t="str">
        <x:v>low_drain_bias</x:v>
      </x:c>
      <x:c r="M538" t="n">
        <x:v>1.1</x:v>
      </x:c>
      <x:c r="N538" t="str">
        <x:v>simulation</x:v>
      </x:c>
      <x:c r="O538" t="str">
        <x:v>ngspice</x:v>
      </x:c>
      <x:c r="P538" t="str">
        <x:v>397141eb8a813045075ac2be3098d3b136ebaf4d597c08fca627922a75e443b7</x:v>
      </x:c>
      <x:c r="Q538" t="str">
        <x:v>data/raw/ptm45_lp_vds_0p05v_raw.txt</x:v>
      </x:c>
    </x:row>
    <x:row r="539">
      <x:c r="A539" t="str">
        <x:v>PTM</x:v>
      </x:c>
      <x:c r="B539" t="str">
        <x:v>NMOS</x:v>
      </x:c>
      <x:c r="C539" s="97" t="n">
        <x:v>45</x:v>
      </x:c>
      <x:c r="D539" s="97" t="str">
        <x:v>LP</x:v>
      </x:c>
      <x:c r="E539" s="99" t="n">
        <x:v>1</x:v>
      </x:c>
      <x:c r="F539" s="99" t="n">
        <x:v>0.045</x:v>
      </x:c>
      <x:c r="G539" s="99" t="n">
        <x:v>25</x:v>
      </x:c>
      <x:c r="H539" s="99" t="n">
        <x:v>0.05</x:v>
      </x:c>
      <x:c r="I539" s="99" t="n">
        <x:v>0.0750000000000001</x:v>
      </x:c>
      <x:c r="J539" s="98" t="n">
        <x:v>2.370503329073288e-11</x:v>
      </x:c>
      <x:c r="K539" t="str">
        <x:v>low_vds</x:v>
      </x:c>
      <x:c r="L539" t="str">
        <x:v>low_drain_bias</x:v>
      </x:c>
      <x:c r="M539" t="n">
        <x:v>1.1</x:v>
      </x:c>
      <x:c r="N539" t="str">
        <x:v>simulation</x:v>
      </x:c>
      <x:c r="O539" t="str">
        <x:v>ngspice</x:v>
      </x:c>
      <x:c r="P539" t="str">
        <x:v>397141eb8a813045075ac2be3098d3b136ebaf4d597c08fca627922a75e443b7</x:v>
      </x:c>
      <x:c r="Q539" t="str">
        <x:v>data/raw/ptm45_lp_vds_0p05v_raw.txt</x:v>
      </x:c>
    </x:row>
    <x:row r="540">
      <x:c r="A540" t="str">
        <x:v>PTM</x:v>
      </x:c>
      <x:c r="B540" t="str">
        <x:v>NMOS</x:v>
      </x:c>
      <x:c r="C540" s="97" t="n">
        <x:v>45</x:v>
      </x:c>
      <x:c r="D540" s="97" t="str">
        <x:v>LP</x:v>
      </x:c>
      <x:c r="E540" s="99" t="n">
        <x:v>1</x:v>
      </x:c>
      <x:c r="F540" s="99" t="n">
        <x:v>0.045</x:v>
      </x:c>
      <x:c r="G540" s="99" t="n">
        <x:v>25</x:v>
      </x:c>
      <x:c r="H540" s="99" t="n">
        <x:v>0.05</x:v>
      </x:c>
      <x:c r="I540" s="99" t="n">
        <x:v>0.0800000000000001</x:v>
      </x:c>
      <x:c r="J540" s="98" t="n">
        <x:v>2.707972220754011e-11</x:v>
      </x:c>
      <x:c r="K540" t="str">
        <x:v>low_vds</x:v>
      </x:c>
      <x:c r="L540" t="str">
        <x:v>low_drain_bias</x:v>
      </x:c>
      <x:c r="M540" t="n">
        <x:v>1.1</x:v>
      </x:c>
      <x:c r="N540" t="str">
        <x:v>simulation</x:v>
      </x:c>
      <x:c r="O540" t="str">
        <x:v>ngspice</x:v>
      </x:c>
      <x:c r="P540" t="str">
        <x:v>397141eb8a813045075ac2be3098d3b136ebaf4d597c08fca627922a75e443b7</x:v>
      </x:c>
      <x:c r="Q540" t="str">
        <x:v>data/raw/ptm45_lp_vds_0p05v_raw.txt</x:v>
      </x:c>
    </x:row>
    <x:row r="541">
      <x:c r="A541" t="str">
        <x:v>PTM</x:v>
      </x:c>
      <x:c r="B541" t="str">
        <x:v>NMOS</x:v>
      </x:c>
      <x:c r="C541" s="97" t="n">
        <x:v>45</x:v>
      </x:c>
      <x:c r="D541" s="97" t="str">
        <x:v>LP</x:v>
      </x:c>
      <x:c r="E541" s="99" t="n">
        <x:v>1</x:v>
      </x:c>
      <x:c r="F541" s="99" t="n">
        <x:v>0.045</x:v>
      </x:c>
      <x:c r="G541" s="99" t="n">
        <x:v>25</x:v>
      </x:c>
      <x:c r="H541" s="99" t="n">
        <x:v>0.05</x:v>
      </x:c>
      <x:c r="I541" s="99" t="n">
        <x:v>0.0850000000000001</x:v>
      </x:c>
      <x:c r="J541" s="98" t="n">
        <x:v>3.093560412048254e-11</x:v>
      </x:c>
      <x:c r="K541" t="str">
        <x:v>low_vds</x:v>
      </x:c>
      <x:c r="L541" t="str">
        <x:v>low_drain_bias</x:v>
      </x:c>
      <x:c r="M541" t="n">
        <x:v>1.1</x:v>
      </x:c>
      <x:c r="N541" t="str">
        <x:v>simulation</x:v>
      </x:c>
      <x:c r="O541" t="str">
        <x:v>ngspice</x:v>
      </x:c>
      <x:c r="P541" t="str">
        <x:v>397141eb8a813045075ac2be3098d3b136ebaf4d597c08fca627922a75e443b7</x:v>
      </x:c>
      <x:c r="Q541" t="str">
        <x:v>data/raw/ptm45_lp_vds_0p05v_raw.txt</x:v>
      </x:c>
    </x:row>
    <x:row r="542">
      <x:c r="A542" t="str">
        <x:v>PTM</x:v>
      </x:c>
      <x:c r="B542" t="str">
        <x:v>NMOS</x:v>
      </x:c>
      <x:c r="C542" s="97" t="n">
        <x:v>45</x:v>
      </x:c>
      <x:c r="D542" s="97" t="str">
        <x:v>LP</x:v>
      </x:c>
      <x:c r="E542" s="99" t="n">
        <x:v>1</x:v>
      </x:c>
      <x:c r="F542" s="99" t="n">
        <x:v>0.045</x:v>
      </x:c>
      <x:c r="G542" s="99" t="n">
        <x:v>25</x:v>
      </x:c>
      <x:c r="H542" s="99" t="n">
        <x:v>0.05</x:v>
      </x:c>
      <x:c r="I542" s="99" t="n">
        <x:v>0.09000000000000011</x:v>
      </x:c>
      <x:c r="J542" s="98" t="n">
        <x:v>3.534119902427172e-11</x:v>
      </x:c>
      <x:c r="K542" t="str">
        <x:v>low_vds</x:v>
      </x:c>
      <x:c r="L542" t="str">
        <x:v>low_drain_bias</x:v>
      </x:c>
      <x:c r="M542" t="n">
        <x:v>1.1</x:v>
      </x:c>
      <x:c r="N542" t="str">
        <x:v>simulation</x:v>
      </x:c>
      <x:c r="O542" t="str">
        <x:v>ngspice</x:v>
      </x:c>
      <x:c r="P542" t="str">
        <x:v>397141eb8a813045075ac2be3098d3b136ebaf4d597c08fca627922a75e443b7</x:v>
      </x:c>
      <x:c r="Q542" t="str">
        <x:v>data/raw/ptm45_lp_vds_0p05v_raw.txt</x:v>
      </x:c>
    </x:row>
    <x:row r="543">
      <x:c r="A543" t="str">
        <x:v>PTM</x:v>
      </x:c>
      <x:c r="B543" t="str">
        <x:v>NMOS</x:v>
      </x:c>
      <x:c r="C543" s="97" t="n">
        <x:v>45</x:v>
      </x:c>
      <x:c r="D543" s="97" t="str">
        <x:v>LP</x:v>
      </x:c>
      <x:c r="E543" s="99" t="n">
        <x:v>1</x:v>
      </x:c>
      <x:c r="F543" s="99" t="n">
        <x:v>0.045</x:v>
      </x:c>
      <x:c r="G543" s="99" t="n">
        <x:v>25</x:v>
      </x:c>
      <x:c r="H543" s="99" t="n">
        <x:v>0.05</x:v>
      </x:c>
      <x:c r="I543" s="99" t="n">
        <x:v>0.09500000000000011</x:v>
      </x:c>
      <x:c r="J543" s="98" t="n">
        <x:v>4.037476359469622e-11</x:v>
      </x:c>
      <x:c r="K543" t="str">
        <x:v>low_vds</x:v>
      </x:c>
      <x:c r="L543" t="str">
        <x:v>low_drain_bias</x:v>
      </x:c>
      <x:c r="M543" t="n">
        <x:v>1.1</x:v>
      </x:c>
      <x:c r="N543" t="str">
        <x:v>simulation</x:v>
      </x:c>
      <x:c r="O543" t="str">
        <x:v>ngspice</x:v>
      </x:c>
      <x:c r="P543" t="str">
        <x:v>397141eb8a813045075ac2be3098d3b136ebaf4d597c08fca627922a75e443b7</x:v>
      </x:c>
      <x:c r="Q543" t="str">
        <x:v>data/raw/ptm45_lp_vds_0p05v_raw.txt</x:v>
      </x:c>
    </x:row>
    <x:row r="544">
      <x:c r="A544" t="str">
        <x:v>PTM</x:v>
      </x:c>
      <x:c r="B544" t="str">
        <x:v>NMOS</x:v>
      </x:c>
      <x:c r="C544" s="97" t="n">
        <x:v>45</x:v>
      </x:c>
      <x:c r="D544" s="97" t="str">
        <x:v>LP</x:v>
      </x:c>
      <x:c r="E544" s="99" t="n">
        <x:v>1</x:v>
      </x:c>
      <x:c r="F544" s="99" t="n">
        <x:v>0.045</x:v>
      </x:c>
      <x:c r="G544" s="99" t="n">
        <x:v>25</x:v>
      </x:c>
      <x:c r="H544" s="99" t="n">
        <x:v>0.05</x:v>
      </x:c>
      <x:c r="I544" s="99" t="n">
        <x:v>0.1000000000000001</x:v>
      </x:c>
      <x:c r="J544" s="98" t="n">
        <x:v>4.612567033390442e-11</x:v>
      </x:c>
      <x:c r="K544" t="str">
        <x:v>low_vds</x:v>
      </x:c>
      <x:c r="L544" t="str">
        <x:v>low_drain_bias</x:v>
      </x:c>
      <x:c r="M544" t="n">
        <x:v>1.1</x:v>
      </x:c>
      <x:c r="N544" t="str">
        <x:v>simulation</x:v>
      </x:c>
      <x:c r="O544" t="str">
        <x:v>ngspice</x:v>
      </x:c>
      <x:c r="P544" t="str">
        <x:v>397141eb8a813045075ac2be3098d3b136ebaf4d597c08fca627922a75e443b7</x:v>
      </x:c>
      <x:c r="Q544" t="str">
        <x:v>data/raw/ptm45_lp_vds_0p05v_raw.txt</x:v>
      </x:c>
    </x:row>
    <x:row r="545">
      <x:c r="A545" t="str">
        <x:v>PTM</x:v>
      </x:c>
      <x:c r="B545" t="str">
        <x:v>NMOS</x:v>
      </x:c>
      <x:c r="C545" s="97" t="n">
        <x:v>45</x:v>
      </x:c>
      <x:c r="D545" s="97" t="str">
        <x:v>LP</x:v>
      </x:c>
      <x:c r="E545" s="99" t="n">
        <x:v>1</x:v>
      </x:c>
      <x:c r="F545" s="99" t="n">
        <x:v>0.045</x:v>
      </x:c>
      <x:c r="G545" s="99" t="n">
        <x:v>25</x:v>
      </x:c>
      <x:c r="H545" s="99" t="n">
        <x:v>0.05</x:v>
      </x:c>
      <x:c r="I545" s="99" t="n">
        <x:v>0.1050000000000001</x:v>
      </x:c>
      <x:c r="J545" s="98" t="n">
        <x:v>5.269598109588379e-11</x:v>
      </x:c>
      <x:c r="K545" t="str">
        <x:v>low_vds</x:v>
      </x:c>
      <x:c r="L545" t="str">
        <x:v>low_drain_bias</x:v>
      </x:c>
      <x:c r="M545" t="n">
        <x:v>1.1</x:v>
      </x:c>
      <x:c r="N545" t="str">
        <x:v>simulation</x:v>
      </x:c>
      <x:c r="O545" t="str">
        <x:v>ngspice</x:v>
      </x:c>
      <x:c r="P545" t="str">
        <x:v>397141eb8a813045075ac2be3098d3b136ebaf4d597c08fca627922a75e443b7</x:v>
      </x:c>
      <x:c r="Q545" t="str">
        <x:v>data/raw/ptm45_lp_vds_0p05v_raw.txt</x:v>
      </x:c>
    </x:row>
    <x:row r="546">
      <x:c r="A546" t="str">
        <x:v>PTM</x:v>
      </x:c>
      <x:c r="B546" t="str">
        <x:v>NMOS</x:v>
      </x:c>
      <x:c r="C546" s="97" t="n">
        <x:v>45</x:v>
      </x:c>
      <x:c r="D546" s="97" t="str">
        <x:v>LP</x:v>
      </x:c>
      <x:c r="E546" s="99" t="n">
        <x:v>1</x:v>
      </x:c>
      <x:c r="F546" s="99" t="n">
        <x:v>0.045</x:v>
      </x:c>
      <x:c r="G546" s="99" t="n">
        <x:v>25</x:v>
      </x:c>
      <x:c r="H546" s="99" t="n">
        <x:v>0.05</x:v>
      </x:c>
      <x:c r="I546" s="99" t="n">
        <x:v>0.1100000000000001</x:v>
      </x:c>
      <x:c r="J546" s="98" t="n">
        <x:v>6.02022421779107e-11</x:v>
      </x:c>
      <x:c r="K546" t="str">
        <x:v>low_vds</x:v>
      </x:c>
      <x:c r="L546" t="str">
        <x:v>low_drain_bias</x:v>
      </x:c>
      <x:c r="M546" t="n">
        <x:v>1.1</x:v>
      </x:c>
      <x:c r="N546" t="str">
        <x:v>simulation</x:v>
      </x:c>
      <x:c r="O546" t="str">
        <x:v>ngspice</x:v>
      </x:c>
      <x:c r="P546" t="str">
        <x:v>397141eb8a813045075ac2be3098d3b136ebaf4d597c08fca627922a75e443b7</x:v>
      </x:c>
      <x:c r="Q546" t="str">
        <x:v>data/raw/ptm45_lp_vds_0p05v_raw.txt</x:v>
      </x:c>
    </x:row>
    <x:row r="547">
      <x:c r="A547" t="str">
        <x:v>PTM</x:v>
      </x:c>
      <x:c r="B547" t="str">
        <x:v>NMOS</x:v>
      </x:c>
      <x:c r="C547" s="97" t="n">
        <x:v>45</x:v>
      </x:c>
      <x:c r="D547" s="97" t="str">
        <x:v>LP</x:v>
      </x:c>
      <x:c r="E547" s="99" t="n">
        <x:v>1</x:v>
      </x:c>
      <x:c r="F547" s="99" t="n">
        <x:v>0.045</x:v>
      </x:c>
      <x:c r="G547" s="99" t="n">
        <x:v>25</x:v>
      </x:c>
      <x:c r="H547" s="99" t="n">
        <x:v>0.05</x:v>
      </x:c>
      <x:c r="I547" s="99" t="n">
        <x:v>0.1150000000000001</x:v>
      </x:c>
      <x:c r="J547" s="98" t="n">
        <x:v>6.877753191989786e-11</x:v>
      </x:c>
      <x:c r="K547" t="str">
        <x:v>low_vds</x:v>
      </x:c>
      <x:c r="L547" t="str">
        <x:v>low_drain_bias</x:v>
      </x:c>
      <x:c r="M547" t="n">
        <x:v>1.1</x:v>
      </x:c>
      <x:c r="N547" t="str">
        <x:v>simulation</x:v>
      </x:c>
      <x:c r="O547" t="str">
        <x:v>ngspice</x:v>
      </x:c>
      <x:c r="P547" t="str">
        <x:v>397141eb8a813045075ac2be3098d3b136ebaf4d597c08fca627922a75e443b7</x:v>
      </x:c>
      <x:c r="Q547" t="str">
        <x:v>data/raw/ptm45_lp_vds_0p05v_raw.txt</x:v>
      </x:c>
    </x:row>
    <x:row r="548">
      <x:c r="A548" t="str">
        <x:v>PTM</x:v>
      </x:c>
      <x:c r="B548" t="str">
        <x:v>NMOS</x:v>
      </x:c>
      <x:c r="C548" s="97" t="n">
        <x:v>45</x:v>
      </x:c>
      <x:c r="D548" s="97" t="str">
        <x:v>LP</x:v>
      </x:c>
      <x:c r="E548" s="99" t="n">
        <x:v>1</x:v>
      </x:c>
      <x:c r="F548" s="99" t="n">
        <x:v>0.045</x:v>
      </x:c>
      <x:c r="G548" s="99" t="n">
        <x:v>25</x:v>
      </x:c>
      <x:c r="H548" s="99" t="n">
        <x:v>0.05</x:v>
      </x:c>
      <x:c r="I548" s="99" t="n">
        <x:v>0.1200000000000001</x:v>
      </x:c>
      <x:c r="J548" s="98" t="n">
        <x:v>7.857379601905267e-11</x:v>
      </x:c>
      <x:c r="K548" t="str">
        <x:v>low_vds</x:v>
      </x:c>
      <x:c r="L548" t="str">
        <x:v>low_drain_bias</x:v>
      </x:c>
      <x:c r="M548" t="n">
        <x:v>1.1</x:v>
      </x:c>
      <x:c r="N548" t="str">
        <x:v>simulation</x:v>
      </x:c>
      <x:c r="O548" t="str">
        <x:v>ngspice</x:v>
      </x:c>
      <x:c r="P548" t="str">
        <x:v>397141eb8a813045075ac2be3098d3b136ebaf4d597c08fca627922a75e443b7</x:v>
      </x:c>
      <x:c r="Q548" t="str">
        <x:v>data/raw/ptm45_lp_vds_0p05v_raw.txt</x:v>
      </x:c>
    </x:row>
    <x:row r="549">
      <x:c r="A549" t="str">
        <x:v>PTM</x:v>
      </x:c>
      <x:c r="B549" t="str">
        <x:v>NMOS</x:v>
      </x:c>
      <x:c r="C549" s="97" t="n">
        <x:v>45</x:v>
      </x:c>
      <x:c r="D549" s="97" t="str">
        <x:v>LP</x:v>
      </x:c>
      <x:c r="E549" s="99" t="n">
        <x:v>1</x:v>
      </x:c>
      <x:c r="F549" s="99" t="n">
        <x:v>0.045</x:v>
      </x:c>
      <x:c r="G549" s="99" t="n">
        <x:v>25</x:v>
      </x:c>
      <x:c r="H549" s="99" t="n">
        <x:v>0.05</x:v>
      </x:c>
      <x:c r="I549" s="99" t="n">
        <x:v>0.1250000000000001</x:v>
      </x:c>
      <x:c r="J549" s="98" t="n">
        <x:v>8.97645106087618e-11</x:v>
      </x:c>
      <x:c r="K549" t="str">
        <x:v>low_vds</x:v>
      </x:c>
      <x:c r="L549" t="str">
        <x:v>low_drain_bias</x:v>
      </x:c>
      <x:c r="M549" t="n">
        <x:v>1.1</x:v>
      </x:c>
      <x:c r="N549" t="str">
        <x:v>simulation</x:v>
      </x:c>
      <x:c r="O549" t="str">
        <x:v>ngspice</x:v>
      </x:c>
      <x:c r="P549" t="str">
        <x:v>397141eb8a813045075ac2be3098d3b136ebaf4d597c08fca627922a75e443b7</x:v>
      </x:c>
      <x:c r="Q549" t="str">
        <x:v>data/raw/ptm45_lp_vds_0p05v_raw.txt</x:v>
      </x:c>
    </x:row>
    <x:row r="550">
      <x:c r="A550" t="str">
        <x:v>PTM</x:v>
      </x:c>
      <x:c r="B550" t="str">
        <x:v>NMOS</x:v>
      </x:c>
      <x:c r="C550" s="97" t="n">
        <x:v>45</x:v>
      </x:c>
      <x:c r="D550" s="97" t="str">
        <x:v>LP</x:v>
      </x:c>
      <x:c r="E550" s="99" t="n">
        <x:v>1</x:v>
      </x:c>
      <x:c r="F550" s="99" t="n">
        <x:v>0.045</x:v>
      </x:c>
      <x:c r="G550" s="99" t="n">
        <x:v>25</x:v>
      </x:c>
      <x:c r="H550" s="99" t="n">
        <x:v>0.05</x:v>
      </x:c>
      <x:c r="I550" s="99" t="n">
        <x:v>0.1300000000000001</x:v>
      </x:c>
      <x:c r="J550" s="98" t="n">
        <x:v>1.025477186426968e-10</x:v>
      </x:c>
      <x:c r="K550" t="str">
        <x:v>low_vds</x:v>
      </x:c>
      <x:c r="L550" t="str">
        <x:v>low_drain_bias</x:v>
      </x:c>
      <x:c r="M550" t="n">
        <x:v>1.1</x:v>
      </x:c>
      <x:c r="N550" t="str">
        <x:v>simulation</x:v>
      </x:c>
      <x:c r="O550" t="str">
        <x:v>ngspice</x:v>
      </x:c>
      <x:c r="P550" t="str">
        <x:v>397141eb8a813045075ac2be3098d3b136ebaf4d597c08fca627922a75e443b7</x:v>
      </x:c>
      <x:c r="Q550" t="str">
        <x:v>data/raw/ptm45_lp_vds_0p05v_raw.txt</x:v>
      </x:c>
    </x:row>
    <x:row r="551">
      <x:c r="A551" t="str">
        <x:v>PTM</x:v>
      </x:c>
      <x:c r="B551" t="str">
        <x:v>NMOS</x:v>
      </x:c>
      <x:c r="C551" s="97" t="n">
        <x:v>45</x:v>
      </x:c>
      <x:c r="D551" s="97" t="str">
        <x:v>LP</x:v>
      </x:c>
      <x:c r="E551" s="99" t="n">
        <x:v>1</x:v>
      </x:c>
      <x:c r="F551" s="99" t="n">
        <x:v>0.045</x:v>
      </x:c>
      <x:c r="G551" s="99" t="n">
        <x:v>25</x:v>
      </x:c>
      <x:c r="H551" s="99" t="n">
        <x:v>0.05</x:v>
      </x:c>
      <x:c r="I551" s="99" t="n">
        <x:v>0.1350000000000001</x:v>
      </x:c>
      <x:c r="J551" s="98" t="n">
        <x:v>1.171494913534426e-10</x:v>
      </x:c>
      <x:c r="K551" t="str">
        <x:v>low_vds</x:v>
      </x:c>
      <x:c r="L551" t="str">
        <x:v>low_drain_bias</x:v>
      </x:c>
      <x:c r="M551" t="n">
        <x:v>1.1</x:v>
      </x:c>
      <x:c r="N551" t="str">
        <x:v>simulation</x:v>
      </x:c>
      <x:c r="O551" t="str">
        <x:v>ngspice</x:v>
      </x:c>
      <x:c r="P551" t="str">
        <x:v>397141eb8a813045075ac2be3098d3b136ebaf4d597c08fca627922a75e443b7</x:v>
      </x:c>
      <x:c r="Q551" t="str">
        <x:v>data/raw/ptm45_lp_vds_0p05v_raw.txt</x:v>
      </x:c>
    </x:row>
    <x:row r="552">
      <x:c r="A552" t="str">
        <x:v>PTM</x:v>
      </x:c>
      <x:c r="B552" t="str">
        <x:v>NMOS</x:v>
      </x:c>
      <x:c r="C552" s="97" t="n">
        <x:v>45</x:v>
      </x:c>
      <x:c r="D552" s="97" t="str">
        <x:v>LP</x:v>
      </x:c>
      <x:c r="E552" s="99" t="n">
        <x:v>1</x:v>
      </x:c>
      <x:c r="F552" s="99" t="n">
        <x:v>0.045</x:v>
      </x:c>
      <x:c r="G552" s="99" t="n">
        <x:v>25</x:v>
      </x:c>
      <x:c r="H552" s="99" t="n">
        <x:v>0.05</x:v>
      </x:c>
      <x:c r="I552" s="99" t="n">
        <x:v>0.1400000000000002</x:v>
      </x:c>
      <x:c r="J552" s="98" t="n">
        <x:v>1.338278736128726e-10</x:v>
      </x:c>
      <x:c r="K552" t="str">
        <x:v>low_vds</x:v>
      </x:c>
      <x:c r="L552" t="str">
        <x:v>low_drain_bias</x:v>
      </x:c>
      <x:c r="M552" t="n">
        <x:v>1.1</x:v>
      </x:c>
      <x:c r="N552" t="str">
        <x:v>simulation</x:v>
      </x:c>
      <x:c r="O552" t="str">
        <x:v>ngspice</x:v>
      </x:c>
      <x:c r="P552" t="str">
        <x:v>397141eb8a813045075ac2be3098d3b136ebaf4d597c08fca627922a75e443b7</x:v>
      </x:c>
      <x:c r="Q552" t="str">
        <x:v>data/raw/ptm45_lp_vds_0p05v_raw.txt</x:v>
      </x:c>
    </x:row>
    <x:row r="553">
      <x:c r="A553" t="str">
        <x:v>PTM</x:v>
      </x:c>
      <x:c r="B553" t="str">
        <x:v>NMOS</x:v>
      </x:c>
      <x:c r="C553" s="97" t="n">
        <x:v>45</x:v>
      </x:c>
      <x:c r="D553" s="97" t="str">
        <x:v>LP</x:v>
      </x:c>
      <x:c r="E553" s="99" t="n">
        <x:v>1</x:v>
      </x:c>
      <x:c r="F553" s="99" t="n">
        <x:v>0.045</x:v>
      </x:c>
      <x:c r="G553" s="99" t="n">
        <x:v>25</x:v>
      </x:c>
      <x:c r="H553" s="99" t="n">
        <x:v>0.05</x:v>
      </x:c>
      <x:c r="I553" s="99" t="n">
        <x:v>0.1450000000000002</x:v>
      </x:c>
      <x:c r="J553" s="98" t="n">
        <x:v>1.541253242753934e-10</x:v>
      </x:c>
      <x:c r="K553" t="str">
        <x:v>low_vds</x:v>
      </x:c>
      <x:c r="L553" t="str">
        <x:v>low_drain_bias</x:v>
      </x:c>
      <x:c r="M553" t="n">
        <x:v>1.1</x:v>
      </x:c>
      <x:c r="N553" t="str">
        <x:v>simulation</x:v>
      </x:c>
      <x:c r="O553" t="str">
        <x:v>ngspice</x:v>
      </x:c>
      <x:c r="P553" t="str">
        <x:v>397141eb8a813045075ac2be3098d3b136ebaf4d597c08fca627922a75e443b7</x:v>
      </x:c>
      <x:c r="Q553" t="str">
        <x:v>data/raw/ptm45_lp_vds_0p05v_raw.txt</x:v>
      </x:c>
    </x:row>
    <x:row r="554">
      <x:c r="A554" t="str">
        <x:v>PTM</x:v>
      </x:c>
      <x:c r="B554" t="str">
        <x:v>NMOS</x:v>
      </x:c>
      <x:c r="C554" s="97" t="n">
        <x:v>45</x:v>
      </x:c>
      <x:c r="D554" s="97" t="str">
        <x:v>LP</x:v>
      </x:c>
      <x:c r="E554" s="99" t="n">
        <x:v>1</x:v>
      </x:c>
      <x:c r="F554" s="99" t="n">
        <x:v>0.045</x:v>
      </x:c>
      <x:c r="G554" s="99" t="n">
        <x:v>25</x:v>
      </x:c>
      <x:c r="H554" s="99" t="n">
        <x:v>0.05</x:v>
      </x:c>
      <x:c r="I554" s="99" t="n">
        <x:v>0.1500000000000002</x:v>
      </x:c>
      <x:c r="J554" s="98" t="n">
        <x:v>1.760589134757979e-10</x:v>
      </x:c>
      <x:c r="K554" t="str">
        <x:v>low_vds</x:v>
      </x:c>
      <x:c r="L554" t="str">
        <x:v>low_drain_bias</x:v>
      </x:c>
      <x:c r="M554" t="n">
        <x:v>1.1</x:v>
      </x:c>
      <x:c r="N554" t="str">
        <x:v>simulation</x:v>
      </x:c>
      <x:c r="O554" t="str">
        <x:v>ngspice</x:v>
      </x:c>
      <x:c r="P554" t="str">
        <x:v>397141eb8a813045075ac2be3098d3b136ebaf4d597c08fca627922a75e443b7</x:v>
      </x:c>
      <x:c r="Q554" t="str">
        <x:v>data/raw/ptm45_lp_vds_0p05v_raw.txt</x:v>
      </x:c>
    </x:row>
    <x:row r="555">
      <x:c r="A555" t="str">
        <x:v>PTM</x:v>
      </x:c>
      <x:c r="B555" t="str">
        <x:v>NMOS</x:v>
      </x:c>
      <x:c r="C555" s="97" t="n">
        <x:v>45</x:v>
      </x:c>
      <x:c r="D555" s="97" t="str">
        <x:v>LP</x:v>
      </x:c>
      <x:c r="E555" s="99" t="n">
        <x:v>1</x:v>
      </x:c>
      <x:c r="F555" s="99" t="n">
        <x:v>0.045</x:v>
      </x:c>
      <x:c r="G555" s="99" t="n">
        <x:v>25</x:v>
      </x:c>
      <x:c r="H555" s="99" t="n">
        <x:v>0.05</x:v>
      </x:c>
      <x:c r="I555" s="99" t="n">
        <x:v>0.1550000000000002</x:v>
      </x:c>
      <x:c r="J555" s="98" t="n">
        <x:v>2.011082143159288e-10</x:v>
      </x:c>
      <x:c r="K555" t="str">
        <x:v>low_vds</x:v>
      </x:c>
      <x:c r="L555" t="str">
        <x:v>low_drain_bias</x:v>
      </x:c>
      <x:c r="M555" t="n">
        <x:v>1.1</x:v>
      </x:c>
      <x:c r="N555" t="str">
        <x:v>simulation</x:v>
      </x:c>
      <x:c r="O555" t="str">
        <x:v>ngspice</x:v>
      </x:c>
      <x:c r="P555" t="str">
        <x:v>397141eb8a813045075ac2be3098d3b136ebaf4d597c08fca627922a75e443b7</x:v>
      </x:c>
      <x:c r="Q555" t="str">
        <x:v>data/raw/ptm45_lp_vds_0p05v_raw.txt</x:v>
      </x:c>
    </x:row>
    <x:row r="556">
      <x:c r="A556" t="str">
        <x:v>PTM</x:v>
      </x:c>
      <x:c r="B556" t="str">
        <x:v>NMOS</x:v>
      </x:c>
      <x:c r="C556" s="97" t="n">
        <x:v>45</x:v>
      </x:c>
      <x:c r="D556" s="97" t="str">
        <x:v>LP</x:v>
      </x:c>
      <x:c r="E556" s="99" t="n">
        <x:v>1</x:v>
      </x:c>
      <x:c r="F556" s="99" t="n">
        <x:v>0.045</x:v>
      </x:c>
      <x:c r="G556" s="99" t="n">
        <x:v>25</x:v>
      </x:c>
      <x:c r="H556" s="99" t="n">
        <x:v>0.05</x:v>
      </x:c>
      <x:c r="I556" s="99" t="n">
        <x:v>0.1600000000000002</x:v>
      </x:c>
      <x:c r="J556" s="98" t="n">
        <x:v>2.297143284907887e-10</x:v>
      </x:c>
      <x:c r="K556" t="str">
        <x:v>low_vds</x:v>
      </x:c>
      <x:c r="L556" t="str">
        <x:v>low_drain_bias</x:v>
      </x:c>
      <x:c r="M556" t="n">
        <x:v>1.1</x:v>
      </x:c>
      <x:c r="N556" t="str">
        <x:v>simulation</x:v>
      </x:c>
      <x:c r="O556" t="str">
        <x:v>ngspice</x:v>
      </x:c>
      <x:c r="P556" t="str">
        <x:v>397141eb8a813045075ac2be3098d3b136ebaf4d597c08fca627922a75e443b7</x:v>
      </x:c>
      <x:c r="Q556" t="str">
        <x:v>data/raw/ptm45_lp_vds_0p05v_raw.txt</x:v>
      </x:c>
    </x:row>
    <x:row r="557">
      <x:c r="A557" t="str">
        <x:v>PTM</x:v>
      </x:c>
      <x:c r="B557" t="str">
        <x:v>NMOS</x:v>
      </x:c>
      <x:c r="C557" s="97" t="n">
        <x:v>45</x:v>
      </x:c>
      <x:c r="D557" s="97" t="str">
        <x:v>LP</x:v>
      </x:c>
      <x:c r="E557" s="99" t="n">
        <x:v>1</x:v>
      </x:c>
      <x:c r="F557" s="99" t="n">
        <x:v>0.045</x:v>
      </x:c>
      <x:c r="G557" s="99" t="n">
        <x:v>25</x:v>
      </x:c>
      <x:c r="H557" s="99" t="n">
        <x:v>0.05</x:v>
      </x:c>
      <x:c r="I557" s="99" t="n">
        <x:v>0.1650000000000002</x:v>
      </x:c>
      <x:c r="J557" s="98" t="n">
        <x:v>2.623804818400946e-10</x:v>
      </x:c>
      <x:c r="K557" t="str">
        <x:v>low_vds</x:v>
      </x:c>
      <x:c r="L557" t="str">
        <x:v>low_drain_bias</x:v>
      </x:c>
      <x:c r="M557" t="n">
        <x:v>1.1</x:v>
      </x:c>
      <x:c r="N557" t="str">
        <x:v>simulation</x:v>
      </x:c>
      <x:c r="O557" t="str">
        <x:v>ngspice</x:v>
      </x:c>
      <x:c r="P557" t="str">
        <x:v>397141eb8a813045075ac2be3098d3b136ebaf4d597c08fca627922a75e443b7</x:v>
      </x:c>
      <x:c r="Q557" t="str">
        <x:v>data/raw/ptm45_lp_vds_0p05v_raw.txt</x:v>
      </x:c>
    </x:row>
    <x:row r="558">
      <x:c r="A558" t="str">
        <x:v>PTM</x:v>
      </x:c>
      <x:c r="B558" t="str">
        <x:v>NMOS</x:v>
      </x:c>
      <x:c r="C558" s="97" t="n">
        <x:v>45</x:v>
      </x:c>
      <x:c r="D558" s="97" t="str">
        <x:v>LP</x:v>
      </x:c>
      <x:c r="E558" s="99" t="n">
        <x:v>1</x:v>
      </x:c>
      <x:c r="F558" s="99" t="n">
        <x:v>0.045</x:v>
      </x:c>
      <x:c r="G558" s="99" t="n">
        <x:v>25</x:v>
      </x:c>
      <x:c r="H558" s="99" t="n">
        <x:v>0.05</x:v>
      </x:c>
      <x:c r="I558" s="99" t="n">
        <x:v>0.1700000000000002</x:v>
      </x:c>
      <x:c r="J558" s="98" t="n">
        <x:v>2.996807036446583e-10</x:v>
      </x:c>
      <x:c r="K558" t="str">
        <x:v>low_vds</x:v>
      </x:c>
      <x:c r="L558" t="str">
        <x:v>low_drain_bias</x:v>
      </x:c>
      <x:c r="M558" t="n">
        <x:v>1.1</x:v>
      </x:c>
      <x:c r="N558" t="str">
        <x:v>simulation</x:v>
      </x:c>
      <x:c r="O558" t="str">
        <x:v>ngspice</x:v>
      </x:c>
      <x:c r="P558" t="str">
        <x:v>397141eb8a813045075ac2be3098d3b136ebaf4d597c08fca627922a75e443b7</x:v>
      </x:c>
      <x:c r="Q558" t="str">
        <x:v>data/raw/ptm45_lp_vds_0p05v_raw.txt</x:v>
      </x:c>
    </x:row>
    <x:row r="559">
      <x:c r="A559" t="str">
        <x:v>PTM</x:v>
      </x:c>
      <x:c r="B559" t="str">
        <x:v>NMOS</x:v>
      </x:c>
      <x:c r="C559" s="97" t="n">
        <x:v>45</x:v>
      </x:c>
      <x:c r="D559" s="97" t="str">
        <x:v>LP</x:v>
      </x:c>
      <x:c r="E559" s="99" t="n">
        <x:v>1</x:v>
      </x:c>
      <x:c r="F559" s="99" t="n">
        <x:v>0.045</x:v>
      </x:c>
      <x:c r="G559" s="99" t="n">
        <x:v>25</x:v>
      </x:c>
      <x:c r="H559" s="99" t="n">
        <x:v>0.05</x:v>
      </x:c>
      <x:c r="I559" s="99" t="n">
        <x:v>0.1750000000000002</x:v>
      </x:c>
      <x:c r="J559" s="98" t="n">
        <x:v>3.42269703363827e-10</x:v>
      </x:c>
      <x:c r="K559" t="str">
        <x:v>low_vds</x:v>
      </x:c>
      <x:c r="L559" t="str">
        <x:v>low_drain_bias</x:v>
      </x:c>
      <x:c r="M559" t="n">
        <x:v>1.1</x:v>
      </x:c>
      <x:c r="N559" t="str">
        <x:v>simulation</x:v>
      </x:c>
      <x:c r="O559" t="str">
        <x:v>ngspice</x:v>
      </x:c>
      <x:c r="P559" t="str">
        <x:v>397141eb8a813045075ac2be3098d3b136ebaf4d597c08fca627922a75e443b7</x:v>
      </x:c>
      <x:c r="Q559" t="str">
        <x:v>data/raw/ptm45_lp_vds_0p05v_raw.txt</x:v>
      </x:c>
    </x:row>
    <x:row r="560">
      <x:c r="A560" t="str">
        <x:v>PTM</x:v>
      </x:c>
      <x:c r="B560" t="str">
        <x:v>NMOS</x:v>
      </x:c>
      <x:c r="C560" s="97" t="n">
        <x:v>45</x:v>
      </x:c>
      <x:c r="D560" s="97" t="str">
        <x:v>LP</x:v>
      </x:c>
      <x:c r="E560" s="99" t="n">
        <x:v>1</x:v>
      </x:c>
      <x:c r="F560" s="99" t="n">
        <x:v>0.045</x:v>
      </x:c>
      <x:c r="G560" s="99" t="n">
        <x:v>25</x:v>
      </x:c>
      <x:c r="H560" s="99" t="n">
        <x:v>0.05</x:v>
      </x:c>
      <x:c r="I560" s="99" t="n">
        <x:v>0.1800000000000002</x:v>
      </x:c>
      <x:c r="J560" s="98" t="n">
        <x:v>3.908941067719115e-10</x:v>
      </x:c>
      <x:c r="K560" t="str">
        <x:v>low_vds</x:v>
      </x:c>
      <x:c r="L560" t="str">
        <x:v>low_drain_bias</x:v>
      </x:c>
      <x:c r="M560" t="n">
        <x:v>1.1</x:v>
      </x:c>
      <x:c r="N560" t="str">
        <x:v>simulation</x:v>
      </x:c>
      <x:c r="O560" t="str">
        <x:v>ngspice</x:v>
      </x:c>
      <x:c r="P560" t="str">
        <x:v>397141eb8a813045075ac2be3098d3b136ebaf4d597c08fca627922a75e443b7</x:v>
      </x:c>
      <x:c r="Q560" t="str">
        <x:v>data/raw/ptm45_lp_vds_0p05v_raw.txt</x:v>
      </x:c>
    </x:row>
    <x:row r="561">
      <x:c r="A561" t="str">
        <x:v>PTM</x:v>
      </x:c>
      <x:c r="B561" t="str">
        <x:v>NMOS</x:v>
      </x:c>
      <x:c r="C561" s="97" t="n">
        <x:v>45</x:v>
      </x:c>
      <x:c r="D561" s="97" t="str">
        <x:v>LP</x:v>
      </x:c>
      <x:c r="E561" s="99" t="n">
        <x:v>1</x:v>
      </x:c>
      <x:c r="F561" s="99" t="n">
        <x:v>0.045</x:v>
      </x:c>
      <x:c r="G561" s="99" t="n">
        <x:v>25</x:v>
      </x:c>
      <x:c r="H561" s="99" t="n">
        <x:v>0.05</x:v>
      </x:c>
      <x:c r="I561" s="99" t="n">
        <x:v>0.1850000000000002</x:v>
      </x:c>
      <x:c r="J561" s="98" t="n">
        <x:v>4.46405234663526e-10</x:v>
      </x:c>
      <x:c r="K561" t="str">
        <x:v>low_vds</x:v>
      </x:c>
      <x:c r="L561" t="str">
        <x:v>low_drain_bias</x:v>
      </x:c>
      <x:c r="M561" t="n">
        <x:v>1.1</x:v>
      </x:c>
      <x:c r="N561" t="str">
        <x:v>simulation</x:v>
      </x:c>
      <x:c r="O561" t="str">
        <x:v>ngspice</x:v>
      </x:c>
      <x:c r="P561" t="str">
        <x:v>397141eb8a813045075ac2be3098d3b136ebaf4d597c08fca627922a75e443b7</x:v>
      </x:c>
      <x:c r="Q561" t="str">
        <x:v>data/raw/ptm45_lp_vds_0p05v_raw.txt</x:v>
      </x:c>
    </x:row>
    <x:row r="562">
      <x:c r="A562" t="str">
        <x:v>PTM</x:v>
      </x:c>
      <x:c r="B562" t="str">
        <x:v>NMOS</x:v>
      </x:c>
      <x:c r="C562" s="97" t="n">
        <x:v>45</x:v>
      </x:c>
      <x:c r="D562" s="97" t="str">
        <x:v>LP</x:v>
      </x:c>
      <x:c r="E562" s="99" t="n">
        <x:v>1</x:v>
      </x:c>
      <x:c r="F562" s="99" t="n">
        <x:v>0.045</x:v>
      </x:c>
      <x:c r="G562" s="99" t="n">
        <x:v>25</x:v>
      </x:c>
      <x:c r="H562" s="99" t="n">
        <x:v>0.05</x:v>
      </x:c>
      <x:c r="I562" s="99" t="n">
        <x:v>0.1900000000000002</x:v>
      </x:c>
      <x:c r="J562" s="98" t="n">
        <x:v>5.097736311418667e-10</x:v>
      </x:c>
      <x:c r="K562" t="str">
        <x:v>low_vds</x:v>
      </x:c>
      <x:c r="L562" t="str">
        <x:v>low_drain_bias</x:v>
      </x:c>
      <x:c r="M562" t="n">
        <x:v>1.1</x:v>
      </x:c>
      <x:c r="N562" t="str">
        <x:v>simulation</x:v>
      </x:c>
      <x:c r="O562" t="str">
        <x:v>ngspice</x:v>
      </x:c>
      <x:c r="P562" t="str">
        <x:v>397141eb8a813045075ac2be3098d3b136ebaf4d597c08fca627922a75e443b7</x:v>
      </x:c>
      <x:c r="Q562" t="str">
        <x:v>data/raw/ptm45_lp_vds_0p05v_raw.txt</x:v>
      </x:c>
    </x:row>
    <x:row r="563">
      <x:c r="A563" t="str">
        <x:v>PTM</x:v>
      </x:c>
      <x:c r="B563" t="str">
        <x:v>NMOS</x:v>
      </x:c>
      <x:c r="C563" s="97" t="n">
        <x:v>45</x:v>
      </x:c>
      <x:c r="D563" s="97" t="str">
        <x:v>LP</x:v>
      </x:c>
      <x:c r="E563" s="99" t="n">
        <x:v>1</x:v>
      </x:c>
      <x:c r="F563" s="99" t="n">
        <x:v>0.045</x:v>
      </x:c>
      <x:c r="G563" s="99" t="n">
        <x:v>25</x:v>
      </x:c>
      <x:c r="H563" s="99" t="n">
        <x:v>0.05</x:v>
      </x:c>
      <x:c r="I563" s="99" t="n">
        <x:v>0.1950000000000002</x:v>
      </x:c>
      <x:c r="J563" s="98" t="n">
        <x:v>5.821055752734242e-10</x:v>
      </x:c>
      <x:c r="K563" t="str">
        <x:v>low_vds</x:v>
      </x:c>
      <x:c r="L563" t="str">
        <x:v>low_drain_bias</x:v>
      </x:c>
      <x:c r="M563" t="n">
        <x:v>1.1</x:v>
      </x:c>
      <x:c r="N563" t="str">
        <x:v>simulation</x:v>
      </x:c>
      <x:c r="O563" t="str">
        <x:v>ngspice</x:v>
      </x:c>
      <x:c r="P563" t="str">
        <x:v>397141eb8a813045075ac2be3098d3b136ebaf4d597c08fca627922a75e443b7</x:v>
      </x:c>
      <x:c r="Q563" t="str">
        <x:v>data/raw/ptm45_lp_vds_0p05v_raw.txt</x:v>
      </x:c>
    </x:row>
    <x:row r="564">
      <x:c r="A564" t="str">
        <x:v>PTM</x:v>
      </x:c>
      <x:c r="B564" t="str">
        <x:v>NMOS</x:v>
      </x:c>
      <x:c r="C564" s="97" t="n">
        <x:v>45</x:v>
      </x:c>
      <x:c r="D564" s="97" t="str">
        <x:v>LP</x:v>
      </x:c>
      <x:c r="E564" s="99" t="n">
        <x:v>1</x:v>
      </x:c>
      <x:c r="F564" s="99" t="n">
        <x:v>0.045</x:v>
      </x:c>
      <x:c r="G564" s="99" t="n">
        <x:v>25</x:v>
      </x:c>
      <x:c r="H564" s="99" t="n">
        <x:v>0.05</x:v>
      </x:c>
      <x:c r="I564" s="99" t="n">
        <x:v>0.2000000000000002</x:v>
      </x:c>
      <x:c r="J564" s="98" t="n">
        <x:v>6.646618399110087e-10</x:v>
      </x:c>
      <x:c r="K564" t="str">
        <x:v>low_vds</x:v>
      </x:c>
      <x:c r="L564" t="str">
        <x:v>low_drain_bias</x:v>
      </x:c>
      <x:c r="M564" t="n">
        <x:v>1.1</x:v>
      </x:c>
      <x:c r="N564" t="str">
        <x:v>simulation</x:v>
      </x:c>
      <x:c r="O564" t="str">
        <x:v>ngspice</x:v>
      </x:c>
      <x:c r="P564" t="str">
        <x:v>397141eb8a813045075ac2be3098d3b136ebaf4d597c08fca627922a75e443b7</x:v>
      </x:c>
      <x:c r="Q564" t="str">
        <x:v>data/raw/ptm45_lp_vds_0p05v_raw.txt</x:v>
      </x:c>
    </x:row>
    <x:row r="565">
      <x:c r="A565" t="str">
        <x:v>PTM</x:v>
      </x:c>
      <x:c r="B565" t="str">
        <x:v>NMOS</x:v>
      </x:c>
      <x:c r="C565" s="97" t="n">
        <x:v>45</x:v>
      </x:c>
      <x:c r="D565" s="97" t="str">
        <x:v>LP</x:v>
      </x:c>
      <x:c r="E565" s="99" t="n">
        <x:v>1</x:v>
      </x:c>
      <x:c r="F565" s="99" t="n">
        <x:v>0.045</x:v>
      </x:c>
      <x:c r="G565" s="99" t="n">
        <x:v>25</x:v>
      </x:c>
      <x:c r="H565" s="99" t="n">
        <x:v>0.05</x:v>
      </x:c>
      <x:c r="I565" s="99" t="n">
        <x:v>0.2050000000000002</x:v>
      </x:c>
      <x:c r="J565" s="98" t="n">
        <x:v>7.58878995102323e-10</x:v>
      </x:c>
      <x:c r="K565" t="str">
        <x:v>low_vds</x:v>
      </x:c>
      <x:c r="L565" t="str">
        <x:v>low_drain_bias</x:v>
      </x:c>
      <x:c r="M565" t="n">
        <x:v>1.1</x:v>
      </x:c>
      <x:c r="N565" t="str">
        <x:v>simulation</x:v>
      </x:c>
      <x:c r="O565" t="str">
        <x:v>ngspice</x:v>
      </x:c>
      <x:c r="P565" t="str">
        <x:v>397141eb8a813045075ac2be3098d3b136ebaf4d597c08fca627922a75e443b7</x:v>
      </x:c>
      <x:c r="Q565" t="str">
        <x:v>data/raw/ptm45_lp_vds_0p05v_raw.txt</x:v>
      </x:c>
    </x:row>
    <x:row r="566">
      <x:c r="A566" t="str">
        <x:v>PTM</x:v>
      </x:c>
      <x:c r="B566" t="str">
        <x:v>NMOS</x:v>
      </x:c>
      <x:c r="C566" s="97" t="n">
        <x:v>45</x:v>
      </x:c>
      <x:c r="D566" s="97" t="str">
        <x:v>LP</x:v>
      </x:c>
      <x:c r="E566" s="99" t="n">
        <x:v>1</x:v>
      </x:c>
      <x:c r="F566" s="99" t="n">
        <x:v>0.045</x:v>
      </x:c>
      <x:c r="G566" s="99" t="n">
        <x:v>25</x:v>
      </x:c>
      <x:c r="H566" s="99" t="n">
        <x:v>0.05</x:v>
      </x:c>
      <x:c r="I566" s="99" t="n">
        <x:v>0.2100000000000002</x:v>
      </x:c>
      <x:c r="J566" s="98" t="n">
        <x:v>8.663935910913856e-10</x:v>
      </x:c>
      <x:c r="K566" t="str">
        <x:v>low_vds</x:v>
      </x:c>
      <x:c r="L566" t="str">
        <x:v>low_drain_bias</x:v>
      </x:c>
      <x:c r="M566" t="n">
        <x:v>1.1</x:v>
      </x:c>
      <x:c r="N566" t="str">
        <x:v>simulation</x:v>
      </x:c>
      <x:c r="O566" t="str">
        <x:v>ngspice</x:v>
      </x:c>
      <x:c r="P566" t="str">
        <x:v>397141eb8a813045075ac2be3098d3b136ebaf4d597c08fca627922a75e443b7</x:v>
      </x:c>
      <x:c r="Q566" t="str">
        <x:v>data/raw/ptm45_lp_vds_0p05v_raw.txt</x:v>
      </x:c>
    </x:row>
    <x:row r="567">
      <x:c r="A567" t="str">
        <x:v>PTM</x:v>
      </x:c>
      <x:c r="B567" t="str">
        <x:v>NMOS</x:v>
      </x:c>
      <x:c r="C567" s="97" t="n">
        <x:v>45</x:v>
      </x:c>
      <x:c r="D567" s="97" t="str">
        <x:v>LP</x:v>
      </x:c>
      <x:c r="E567" s="99" t="n">
        <x:v>1</x:v>
      </x:c>
      <x:c r="F567" s="99" t="n">
        <x:v>0.045</x:v>
      </x:c>
      <x:c r="G567" s="99" t="n">
        <x:v>25</x:v>
      </x:c>
      <x:c r="H567" s="99" t="n">
        <x:v>0.05</x:v>
      </x:c>
      <x:c r="I567" s="99" t="n">
        <x:v>0.2150000000000002</x:v>
      </x:c>
      <x:c r="J567" s="98" t="n">
        <x:v>9.890695978891435e-10</x:v>
      </x:c>
      <x:c r="K567" t="str">
        <x:v>low_vds</x:v>
      </x:c>
      <x:c r="L567" t="str">
        <x:v>low_drain_bias</x:v>
      </x:c>
      <x:c r="M567" t="n">
        <x:v>1.1</x:v>
      </x:c>
      <x:c r="N567" t="str">
        <x:v>simulation</x:v>
      </x:c>
      <x:c r="O567" t="str">
        <x:v>ngspice</x:v>
      </x:c>
      <x:c r="P567" t="str">
        <x:v>397141eb8a813045075ac2be3098d3b136ebaf4d597c08fca627922a75e443b7</x:v>
      </x:c>
      <x:c r="Q567" t="str">
        <x:v>data/raw/ptm45_lp_vds_0p05v_raw.txt</x:v>
      </x:c>
    </x:row>
    <x:row r="568">
      <x:c r="A568" t="str">
        <x:v>PTM</x:v>
      </x:c>
      <x:c r="B568" t="str">
        <x:v>NMOS</x:v>
      </x:c>
      <x:c r="C568" s="97" t="n">
        <x:v>45</x:v>
      </x:c>
      <x:c r="D568" s="97" t="str">
        <x:v>LP</x:v>
      </x:c>
      <x:c r="E568" s="99" t="n">
        <x:v>1</x:v>
      </x:c>
      <x:c r="F568" s="99" t="n">
        <x:v>0.045</x:v>
      </x:c>
      <x:c r="G568" s="99" t="n">
        <x:v>25</x:v>
      </x:c>
      <x:c r="H568" s="99" t="n">
        <x:v>0.05</x:v>
      </x:c>
      <x:c r="I568" s="99" t="n">
        <x:v>0.2200000000000002</x:v>
      </x:c>
      <x:c r="J568" s="98" t="n">
        <x:v>1.129029525172248e-9</x:v>
      </x:c>
      <x:c r="K568" t="str">
        <x:v>low_vds</x:v>
      </x:c>
      <x:c r="L568" t="str">
        <x:v>low_drain_bias</x:v>
      </x:c>
      <x:c r="M568" t="n">
        <x:v>1.1</x:v>
      </x:c>
      <x:c r="N568" t="str">
        <x:v>simulation</x:v>
      </x:c>
      <x:c r="O568" t="str">
        <x:v>ngspice</x:v>
      </x:c>
      <x:c r="P568" t="str">
        <x:v>397141eb8a813045075ac2be3098d3b136ebaf4d597c08fca627922a75e443b7</x:v>
      </x:c>
      <x:c r="Q568" t="str">
        <x:v>data/raw/ptm45_lp_vds_0p05v_raw.txt</x:v>
      </x:c>
    </x:row>
    <x:row r="569">
      <x:c r="A569" t="str">
        <x:v>PTM</x:v>
      </x:c>
      <x:c r="B569" t="str">
        <x:v>NMOS</x:v>
      </x:c>
      <x:c r="C569" s="97" t="n">
        <x:v>45</x:v>
      </x:c>
      <x:c r="D569" s="97" t="str">
        <x:v>LP</x:v>
      </x:c>
      <x:c r="E569" s="99" t="n">
        <x:v>1</x:v>
      </x:c>
      <x:c r="F569" s="99" t="n">
        <x:v>0.045</x:v>
      </x:c>
      <x:c r="G569" s="99" t="n">
        <x:v>25</x:v>
      </x:c>
      <x:c r="H569" s="99" t="n">
        <x:v>0.05</x:v>
      </x:c>
      <x:c r="I569" s="99" t="n">
        <x:v>0.2250000000000002</x:v>
      </x:c>
      <x:c r="J569" s="98" t="n">
        <x:v>1.288689698322777e-9</x:v>
      </x:c>
      <x:c r="K569" t="str">
        <x:v>low_vds</x:v>
      </x:c>
      <x:c r="L569" t="str">
        <x:v>low_drain_bias</x:v>
      </x:c>
      <x:c r="M569" t="n">
        <x:v>1.1</x:v>
      </x:c>
      <x:c r="N569" t="str">
        <x:v>simulation</x:v>
      </x:c>
      <x:c r="O569" t="str">
        <x:v>ngspice</x:v>
      </x:c>
      <x:c r="P569" t="str">
        <x:v>397141eb8a813045075ac2be3098d3b136ebaf4d597c08fca627922a75e443b7</x:v>
      </x:c>
      <x:c r="Q569" t="str">
        <x:v>data/raw/ptm45_lp_vds_0p05v_raw.txt</x:v>
      </x:c>
    </x:row>
    <x:row r="570">
      <x:c r="A570" t="str">
        <x:v>PTM</x:v>
      </x:c>
      <x:c r="B570" t="str">
        <x:v>NMOS</x:v>
      </x:c>
      <x:c r="C570" s="97" t="n">
        <x:v>45</x:v>
      </x:c>
      <x:c r="D570" s="97" t="str">
        <x:v>LP</x:v>
      </x:c>
      <x:c r="E570" s="99" t="n">
        <x:v>1</x:v>
      </x:c>
      <x:c r="F570" s="99" t="n">
        <x:v>0.045</x:v>
      </x:c>
      <x:c r="G570" s="99" t="n">
        <x:v>25</x:v>
      </x:c>
      <x:c r="H570" s="99" t="n">
        <x:v>0.05</x:v>
      </x:c>
      <x:c r="I570" s="99" t="n">
        <x:v>0.2300000000000002</x:v>
      </x:c>
      <x:c r="J570" s="98" t="n">
        <x:v>1.470800224230529e-9</x:v>
      </x:c>
      <x:c r="K570" t="str">
        <x:v>low_vds</x:v>
      </x:c>
      <x:c r="L570" t="str">
        <x:v>low_drain_bias</x:v>
      </x:c>
      <x:c r="M570" t="n">
        <x:v>1.1</x:v>
      </x:c>
      <x:c r="N570" t="str">
        <x:v>simulation</x:v>
      </x:c>
      <x:c r="O570" t="str">
        <x:v>ngspice</x:v>
      </x:c>
      <x:c r="P570" t="str">
        <x:v>397141eb8a813045075ac2be3098d3b136ebaf4d597c08fca627922a75e443b7</x:v>
      </x:c>
      <x:c r="Q570" t="str">
        <x:v>data/raw/ptm45_lp_vds_0p05v_raw.txt</x:v>
      </x:c>
    </x:row>
    <x:row r="571">
      <x:c r="A571" t="str">
        <x:v>PTM</x:v>
      </x:c>
      <x:c r="B571" t="str">
        <x:v>NMOS</x:v>
      </x:c>
      <x:c r="C571" s="97" t="n">
        <x:v>45</x:v>
      </x:c>
      <x:c r="D571" s="97" t="str">
        <x:v>LP</x:v>
      </x:c>
      <x:c r="E571" s="99" t="n">
        <x:v>1</x:v>
      </x:c>
      <x:c r="F571" s="99" t="n">
        <x:v>0.045</x:v>
      </x:c>
      <x:c r="G571" s="99" t="n">
        <x:v>25</x:v>
      </x:c>
      <x:c r="H571" s="99" t="n">
        <x:v>0.05</x:v>
      </x:c>
      <x:c r="I571" s="99" t="n">
        <x:v>0.2350000000000002</x:v>
      </x:c>
      <x:c r="J571" s="98" t="n">
        <x:v>1.678490244548671e-9</x:v>
      </x:c>
      <x:c r="K571" t="str">
        <x:v>low_vds</x:v>
      </x:c>
      <x:c r="L571" t="str">
        <x:v>low_drain_bias</x:v>
      </x:c>
      <x:c r="M571" t="n">
        <x:v>1.1</x:v>
      </x:c>
      <x:c r="N571" t="str">
        <x:v>simulation</x:v>
      </x:c>
      <x:c r="O571" t="str">
        <x:v>ngspice</x:v>
      </x:c>
      <x:c r="P571" t="str">
        <x:v>397141eb8a813045075ac2be3098d3b136ebaf4d597c08fca627922a75e443b7</x:v>
      </x:c>
      <x:c r="Q571" t="str">
        <x:v>data/raw/ptm45_lp_vds_0p05v_raw.txt</x:v>
      </x:c>
    </x:row>
    <x:row r="572">
      <x:c r="A572" t="str">
        <x:v>PTM</x:v>
      </x:c>
      <x:c r="B572" t="str">
        <x:v>NMOS</x:v>
      </x:c>
      <x:c r="C572" s="97" t="n">
        <x:v>45</x:v>
      </x:c>
      <x:c r="D572" s="97" t="str">
        <x:v>LP</x:v>
      </x:c>
      <x:c r="E572" s="99" t="n">
        <x:v>1</x:v>
      </x:c>
      <x:c r="F572" s="99" t="n">
        <x:v>0.045</x:v>
      </x:c>
      <x:c r="G572" s="99" t="n">
        <x:v>25</x:v>
      </x:c>
      <x:c r="H572" s="99" t="n">
        <x:v>0.05</x:v>
      </x:c>
      <x:c r="I572" s="99" t="n">
        <x:v>0.2400000000000002</x:v>
      </x:c>
      <x:c r="J572" s="98" t="n">
        <x:v>1.915319144944605e-9</x:v>
      </x:c>
      <x:c r="K572" t="str">
        <x:v>low_vds</x:v>
      </x:c>
      <x:c r="L572" t="str">
        <x:v>low_drain_bias</x:v>
      </x:c>
      <x:c r="M572" t="n">
        <x:v>1.1</x:v>
      </x:c>
      <x:c r="N572" t="str">
        <x:v>simulation</x:v>
      </x:c>
      <x:c r="O572" t="str">
        <x:v>ngspice</x:v>
      </x:c>
      <x:c r="P572" t="str">
        <x:v>397141eb8a813045075ac2be3098d3b136ebaf4d597c08fca627922a75e443b7</x:v>
      </x:c>
      <x:c r="Q572" t="str">
        <x:v>data/raw/ptm45_lp_vds_0p05v_raw.txt</x:v>
      </x:c>
    </x:row>
    <x:row r="573">
      <x:c r="A573" t="str">
        <x:v>PTM</x:v>
      </x:c>
      <x:c r="B573" t="str">
        <x:v>NMOS</x:v>
      </x:c>
      <x:c r="C573" s="97" t="n">
        <x:v>45</x:v>
      </x:c>
      <x:c r="D573" s="97" t="str">
        <x:v>LP</x:v>
      </x:c>
      <x:c r="E573" s="99" t="n">
        <x:v>1</x:v>
      </x:c>
      <x:c r="F573" s="99" t="n">
        <x:v>0.045</x:v>
      </x:c>
      <x:c r="G573" s="99" t="n">
        <x:v>25</x:v>
      </x:c>
      <x:c r="H573" s="99" t="n">
        <x:v>0.05</x:v>
      </x:c>
      <x:c r="I573" s="99" t="n">
        <x:v>0.2450000000000002</x:v>
      </x:c>
      <x:c r="J573" s="98" t="n">
        <x:v>2.185334467049588e-9</x:v>
      </x:c>
      <x:c r="K573" t="str">
        <x:v>low_vds</x:v>
      </x:c>
      <x:c r="L573" t="str">
        <x:v>low_drain_bias</x:v>
      </x:c>
      <x:c r="M573" t="n">
        <x:v>1.1</x:v>
      </x:c>
      <x:c r="N573" t="str">
        <x:v>simulation</x:v>
      </x:c>
      <x:c r="O573" t="str">
        <x:v>ngspice</x:v>
      </x:c>
      <x:c r="P573" t="str">
        <x:v>397141eb8a813045075ac2be3098d3b136ebaf4d597c08fca627922a75e443b7</x:v>
      </x:c>
      <x:c r="Q573" t="str">
        <x:v>data/raw/ptm45_lp_vds_0p05v_raw.txt</x:v>
      </x:c>
    </x:row>
    <x:row r="574">
      <x:c r="A574" t="str">
        <x:v>PTM</x:v>
      </x:c>
      <x:c r="B574" t="str">
        <x:v>NMOS</x:v>
      </x:c>
      <x:c r="C574" s="97" t="n">
        <x:v>45</x:v>
      </x:c>
      <x:c r="D574" s="97" t="str">
        <x:v>LP</x:v>
      </x:c>
      <x:c r="E574" s="99" t="n">
        <x:v>1</x:v>
      </x:c>
      <x:c r="F574" s="99" t="n">
        <x:v>0.045</x:v>
      </x:c>
      <x:c r="G574" s="99" t="n">
        <x:v>25</x:v>
      </x:c>
      <x:c r="H574" s="99" t="n">
        <x:v>0.05</x:v>
      </x:c>
      <x:c r="I574" s="99" t="n">
        <x:v>0.2500000000000002</x:v>
      </x:c>
      <x:c r="J574" s="98" t="n">
        <x:v>2.493137355818687e-9</x:v>
      </x:c>
      <x:c r="K574" t="str">
        <x:v>low_vds</x:v>
      </x:c>
      <x:c r="L574" t="str">
        <x:v>low_drain_bias</x:v>
      </x:c>
      <x:c r="M574" t="n">
        <x:v>1.1</x:v>
      </x:c>
      <x:c r="N574" t="str">
        <x:v>simulation</x:v>
      </x:c>
      <x:c r="O574" t="str">
        <x:v>ngspice</x:v>
      </x:c>
      <x:c r="P574" t="str">
        <x:v>397141eb8a813045075ac2be3098d3b136ebaf4d597c08fca627922a75e443b7</x:v>
      </x:c>
      <x:c r="Q574" t="str">
        <x:v>data/raw/ptm45_lp_vds_0p05v_raw.txt</x:v>
      </x:c>
    </x:row>
    <x:row r="575">
      <x:c r="A575" t="str">
        <x:v>PTM</x:v>
      </x:c>
      <x:c r="B575" t="str">
        <x:v>NMOS</x:v>
      </x:c>
      <x:c r="C575" s="97" t="n">
        <x:v>45</x:v>
      </x:c>
      <x:c r="D575" s="97" t="str">
        <x:v>LP</x:v>
      </x:c>
      <x:c r="E575" s="99" t="n">
        <x:v>1</x:v>
      </x:c>
      <x:c r="F575" s="99" t="n">
        <x:v>0.045</x:v>
      </x:c>
      <x:c r="G575" s="99" t="n">
        <x:v>25</x:v>
      </x:c>
      <x:c r="H575" s="99" t="n">
        <x:v>0.05</x:v>
      </x:c>
      <x:c r="I575" s="99" t="n">
        <x:v>0.2550000000000002</x:v>
      </x:c>
      <x:c r="J575" s="98" t="n">
        <x:v>2.843956469396631e-9</x:v>
      </x:c>
      <x:c r="K575" t="str">
        <x:v>low_vds</x:v>
      </x:c>
      <x:c r="L575" t="str">
        <x:v>low_drain_bias</x:v>
      </x:c>
      <x:c r="M575" t="n">
        <x:v>1.1</x:v>
      </x:c>
      <x:c r="N575" t="str">
        <x:v>simulation</x:v>
      </x:c>
      <x:c r="O575" t="str">
        <x:v>ngspice</x:v>
      </x:c>
      <x:c r="P575" t="str">
        <x:v>397141eb8a813045075ac2be3098d3b136ebaf4d597c08fca627922a75e443b7</x:v>
      </x:c>
      <x:c r="Q575" t="str">
        <x:v>data/raw/ptm45_lp_vds_0p05v_raw.txt</x:v>
      </x:c>
    </x:row>
    <x:row r="576">
      <x:c r="A576" t="str">
        <x:v>PTM</x:v>
      </x:c>
      <x:c r="B576" t="str">
        <x:v>NMOS</x:v>
      </x:c>
      <x:c r="C576" s="97" t="n">
        <x:v>45</x:v>
      </x:c>
      <x:c r="D576" s="97" t="str">
        <x:v>LP</x:v>
      </x:c>
      <x:c r="E576" s="99" t="n">
        <x:v>1</x:v>
      </x:c>
      <x:c r="F576" s="99" t="n">
        <x:v>0.045</x:v>
      </x:c>
      <x:c r="G576" s="99" t="n">
        <x:v>25</x:v>
      </x:c>
      <x:c r="H576" s="99" t="n">
        <x:v>0.05</x:v>
      </x:c>
      <x:c r="I576" s="99" t="n">
        <x:v>0.2600000000000002</x:v>
      </x:c>
      <x:c r="J576" s="98" t="n">
        <x:v>3.243731381840048e-9</x:v>
      </x:c>
      <x:c r="K576" t="str">
        <x:v>low_vds</x:v>
      </x:c>
      <x:c r="L576" t="str">
        <x:v>low_drain_bias</x:v>
      </x:c>
      <x:c r="M576" t="n">
        <x:v>1.1</x:v>
      </x:c>
      <x:c r="N576" t="str">
        <x:v>simulation</x:v>
      </x:c>
      <x:c r="O576" t="str">
        <x:v>ngspice</x:v>
      </x:c>
      <x:c r="P576" t="str">
        <x:v>397141eb8a813045075ac2be3098d3b136ebaf4d597c08fca627922a75e443b7</x:v>
      </x:c>
      <x:c r="Q576" t="str">
        <x:v>data/raw/ptm45_lp_vds_0p05v_raw.txt</x:v>
      </x:c>
    </x:row>
    <x:row r="577">
      <x:c r="A577" t="str">
        <x:v>PTM</x:v>
      </x:c>
      <x:c r="B577" t="str">
        <x:v>NMOS</x:v>
      </x:c>
      <x:c r="C577" s="97" t="n">
        <x:v>45</x:v>
      </x:c>
      <x:c r="D577" s="97" t="str">
        <x:v>LP</x:v>
      </x:c>
      <x:c r="E577" s="99" t="n">
        <x:v>1</x:v>
      </x:c>
      <x:c r="F577" s="99" t="n">
        <x:v>0.045</x:v>
      </x:c>
      <x:c r="G577" s="99" t="n">
        <x:v>25</x:v>
      </x:c>
      <x:c r="H577" s="99" t="n">
        <x:v>0.05</x:v>
      </x:c>
      <x:c r="I577" s="99" t="n">
        <x:v>0.2650000000000002</x:v>
      </x:c>
      <x:c r="J577" s="98" t="n">
        <x:v>3.699206621660583e-9</x:v>
      </x:c>
      <x:c r="K577" t="str">
        <x:v>low_vds</x:v>
      </x:c>
      <x:c r="L577" t="str">
        <x:v>low_drain_bias</x:v>
      </x:c>
      <x:c r="M577" t="n">
        <x:v>1.1</x:v>
      </x:c>
      <x:c r="N577" t="str">
        <x:v>simulation</x:v>
      </x:c>
      <x:c r="O577" t="str">
        <x:v>ngspice</x:v>
      </x:c>
      <x:c r="P577" t="str">
        <x:v>397141eb8a813045075ac2be3098d3b136ebaf4d597c08fca627922a75e443b7</x:v>
      </x:c>
      <x:c r="Q577" t="str">
        <x:v>data/raw/ptm45_lp_vds_0p05v_raw.txt</x:v>
      </x:c>
    </x:row>
    <x:row r="578">
      <x:c r="A578" t="str">
        <x:v>PTM</x:v>
      </x:c>
      <x:c r="B578" t="str">
        <x:v>NMOS</x:v>
      </x:c>
      <x:c r="C578" s="97" t="n">
        <x:v>45</x:v>
      </x:c>
      <x:c r="D578" s="97" t="str">
        <x:v>LP</x:v>
      </x:c>
      <x:c r="E578" s="99" t="n">
        <x:v>1</x:v>
      </x:c>
      <x:c r="F578" s="99" t="n">
        <x:v>0.045</x:v>
      </x:c>
      <x:c r="G578" s="99" t="n">
        <x:v>25</x:v>
      </x:c>
      <x:c r="H578" s="99" t="n">
        <x:v>0.05</x:v>
      </x:c>
      <x:c r="I578" s="99" t="n">
        <x:v>0.2700000000000002</x:v>
      </x:c>
      <x:c r="J578" s="98" t="n">
        <x:v>4.218037611527368e-9</x:v>
      </x:c>
      <x:c r="K578" t="str">
        <x:v>low_vds</x:v>
      </x:c>
      <x:c r="L578" t="str">
        <x:v>low_drain_bias</x:v>
      </x:c>
      <x:c r="M578" t="n">
        <x:v>1.1</x:v>
      </x:c>
      <x:c r="N578" t="str">
        <x:v>simulation</x:v>
      </x:c>
      <x:c r="O578" t="str">
        <x:v>ngspice</x:v>
      </x:c>
      <x:c r="P578" t="str">
        <x:v>397141eb8a813045075ac2be3098d3b136ebaf4d597c08fca627922a75e443b7</x:v>
      </x:c>
      <x:c r="Q578" t="str">
        <x:v>data/raw/ptm45_lp_vds_0p05v_raw.txt</x:v>
      </x:c>
    </x:row>
    <x:row r="579">
      <x:c r="A579" t="str">
        <x:v>PTM</x:v>
      </x:c>
      <x:c r="B579" t="str">
        <x:v>NMOS</x:v>
      </x:c>
      <x:c r="C579" s="97" t="n">
        <x:v>45</x:v>
      </x:c>
      <x:c r="D579" s="97" t="str">
        <x:v>LP</x:v>
      </x:c>
      <x:c r="E579" s="99" t="n">
        <x:v>1</x:v>
      </x:c>
      <x:c r="F579" s="99" t="n">
        <x:v>0.045</x:v>
      </x:c>
      <x:c r="G579" s="99" t="n">
        <x:v>25</x:v>
      </x:c>
      <x:c r="H579" s="99" t="n">
        <x:v>0.05</x:v>
      </x:c>
      <x:c r="I579" s="99" t="n">
        <x:v>0.2750000000000002</x:v>
      </x:c>
      <x:c r="J579" s="98" t="n">
        <x:v>4.808909906961059e-9</x:v>
      </x:c>
      <x:c r="K579" t="str">
        <x:v>low_vds</x:v>
      </x:c>
      <x:c r="L579" t="str">
        <x:v>low_drain_bias</x:v>
      </x:c>
      <x:c r="M579" t="n">
        <x:v>1.1</x:v>
      </x:c>
      <x:c r="N579" t="str">
        <x:v>simulation</x:v>
      </x:c>
      <x:c r="O579" t="str">
        <x:v>ngspice</x:v>
      </x:c>
      <x:c r="P579" t="str">
        <x:v>397141eb8a813045075ac2be3098d3b136ebaf4d597c08fca627922a75e443b7</x:v>
      </x:c>
      <x:c r="Q579" t="str">
        <x:v>data/raw/ptm45_lp_vds_0p05v_raw.txt</x:v>
      </x:c>
    </x:row>
    <x:row r="580">
      <x:c r="A580" t="str">
        <x:v>PTM</x:v>
      </x:c>
      <x:c r="B580" t="str">
        <x:v>NMOS</x:v>
      </x:c>
      <x:c r="C580" s="97" t="n">
        <x:v>45</x:v>
      </x:c>
      <x:c r="D580" s="97" t="str">
        <x:v>LP</x:v>
      </x:c>
      <x:c r="E580" s="99" t="n">
        <x:v>1</x:v>
      </x:c>
      <x:c r="F580" s="99" t="n">
        <x:v>0.045</x:v>
      </x:c>
      <x:c r="G580" s="99" t="n">
        <x:v>25</x:v>
      </x:c>
      <x:c r="H580" s="99" t="n">
        <x:v>0.05</x:v>
      </x:c>
      <x:c r="I580" s="99" t="n">
        <x:v>0.2800000000000002</x:v>
      </x:c>
      <x:c r="J580" s="98" t="n">
        <x:v>5.481673274709095e-9</x:v>
      </x:c>
      <x:c r="K580" t="str">
        <x:v>low_vds</x:v>
      </x:c>
      <x:c r="L580" t="str">
        <x:v>low_drain_bias</x:v>
      </x:c>
      <x:c r="M580" t="n">
        <x:v>1.1</x:v>
      </x:c>
      <x:c r="N580" t="str">
        <x:v>simulation</x:v>
      </x:c>
      <x:c r="O580" t="str">
        <x:v>ngspice</x:v>
      </x:c>
      <x:c r="P580" t="str">
        <x:v>397141eb8a813045075ac2be3098d3b136ebaf4d597c08fca627922a75e443b7</x:v>
      </x:c>
      <x:c r="Q580" t="str">
        <x:v>data/raw/ptm45_lp_vds_0p05v_raw.txt</x:v>
      </x:c>
    </x:row>
    <x:row r="581">
      <x:c r="A581" t="str">
        <x:v>PTM</x:v>
      </x:c>
      <x:c r="B581" t="str">
        <x:v>NMOS</x:v>
      </x:c>
      <x:c r="C581" s="97" t="n">
        <x:v>45</x:v>
      </x:c>
      <x:c r="D581" s="97" t="str">
        <x:v>LP</x:v>
      </x:c>
      <x:c r="E581" s="99" t="n">
        <x:v>1</x:v>
      </x:c>
      <x:c r="F581" s="99" t="n">
        <x:v>0.045</x:v>
      </x:c>
      <x:c r="G581" s="99" t="n">
        <x:v>25</x:v>
      </x:c>
      <x:c r="H581" s="99" t="n">
        <x:v>0.05</x:v>
      </x:c>
      <x:c r="I581" s="99" t="n">
        <x:v>0.2850000000000003</x:v>
      </x:c>
      <x:c r="J581" s="98" t="n">
        <x:v>6.247492304837046e-9</x:v>
      </x:c>
      <x:c r="K581" t="str">
        <x:v>low_vds</x:v>
      </x:c>
      <x:c r="L581" t="str">
        <x:v>low_drain_bias</x:v>
      </x:c>
      <x:c r="M581" t="n">
        <x:v>1.1</x:v>
      </x:c>
      <x:c r="N581" t="str">
        <x:v>simulation</x:v>
      </x:c>
      <x:c r="O581" t="str">
        <x:v>ngspice</x:v>
      </x:c>
      <x:c r="P581" t="str">
        <x:v>397141eb8a813045075ac2be3098d3b136ebaf4d597c08fca627922a75e443b7</x:v>
      </x:c>
      <x:c r="Q581" t="str">
        <x:v>data/raw/ptm45_lp_vds_0p05v_raw.txt</x:v>
      </x:c>
    </x:row>
    <x:row r="582">
      <x:c r="A582" t="str">
        <x:v>PTM</x:v>
      </x:c>
      <x:c r="B582" t="str">
        <x:v>NMOS</x:v>
      </x:c>
      <x:c r="C582" s="97" t="n">
        <x:v>45</x:v>
      </x:c>
      <x:c r="D582" s="97" t="str">
        <x:v>LP</x:v>
      </x:c>
      <x:c r="E582" s="99" t="n">
        <x:v>1</x:v>
      </x:c>
      <x:c r="F582" s="99" t="n">
        <x:v>0.045</x:v>
      </x:c>
      <x:c r="G582" s="99" t="n">
        <x:v>25</x:v>
      </x:c>
      <x:c r="H582" s="99" t="n">
        <x:v>0.05</x:v>
      </x:c>
      <x:c r="I582" s="99" t="n">
        <x:v>0.2900000000000003</x:v>
      </x:c>
      <x:c r="J582" s="98" t="n">
        <x:v>7.119015414392598e-9</x:v>
      </x:c>
      <x:c r="K582" t="str">
        <x:v>low_vds</x:v>
      </x:c>
      <x:c r="L582" t="str">
        <x:v>low_drain_bias</x:v>
      </x:c>
      <x:c r="M582" t="n">
        <x:v>1.1</x:v>
      </x:c>
      <x:c r="N582" t="str">
        <x:v>simulation</x:v>
      </x:c>
      <x:c r="O582" t="str">
        <x:v>ngspice</x:v>
      </x:c>
      <x:c r="P582" t="str">
        <x:v>397141eb8a813045075ac2be3098d3b136ebaf4d597c08fca627922a75e443b7</x:v>
      </x:c>
      <x:c r="Q582" t="str">
        <x:v>data/raw/ptm45_lp_vds_0p05v_raw.txt</x:v>
      </x:c>
    </x:row>
    <x:row r="583">
      <x:c r="A583" t="str">
        <x:v>PTM</x:v>
      </x:c>
      <x:c r="B583" t="str">
        <x:v>NMOS</x:v>
      </x:c>
      <x:c r="C583" s="97" t="n">
        <x:v>45</x:v>
      </x:c>
      <x:c r="D583" s="97" t="str">
        <x:v>LP</x:v>
      </x:c>
      <x:c r="E583" s="99" t="n">
        <x:v>1</x:v>
      </x:c>
      <x:c r="F583" s="99" t="n">
        <x:v>0.045</x:v>
      </x:c>
      <x:c r="G583" s="99" t="n">
        <x:v>25</x:v>
      </x:c>
      <x:c r="H583" s="99" t="n">
        <x:v>0.05</x:v>
      </x:c>
      <x:c r="I583" s="99" t="n">
        <x:v>0.2950000000000003</x:v>
      </x:c>
      <x:c r="J583" s="98" t="n">
        <x:v>8.110564274577018e-9</x:v>
      </x:c>
      <x:c r="K583" t="str">
        <x:v>low_vds</x:v>
      </x:c>
      <x:c r="L583" t="str">
        <x:v>low_drain_bias</x:v>
      </x:c>
      <x:c r="M583" t="n">
        <x:v>1.1</x:v>
      </x:c>
      <x:c r="N583" t="str">
        <x:v>simulation</x:v>
      </x:c>
      <x:c r="O583" t="str">
        <x:v>ngspice</x:v>
      </x:c>
      <x:c r="P583" t="str">
        <x:v>397141eb8a813045075ac2be3098d3b136ebaf4d597c08fca627922a75e443b7</x:v>
      </x:c>
      <x:c r="Q583" t="str">
        <x:v>data/raw/ptm45_lp_vds_0p05v_raw.txt</x:v>
      </x:c>
    </x:row>
    <x:row r="584">
      <x:c r="A584" t="str">
        <x:v>PTM</x:v>
      </x:c>
      <x:c r="B584" t="str">
        <x:v>NMOS</x:v>
      </x:c>
      <x:c r="C584" s="97" t="n">
        <x:v>45</x:v>
      </x:c>
      <x:c r="D584" s="97" t="str">
        <x:v>LP</x:v>
      </x:c>
      <x:c r="E584" s="99" t="n">
        <x:v>1</x:v>
      </x:c>
      <x:c r="F584" s="99" t="n">
        <x:v>0.045</x:v>
      </x:c>
      <x:c r="G584" s="99" t="n">
        <x:v>25</x:v>
      </x:c>
      <x:c r="H584" s="99" t="n">
        <x:v>0.05</x:v>
      </x:c>
      <x:c r="I584" s="99" t="n">
        <x:v>0.3000000000000003</x:v>
      </x:c>
      <x:c r="J584" s="98" t="n">
        <x:v>9.238345877294907e-9</x:v>
      </x:c>
      <x:c r="K584" t="str">
        <x:v>low_vds</x:v>
      </x:c>
      <x:c r="L584" t="str">
        <x:v>low_drain_bias</x:v>
      </x:c>
      <x:c r="M584" t="n">
        <x:v>1.1</x:v>
      </x:c>
      <x:c r="N584" t="str">
        <x:v>simulation</x:v>
      </x:c>
      <x:c r="O584" t="str">
        <x:v>ngspice</x:v>
      </x:c>
      <x:c r="P584" t="str">
        <x:v>397141eb8a813045075ac2be3098d3b136ebaf4d597c08fca627922a75e443b7</x:v>
      </x:c>
      <x:c r="Q584" t="str">
        <x:v>data/raw/ptm45_lp_vds_0p05v_raw.txt</x:v>
      </x:c>
    </x:row>
    <x:row r="585">
      <x:c r="A585" t="str">
        <x:v>PTM</x:v>
      </x:c>
      <x:c r="B585" t="str">
        <x:v>NMOS</x:v>
      </x:c>
      <x:c r="C585" s="97" t="n">
        <x:v>45</x:v>
      </x:c>
      <x:c r="D585" s="97" t="str">
        <x:v>LP</x:v>
      </x:c>
      <x:c r="E585" s="99" t="n">
        <x:v>1</x:v>
      </x:c>
      <x:c r="F585" s="99" t="n">
        <x:v>0.045</x:v>
      </x:c>
      <x:c r="G585" s="99" t="n">
        <x:v>25</x:v>
      </x:c>
      <x:c r="H585" s="99" t="n">
        <x:v>0.05</x:v>
      </x:c>
      <x:c r="I585" s="99" t="n">
        <x:v>0.3050000000000003</x:v>
      </x:c>
      <x:c r="J585" s="98" t="n">
        <x:v>1.052068965007405e-8</x:v>
      </x:c>
      <x:c r="K585" t="str">
        <x:v>low_vds</x:v>
      </x:c>
      <x:c r="L585" t="str">
        <x:v>low_drain_bias</x:v>
      </x:c>
      <x:c r="M585" t="n">
        <x:v>1.1</x:v>
      </x:c>
      <x:c r="N585" t="str">
        <x:v>simulation</x:v>
      </x:c>
      <x:c r="O585" t="str">
        <x:v>ngspice</x:v>
      </x:c>
      <x:c r="P585" t="str">
        <x:v>397141eb8a813045075ac2be3098d3b136ebaf4d597c08fca627922a75e443b7</x:v>
      </x:c>
      <x:c r="Q585" t="str">
        <x:v>data/raw/ptm45_lp_vds_0p05v_raw.txt</x:v>
      </x:c>
    </x:row>
    <x:row r="586">
      <x:c r="A586" t="str">
        <x:v>PTM</x:v>
      </x:c>
      <x:c r="B586" t="str">
        <x:v>NMOS</x:v>
      </x:c>
      <x:c r="C586" s="97" t="n">
        <x:v>45</x:v>
      </x:c>
      <x:c r="D586" s="97" t="str">
        <x:v>LP</x:v>
      </x:c>
      <x:c r="E586" s="99" t="n">
        <x:v>1</x:v>
      </x:c>
      <x:c r="F586" s="99" t="n">
        <x:v>0.045</x:v>
      </x:c>
      <x:c r="G586" s="99" t="n">
        <x:v>25</x:v>
      </x:c>
      <x:c r="H586" s="99" t="n">
        <x:v>0.05</x:v>
      </x:c>
      <x:c r="I586" s="99" t="n">
        <x:v>0.3100000000000003</x:v>
      </x:c>
      <x:c r="J586" s="98" t="n">
        <x:v>1.197831222973496e-8</x:v>
      </x:c>
      <x:c r="K586" t="str">
        <x:v>low_vds</x:v>
      </x:c>
      <x:c r="L586" t="str">
        <x:v>low_drain_bias</x:v>
      </x:c>
      <x:c r="M586" t="n">
        <x:v>1.1</x:v>
      </x:c>
      <x:c r="N586" t="str">
        <x:v>simulation</x:v>
      </x:c>
      <x:c r="O586" t="str">
        <x:v>ngspice</x:v>
      </x:c>
      <x:c r="P586" t="str">
        <x:v>397141eb8a813045075ac2be3098d3b136ebaf4d597c08fca627922a75e443b7</x:v>
      </x:c>
      <x:c r="Q586" t="str">
        <x:v>data/raw/ptm45_lp_vds_0p05v_raw.txt</x:v>
      </x:c>
    </x:row>
    <x:row r="587">
      <x:c r="A587" t="str">
        <x:v>PTM</x:v>
      </x:c>
      <x:c r="B587" t="str">
        <x:v>NMOS</x:v>
      </x:c>
      <x:c r="C587" s="97" t="n">
        <x:v>45</x:v>
      </x:c>
      <x:c r="D587" s="97" t="str">
        <x:v>LP</x:v>
      </x:c>
      <x:c r="E587" s="99" t="n">
        <x:v>1</x:v>
      </x:c>
      <x:c r="F587" s="99" t="n">
        <x:v>0.045</x:v>
      </x:c>
      <x:c r="G587" s="99" t="n">
        <x:v>25</x:v>
      </x:c>
      <x:c r="H587" s="99" t="n">
        <x:v>0.05</x:v>
      </x:c>
      <x:c r="I587" s="99" t="n">
        <x:v>0.3150000000000003</x:v>
      </x:c>
      <x:c r="J587" s="98" t="n">
        <x:v>1.363461271360835e-8</x:v>
      </x:c>
      <x:c r="K587" t="str">
        <x:v>low_vds</x:v>
      </x:c>
      <x:c r="L587" t="str">
        <x:v>low_drain_bias</x:v>
      </x:c>
      <x:c r="M587" t="n">
        <x:v>1.1</x:v>
      </x:c>
      <x:c r="N587" t="str">
        <x:v>simulation</x:v>
      </x:c>
      <x:c r="O587" t="str">
        <x:v>ngspice</x:v>
      </x:c>
      <x:c r="P587" t="str">
        <x:v>397141eb8a813045075ac2be3098d3b136ebaf4d597c08fca627922a75e443b7</x:v>
      </x:c>
      <x:c r="Q587" t="str">
        <x:v>data/raw/ptm45_lp_vds_0p05v_raw.txt</x:v>
      </x:c>
    </x:row>
    <x:row r="588">
      <x:c r="A588" t="str">
        <x:v>PTM</x:v>
      </x:c>
      <x:c r="B588" t="str">
        <x:v>NMOS</x:v>
      </x:c>
      <x:c r="C588" s="97" t="n">
        <x:v>45</x:v>
      </x:c>
      <x:c r="D588" s="97" t="str">
        <x:v>LP</x:v>
      </x:c>
      <x:c r="E588" s="99" t="n">
        <x:v>1</x:v>
      </x:c>
      <x:c r="F588" s="99" t="n">
        <x:v>0.045</x:v>
      </x:c>
      <x:c r="G588" s="99" t="n">
        <x:v>25</x:v>
      </x:c>
      <x:c r="H588" s="99" t="n">
        <x:v>0.05</x:v>
      </x:c>
      <x:c r="I588" s="99" t="n">
        <x:v>0.3200000000000003</x:v>
      </x:c>
      <x:c r="J588" s="98" t="n">
        <x:v>1.551600142100748e-8</x:v>
      </x:c>
      <x:c r="K588" t="str">
        <x:v>low_vds</x:v>
      </x:c>
      <x:c r="L588" t="str">
        <x:v>low_drain_bias</x:v>
      </x:c>
      <x:c r="M588" t="n">
        <x:v>1.1</x:v>
      </x:c>
      <x:c r="N588" t="str">
        <x:v>simulation</x:v>
      </x:c>
      <x:c r="O588" t="str">
        <x:v>ngspice</x:v>
      </x:c>
      <x:c r="P588" t="str">
        <x:v>397141eb8a813045075ac2be3098d3b136ebaf4d597c08fca627922a75e443b7</x:v>
      </x:c>
      <x:c r="Q588" t="str">
        <x:v>data/raw/ptm45_lp_vds_0p05v_raw.txt</x:v>
      </x:c>
    </x:row>
    <x:row r="589">
      <x:c r="A589" t="str">
        <x:v>PTM</x:v>
      </x:c>
      <x:c r="B589" t="str">
        <x:v>NMOS</x:v>
      </x:c>
      <x:c r="C589" s="97" t="n">
        <x:v>45</x:v>
      </x:c>
      <x:c r="D589" s="97" t="str">
        <x:v>LP</x:v>
      </x:c>
      <x:c r="E589" s="99" t="n">
        <x:v>1</x:v>
      </x:c>
      <x:c r="F589" s="99" t="n">
        <x:v>0.045</x:v>
      </x:c>
      <x:c r="G589" s="99" t="n">
        <x:v>25</x:v>
      </x:c>
      <x:c r="H589" s="99" t="n">
        <x:v>0.05</x:v>
      </x:c>
      <x:c r="I589" s="99" t="n">
        <x:v>0.3250000000000003</x:v>
      </x:c>
      <x:c r="J589" s="98" t="n">
        <x:v>1.765226541520319e-8</x:v>
      </x:c>
      <x:c r="K589" t="str">
        <x:v>low_vds</x:v>
      </x:c>
      <x:c r="L589" t="str">
        <x:v>low_drain_bias</x:v>
      </x:c>
      <x:c r="M589" t="n">
        <x:v>1.1</x:v>
      </x:c>
      <x:c r="N589" t="str">
        <x:v>simulation</x:v>
      </x:c>
      <x:c r="O589" t="str">
        <x:v>ngspice</x:v>
      </x:c>
      <x:c r="P589" t="str">
        <x:v>397141eb8a813045075ac2be3098d3b136ebaf4d597c08fca627922a75e443b7</x:v>
      </x:c>
      <x:c r="Q589" t="str">
        <x:v>data/raw/ptm45_lp_vds_0p05v_raw.txt</x:v>
      </x:c>
    </x:row>
    <x:row r="590">
      <x:c r="A590" t="str">
        <x:v>PTM</x:v>
      </x:c>
      <x:c r="B590" t="str">
        <x:v>NMOS</x:v>
      </x:c>
      <x:c r="C590" s="97" t="n">
        <x:v>45</x:v>
      </x:c>
      <x:c r="D590" s="97" t="str">
        <x:v>LP</x:v>
      </x:c>
      <x:c r="E590" s="99" t="n">
        <x:v>1</x:v>
      </x:c>
      <x:c r="F590" s="99" t="n">
        <x:v>0.045</x:v>
      </x:c>
      <x:c r="G590" s="99" t="n">
        <x:v>25</x:v>
      </x:c>
      <x:c r="H590" s="99" t="n">
        <x:v>0.05</x:v>
      </x:c>
      <x:c r="I590" s="99" t="n">
        <x:v>0.3300000000000003</x:v>
      </x:c>
      <x:c r="J590" s="98" t="n">
        <x:v>2.00769742551071e-8</x:v>
      </x:c>
      <x:c r="K590" t="str">
        <x:v>low_vds</x:v>
      </x:c>
      <x:c r="L590" t="str">
        <x:v>low_drain_bias</x:v>
      </x:c>
      <x:c r="M590" t="n">
        <x:v>1.1</x:v>
      </x:c>
      <x:c r="N590" t="str">
        <x:v>simulation</x:v>
      </x:c>
      <x:c r="O590" t="str">
        <x:v>ngspice</x:v>
      </x:c>
      <x:c r="P590" t="str">
        <x:v>397141eb8a813045075ac2be3098d3b136ebaf4d597c08fca627922a75e443b7</x:v>
      </x:c>
      <x:c r="Q590" t="str">
        <x:v>data/raw/ptm45_lp_vds_0p05v_raw.txt</x:v>
      </x:c>
    </x:row>
    <x:row r="591">
      <x:c r="A591" t="str">
        <x:v>PTM</x:v>
      </x:c>
      <x:c r="B591" t="str">
        <x:v>NMOS</x:v>
      </x:c>
      <x:c r="C591" s="97" t="n">
        <x:v>45</x:v>
      </x:c>
      <x:c r="D591" s="97" t="str">
        <x:v>LP</x:v>
      </x:c>
      <x:c r="E591" s="99" t="n">
        <x:v>1</x:v>
      </x:c>
      <x:c r="F591" s="99" t="n">
        <x:v>0.045</x:v>
      </x:c>
      <x:c r="G591" s="99" t="n">
        <x:v>25</x:v>
      </x:c>
      <x:c r="H591" s="99" t="n">
        <x:v>0.05</x:v>
      </x:c>
      <x:c r="I591" s="99" t="n">
        <x:v>0.3350000000000003</x:v>
      </x:c>
      <x:c r="J591" s="98" t="n">
        <x:v>2.282792966379158e-8</x:v>
      </x:c>
      <x:c r="K591" t="str">
        <x:v>low_vds</x:v>
      </x:c>
      <x:c r="L591" t="str">
        <x:v>low_drain_bias</x:v>
      </x:c>
      <x:c r="M591" t="n">
        <x:v>1.1</x:v>
      </x:c>
      <x:c r="N591" t="str">
        <x:v>simulation</x:v>
      </x:c>
      <x:c r="O591" t="str">
        <x:v>ngspice</x:v>
      </x:c>
      <x:c r="P591" t="str">
        <x:v>397141eb8a813045075ac2be3098d3b136ebaf4d597c08fca627922a75e443b7</x:v>
      </x:c>
      <x:c r="Q591" t="str">
        <x:v>data/raw/ptm45_lp_vds_0p05v_raw.txt</x:v>
      </x:c>
    </x:row>
    <x:row r="592">
      <x:c r="A592" t="str">
        <x:v>PTM</x:v>
      </x:c>
      <x:c r="B592" t="str">
        <x:v>NMOS</x:v>
      </x:c>
      <x:c r="C592" s="97" t="n">
        <x:v>45</x:v>
      </x:c>
      <x:c r="D592" s="97" t="str">
        <x:v>LP</x:v>
      </x:c>
      <x:c r="E592" s="99" t="n">
        <x:v>1</x:v>
      </x:c>
      <x:c r="F592" s="99" t="n">
        <x:v>0.045</x:v>
      </x:c>
      <x:c r="G592" s="99" t="n">
        <x:v>25</x:v>
      </x:c>
      <x:c r="H592" s="99" t="n">
        <x:v>0.05</x:v>
      </x:c>
      <x:c r="I592" s="99" t="n">
        <x:v>0.3400000000000003</x:v>
      </x:c>
      <x:c r="J592" s="98" t="n">
        <x:v>2.594766301505618e-8</x:v>
      </x:c>
      <x:c r="K592" t="str">
        <x:v>low_vds</x:v>
      </x:c>
      <x:c r="L592" t="str">
        <x:v>low_drain_bias</x:v>
      </x:c>
      <x:c r="M592" t="n">
        <x:v>1.1</x:v>
      </x:c>
      <x:c r="N592" t="str">
        <x:v>simulation</x:v>
      </x:c>
      <x:c r="O592" t="str">
        <x:v>ngspice</x:v>
      </x:c>
      <x:c r="P592" t="str">
        <x:v>397141eb8a813045075ac2be3098d3b136ebaf4d597c08fca627922a75e443b7</x:v>
      </x:c>
      <x:c r="Q592" t="str">
        <x:v>data/raw/ptm45_lp_vds_0p05v_raw.txt</x:v>
      </x:c>
    </x:row>
    <x:row r="593">
      <x:c r="A593" t="str">
        <x:v>PTM</x:v>
      </x:c>
      <x:c r="B593" t="str">
        <x:v>NMOS</x:v>
      </x:c>
      <x:c r="C593" s="97" t="n">
        <x:v>45</x:v>
      </x:c>
      <x:c r="D593" s="97" t="str">
        <x:v>LP</x:v>
      </x:c>
      <x:c r="E593" s="99" t="n">
        <x:v>1</x:v>
      </x:c>
      <x:c r="F593" s="99" t="n">
        <x:v>0.045</x:v>
      </x:c>
      <x:c r="G593" s="99" t="n">
        <x:v>25</x:v>
      </x:c>
      <x:c r="H593" s="99" t="n">
        <x:v>0.05</x:v>
      </x:c>
      <x:c r="I593" s="99" t="n">
        <x:v>0.3450000000000003</x:v>
      </x:c>
      <x:c r="J593" s="98" t="n">
        <x:v>2.948398474657207e-8</x:v>
      </x:c>
      <x:c r="K593" t="str">
        <x:v>low_vds</x:v>
      </x:c>
      <x:c r="L593" t="str">
        <x:v>low_drain_bias</x:v>
      </x:c>
      <x:c r="M593" t="n">
        <x:v>1.1</x:v>
      </x:c>
      <x:c r="N593" t="str">
        <x:v>simulation</x:v>
      </x:c>
      <x:c r="O593" t="str">
        <x:v>ngspice</x:v>
      </x:c>
      <x:c r="P593" t="str">
        <x:v>397141eb8a813045075ac2be3098d3b136ebaf4d597c08fca627922a75e443b7</x:v>
      </x:c>
      <x:c r="Q593" t="str">
        <x:v>data/raw/ptm45_lp_vds_0p05v_raw.txt</x:v>
      </x:c>
    </x:row>
    <x:row r="594">
      <x:c r="A594" t="str">
        <x:v>PTM</x:v>
      </x:c>
      <x:c r="B594" t="str">
        <x:v>NMOS</x:v>
      </x:c>
      <x:c r="C594" s="97" t="n">
        <x:v>45</x:v>
      </x:c>
      <x:c r="D594" s="97" t="str">
        <x:v>LP</x:v>
      </x:c>
      <x:c r="E594" s="99" t="n">
        <x:v>1</x:v>
      </x:c>
      <x:c r="F594" s="99" t="n">
        <x:v>0.045</x:v>
      </x:c>
      <x:c r="G594" s="99" t="n">
        <x:v>25</x:v>
      </x:c>
      <x:c r="H594" s="99" t="n">
        <x:v>0.05</x:v>
      </x:c>
      <x:c r="I594" s="99" t="n">
        <x:v>0.3500000000000003</x:v>
      </x:c>
      <x:c r="J594" s="98" t="n">
        <x:v>3.349058931206693e-8</x:v>
      </x:c>
      <x:c r="K594" t="str">
        <x:v>low_vds</x:v>
      </x:c>
      <x:c r="L594" t="str">
        <x:v>low_drain_bias</x:v>
      </x:c>
      <x:c r="M594" t="n">
        <x:v>1.1</x:v>
      </x:c>
      <x:c r="N594" t="str">
        <x:v>simulation</x:v>
      </x:c>
      <x:c r="O594" t="str">
        <x:v>ngspice</x:v>
      </x:c>
      <x:c r="P594" t="str">
        <x:v>397141eb8a813045075ac2be3098d3b136ebaf4d597c08fca627922a75e443b7</x:v>
      </x:c>
      <x:c r="Q594" t="str">
        <x:v>data/raw/ptm45_lp_vds_0p05v_raw.txt</x:v>
      </x:c>
    </x:row>
    <x:row r="595">
      <x:c r="A595" t="str">
        <x:v>PTM</x:v>
      </x:c>
      <x:c r="B595" t="str">
        <x:v>NMOS</x:v>
      </x:c>
      <x:c r="C595" s="97" t="n">
        <x:v>45</x:v>
      </x:c>
      <x:c r="D595" s="97" t="str">
        <x:v>LP</x:v>
      </x:c>
      <x:c r="E595" s="99" t="n">
        <x:v>1</x:v>
      </x:c>
      <x:c r="F595" s="99" t="n">
        <x:v>0.045</x:v>
      </x:c>
      <x:c r="G595" s="99" t="n">
        <x:v>25</x:v>
      </x:c>
      <x:c r="H595" s="99" t="n">
        <x:v>0.05</x:v>
      </x:c>
      <x:c r="I595" s="99" t="n">
        <x:v>0.3550000000000003</x:v>
      </x:c>
      <x:c r="J595" s="98" t="n">
        <x:v>3.802771883703065e-8</x:v>
      </x:c>
      <x:c r="K595" t="str">
        <x:v>low_vds</x:v>
      </x:c>
      <x:c r="L595" t="str">
        <x:v>low_drain_bias</x:v>
      </x:c>
      <x:c r="M595" t="n">
        <x:v>1.1</x:v>
      </x:c>
      <x:c r="N595" t="str">
        <x:v>simulation</x:v>
      </x:c>
      <x:c r="O595" t="str">
        <x:v>ngspice</x:v>
      </x:c>
      <x:c r="P595" t="str">
        <x:v>397141eb8a813045075ac2be3098d3b136ebaf4d597c08fca627922a75e443b7</x:v>
      </x:c>
      <x:c r="Q595" t="str">
        <x:v>data/raw/ptm45_lp_vds_0p05v_raw.txt</x:v>
      </x:c>
    </x:row>
    <x:row r="596">
      <x:c r="A596" t="str">
        <x:v>PTM</x:v>
      </x:c>
      <x:c r="B596" t="str">
        <x:v>NMOS</x:v>
      </x:c>
      <x:c r="C596" s="97" t="n">
        <x:v>45</x:v>
      </x:c>
      <x:c r="D596" s="97" t="str">
        <x:v>LP</x:v>
      </x:c>
      <x:c r="E596" s="99" t="n">
        <x:v>1</x:v>
      </x:c>
      <x:c r="F596" s="99" t="n">
        <x:v>0.045</x:v>
      </x:c>
      <x:c r="G596" s="99" t="n">
        <x:v>25</x:v>
      </x:c>
      <x:c r="H596" s="99" t="n">
        <x:v>0.05</x:v>
      </x:c>
      <x:c r="I596" s="99" t="n">
        <x:v>0.3600000000000003</x:v>
      </x:c>
      <x:c r="J596" s="98" t="n">
        <x:v>4.316289994553782e-8</x:v>
      </x:c>
      <x:c r="K596" t="str">
        <x:v>low_vds</x:v>
      </x:c>
      <x:c r="L596" t="str">
        <x:v>low_drain_bias</x:v>
      </x:c>
      <x:c r="M596" t="n">
        <x:v>1.1</x:v>
      </x:c>
      <x:c r="N596" t="str">
        <x:v>simulation</x:v>
      </x:c>
      <x:c r="O596" t="str">
        <x:v>ngspice</x:v>
      </x:c>
      <x:c r="P596" t="str">
        <x:v>397141eb8a813045075ac2be3098d3b136ebaf4d597c08fca627922a75e443b7</x:v>
      </x:c>
      <x:c r="Q596" t="str">
        <x:v>data/raw/ptm45_lp_vds_0p05v_raw.txt</x:v>
      </x:c>
    </x:row>
    <x:row r="597">
      <x:c r="A597" t="str">
        <x:v>PTM</x:v>
      </x:c>
      <x:c r="B597" t="str">
        <x:v>NMOS</x:v>
      </x:c>
      <x:c r="C597" s="97" t="n">
        <x:v>45</x:v>
      </x:c>
      <x:c r="D597" s="97" t="str">
        <x:v>LP</x:v>
      </x:c>
      <x:c r="E597" s="99" t="n">
        <x:v>1</x:v>
      </x:c>
      <x:c r="F597" s="99" t="n">
        <x:v>0.045</x:v>
      </x:c>
      <x:c r="G597" s="99" t="n">
        <x:v>25</x:v>
      </x:c>
      <x:c r="H597" s="99" t="n">
        <x:v>0.05</x:v>
      </x:c>
      <x:c r="I597" s="99" t="n">
        <x:v>0.3650000000000003</x:v>
      </x:c>
      <x:c r="J597" s="98" t="n">
        <x:v>4.89717439185264e-8</x:v>
      </x:c>
      <x:c r="K597" t="str">
        <x:v>low_vds</x:v>
      </x:c>
      <x:c r="L597" t="str">
        <x:v>low_drain_bias</x:v>
      </x:c>
      <x:c r="M597" t="n">
        <x:v>1.1</x:v>
      </x:c>
      <x:c r="N597" t="str">
        <x:v>simulation</x:v>
      </x:c>
      <x:c r="O597" t="str">
        <x:v>ngspice</x:v>
      </x:c>
      <x:c r="P597" t="str">
        <x:v>397141eb8a813045075ac2be3098d3b136ebaf4d597c08fca627922a75e443b7</x:v>
      </x:c>
      <x:c r="Q597" t="str">
        <x:v>data/raw/ptm45_lp_vds_0p05v_raw.txt</x:v>
      </x:c>
    </x:row>
    <x:row r="598">
      <x:c r="A598" t="str">
        <x:v>PTM</x:v>
      </x:c>
      <x:c r="B598" t="str">
        <x:v>NMOS</x:v>
      </x:c>
      <x:c r="C598" s="97" t="n">
        <x:v>45</x:v>
      </x:c>
      <x:c r="D598" s="97" t="str">
        <x:v>LP</x:v>
      </x:c>
      <x:c r="E598" s="99" t="n">
        <x:v>1</x:v>
      </x:c>
      <x:c r="F598" s="99" t="n">
        <x:v>0.045</x:v>
      </x:c>
      <x:c r="G598" s="99" t="n">
        <x:v>25</x:v>
      </x:c>
      <x:c r="H598" s="99" t="n">
        <x:v>0.05</x:v>
      </x:c>
      <x:c r="I598" s="99" t="n">
        <x:v>0.3700000000000003</x:v>
      </x:c>
      <x:c r="J598" s="98" t="n">
        <x:v>5.553882326565451e-8</x:v>
      </x:c>
      <x:c r="K598" t="str">
        <x:v>low_vds</x:v>
      </x:c>
      <x:c r="L598" t="str">
        <x:v>low_drain_bias</x:v>
      </x:c>
      <x:c r="M598" t="n">
        <x:v>1.1</x:v>
      </x:c>
      <x:c r="N598" t="str">
        <x:v>simulation</x:v>
      </x:c>
      <x:c r="O598" t="str">
        <x:v>ngspice</x:v>
      </x:c>
      <x:c r="P598" t="str">
        <x:v>397141eb8a813045075ac2be3098d3b136ebaf4d597c08fca627922a75e443b7</x:v>
      </x:c>
      <x:c r="Q598" t="str">
        <x:v>data/raw/ptm45_lp_vds_0p05v_raw.txt</x:v>
      </x:c>
    </x:row>
    <x:row r="599">
      <x:c r="A599" t="str">
        <x:v>PTM</x:v>
      </x:c>
      <x:c r="B599" t="str">
        <x:v>NMOS</x:v>
      </x:c>
      <x:c r="C599" s="97" t="n">
        <x:v>45</x:v>
      </x:c>
      <x:c r="D599" s="97" t="str">
        <x:v>LP</x:v>
      </x:c>
      <x:c r="E599" s="99" t="n">
        <x:v>1</x:v>
      </x:c>
      <x:c r="F599" s="99" t="n">
        <x:v>0.045</x:v>
      </x:c>
      <x:c r="G599" s="99" t="n">
        <x:v>25</x:v>
      </x:c>
      <x:c r="H599" s="99" t="n">
        <x:v>0.05</x:v>
      </x:c>
      <x:c r="I599" s="99" t="n">
        <x:v>0.3750000000000003</x:v>
      </x:c>
      <x:c r="J599" s="98" t="n">
        <x:v>6.295862884976257e-8</x:v>
      </x:c>
      <x:c r="K599" t="str">
        <x:v>low_vds</x:v>
      </x:c>
      <x:c r="L599" t="str">
        <x:v>low_drain_bias</x:v>
      </x:c>
      <x:c r="M599" t="n">
        <x:v>1.1</x:v>
      </x:c>
      <x:c r="N599" t="str">
        <x:v>simulation</x:v>
      </x:c>
      <x:c r="O599" t="str">
        <x:v>ngspice</x:v>
      </x:c>
      <x:c r="P599" t="str">
        <x:v>397141eb8a813045075ac2be3098d3b136ebaf4d597c08fca627922a75e443b7</x:v>
      </x:c>
      <x:c r="Q599" t="str">
        <x:v>data/raw/ptm45_lp_vds_0p05v_raw.txt</x:v>
      </x:c>
    </x:row>
    <x:row r="600">
      <x:c r="A600" t="str">
        <x:v>PTM</x:v>
      </x:c>
      <x:c r="B600" t="str">
        <x:v>NMOS</x:v>
      </x:c>
      <x:c r="C600" s="97" t="n">
        <x:v>45</x:v>
      </x:c>
      <x:c r="D600" s="97" t="str">
        <x:v>LP</x:v>
      </x:c>
      <x:c r="E600" s="99" t="n">
        <x:v>1</x:v>
      </x:c>
      <x:c r="F600" s="99" t="n">
        <x:v>0.045</x:v>
      </x:c>
      <x:c r="G600" s="99" t="n">
        <x:v>25</x:v>
      </x:c>
      <x:c r="H600" s="99" t="n">
        <x:v>0.05</x:v>
      </x:c>
      <x:c r="I600" s="99" t="n">
        <x:v>0.3800000000000003</x:v>
      </x:c>
      <x:c r="J600" s="98" t="n">
        <x:v>7.133661228844433e-8</x:v>
      </x:c>
      <x:c r="K600" t="str">
        <x:v>low_vds</x:v>
      </x:c>
      <x:c r="L600" t="str">
        <x:v>low_drain_bias</x:v>
      </x:c>
      <x:c r="M600" t="n">
        <x:v>1.1</x:v>
      </x:c>
      <x:c r="N600" t="str">
        <x:v>simulation</x:v>
      </x:c>
      <x:c r="O600" t="str">
        <x:v>ngspice</x:v>
      </x:c>
      <x:c r="P600" t="str">
        <x:v>397141eb8a813045075ac2be3098d3b136ebaf4d597c08fca627922a75e443b7</x:v>
      </x:c>
      <x:c r="Q600" t="str">
        <x:v>data/raw/ptm45_lp_vds_0p05v_raw.txt</x:v>
      </x:c>
    </x:row>
    <x:row r="601">
      <x:c r="A601" t="str">
        <x:v>PTM</x:v>
      </x:c>
      <x:c r="B601" t="str">
        <x:v>NMOS</x:v>
      </x:c>
      <x:c r="C601" s="97" t="n">
        <x:v>45</x:v>
      </x:c>
      <x:c r="D601" s="97" t="str">
        <x:v>LP</x:v>
      </x:c>
      <x:c r="E601" s="99" t="n">
        <x:v>1</x:v>
      </x:c>
      <x:c r="F601" s="99" t="n">
        <x:v>0.045</x:v>
      </x:c>
      <x:c r="G601" s="99" t="n">
        <x:v>25</x:v>
      </x:c>
      <x:c r="H601" s="99" t="n">
        <x:v>0.05</x:v>
      </x:c>
      <x:c r="I601" s="99" t="n">
        <x:v>0.3850000000000003</x:v>
      </x:c>
      <x:c r="J601" s="98" t="n">
        <x:v>8.079031880995757e-8</x:v>
      </x:c>
      <x:c r="K601" t="str">
        <x:v>low_vds</x:v>
      </x:c>
      <x:c r="L601" t="str">
        <x:v>low_drain_bias</x:v>
      </x:c>
      <x:c r="M601" t="n">
        <x:v>1.1</x:v>
      </x:c>
      <x:c r="N601" t="str">
        <x:v>simulation</x:v>
      </x:c>
      <x:c r="O601" t="str">
        <x:v>ngspice</x:v>
      </x:c>
      <x:c r="P601" t="str">
        <x:v>397141eb8a813045075ac2be3098d3b136ebaf4d597c08fca627922a75e443b7</x:v>
      </x:c>
      <x:c r="Q601" t="str">
        <x:v>data/raw/ptm45_lp_vds_0p05v_raw.txt</x:v>
      </x:c>
    </x:row>
    <x:row r="602">
      <x:c r="A602" t="str">
        <x:v>PTM</x:v>
      </x:c>
      <x:c r="B602" t="str">
        <x:v>NMOS</x:v>
      </x:c>
      <x:c r="C602" s="97" t="n">
        <x:v>45</x:v>
      </x:c>
      <x:c r="D602" s="97" t="str">
        <x:v>LP</x:v>
      </x:c>
      <x:c r="E602" s="99" t="n">
        <x:v>1</x:v>
      </x:c>
      <x:c r="F602" s="99" t="n">
        <x:v>0.045</x:v>
      </x:c>
      <x:c r="G602" s="99" t="n">
        <x:v>25</x:v>
      </x:c>
      <x:c r="H602" s="99" t="n">
        <x:v>0.05</x:v>
      </x:c>
      <x:c r="I602" s="99" t="n">
        <x:v>0.3900000000000003</x:v>
      </x:c>
      <x:c r="J602" s="98" t="n">
        <x:v>9.145061576946838e-8</x:v>
      </x:c>
      <x:c r="K602" t="str">
        <x:v>low_vds</x:v>
      </x:c>
      <x:c r="L602" t="str">
        <x:v>low_drain_bias</x:v>
      </x:c>
      <x:c r="M602" t="n">
        <x:v>1.1</x:v>
      </x:c>
      <x:c r="N602" t="str">
        <x:v>simulation</x:v>
      </x:c>
      <x:c r="O602" t="str">
        <x:v>ngspice</x:v>
      </x:c>
      <x:c r="P602" t="str">
        <x:v>397141eb8a813045075ac2be3098d3b136ebaf4d597c08fca627922a75e443b7</x:v>
      </x:c>
      <x:c r="Q602" t="str">
        <x:v>data/raw/ptm45_lp_vds_0p05v_raw.txt</x:v>
      </x:c>
    </x:row>
    <x:row r="603">
      <x:c r="A603" t="str">
        <x:v>PTM</x:v>
      </x:c>
      <x:c r="B603" t="str">
        <x:v>NMOS</x:v>
      </x:c>
      <x:c r="C603" s="97" t="n">
        <x:v>45</x:v>
      </x:c>
      <x:c r="D603" s="97" t="str">
        <x:v>LP</x:v>
      </x:c>
      <x:c r="E603" s="99" t="n">
        <x:v>1</x:v>
      </x:c>
      <x:c r="F603" s="99" t="n">
        <x:v>0.045</x:v>
      </x:c>
      <x:c r="G603" s="99" t="n">
        <x:v>25</x:v>
      </x:c>
      <x:c r="H603" s="99" t="n">
        <x:v>0.05</x:v>
      </x:c>
      <x:c r="I603" s="99" t="n">
        <x:v>0.3950000000000004</x:v>
      </x:c>
      <x:c r="J603" s="98" t="n">
        <x:v>1.034630220329183e-7</x:v>
      </x:c>
      <x:c r="K603" t="str">
        <x:v>low_vds</x:v>
      </x:c>
      <x:c r="L603" t="str">
        <x:v>low_drain_bias</x:v>
      </x:c>
      <x:c r="M603" t="n">
        <x:v>1.1</x:v>
      </x:c>
      <x:c r="N603" t="str">
        <x:v>simulation</x:v>
      </x:c>
      <x:c r="O603" t="str">
        <x:v>ngspice</x:v>
      </x:c>
      <x:c r="P603" t="str">
        <x:v>397141eb8a813045075ac2be3098d3b136ebaf4d597c08fca627922a75e443b7</x:v>
      </x:c>
      <x:c r="Q603" t="str">
        <x:v>data/raw/ptm45_lp_vds_0p05v_raw.txt</x:v>
      </x:c>
    </x:row>
    <x:row r="604">
      <x:c r="A604" t="str">
        <x:v>PTM</x:v>
      </x:c>
      <x:c r="B604" t="str">
        <x:v>NMOS</x:v>
      </x:c>
      <x:c r="C604" s="97" t="n">
        <x:v>45</x:v>
      </x:c>
      <x:c r="D604" s="97" t="str">
        <x:v>LP</x:v>
      </x:c>
      <x:c r="E604" s="99" t="n">
        <x:v>1</x:v>
      </x:c>
      <x:c r="F604" s="99" t="n">
        <x:v>0.045</x:v>
      </x:c>
      <x:c r="G604" s="99" t="n">
        <x:v>25</x:v>
      </x:c>
      <x:c r="H604" s="99" t="n">
        <x:v>0.05</x:v>
      </x:c>
      <x:c r="I604" s="99" t="n">
        <x:v>0.4000000000000004</x:v>
      </x:c>
      <x:c r="J604" s="98" t="n">
        <x:v>1.169891434073012e-7</x:v>
      </x:c>
      <x:c r="K604" t="str">
        <x:v>low_vds</x:v>
      </x:c>
      <x:c r="L604" t="str">
        <x:v>low_drain_bias</x:v>
      </x:c>
      <x:c r="M604" t="n">
        <x:v>1.1</x:v>
      </x:c>
      <x:c r="N604" t="str">
        <x:v>simulation</x:v>
      </x:c>
      <x:c r="O604" t="str">
        <x:v>ngspice</x:v>
      </x:c>
      <x:c r="P604" t="str">
        <x:v>397141eb8a813045075ac2be3098d3b136ebaf4d597c08fca627922a75e443b7</x:v>
      </x:c>
      <x:c r="Q604" t="str">
        <x:v>data/raw/ptm45_lp_vds_0p05v_raw.txt</x:v>
      </x:c>
    </x:row>
    <x:row r="605">
      <x:c r="A605" t="str">
        <x:v>PTM</x:v>
      </x:c>
      <x:c r="B605" t="str">
        <x:v>NMOS</x:v>
      </x:c>
      <x:c r="C605" s="97" t="n">
        <x:v>45</x:v>
      </x:c>
      <x:c r="D605" s="97" t="str">
        <x:v>LP</x:v>
      </x:c>
      <x:c r="E605" s="99" t="n">
        <x:v>1</x:v>
      </x:c>
      <x:c r="F605" s="99" t="n">
        <x:v>0.045</x:v>
      </x:c>
      <x:c r="G605" s="99" t="n">
        <x:v>25</x:v>
      </x:c>
      <x:c r="H605" s="99" t="n">
        <x:v>0.05</x:v>
      </x:c>
      <x:c r="I605" s="99" t="n">
        <x:v>0.4050000000000004</x:v>
      </x:c>
      <x:c r="J605" s="98" t="n">
        <x:v>1.322082192337008e-7</x:v>
      </x:c>
      <x:c r="K605" t="str">
        <x:v>low_vds</x:v>
      </x:c>
      <x:c r="L605" t="str">
        <x:v>low_drain_bias</x:v>
      </x:c>
      <x:c r="M605" t="n">
        <x:v>1.1</x:v>
      </x:c>
      <x:c r="N605" t="str">
        <x:v>simulation</x:v>
      </x:c>
      <x:c r="O605" t="str">
        <x:v>ngspice</x:v>
      </x:c>
      <x:c r="P605" t="str">
        <x:v>397141eb8a813045075ac2be3098d3b136ebaf4d597c08fca627922a75e443b7</x:v>
      </x:c>
      <x:c r="Q605" t="str">
        <x:v>data/raw/ptm45_lp_vds_0p05v_raw.txt</x:v>
      </x:c>
    </x:row>
    <x:row r="606">
      <x:c r="A606" t="str">
        <x:v>PTM</x:v>
      </x:c>
      <x:c r="B606" t="str">
        <x:v>NMOS</x:v>
      </x:c>
      <x:c r="C606" s="97" t="n">
        <x:v>45</x:v>
      </x:c>
      <x:c r="D606" s="97" t="str">
        <x:v>LP</x:v>
      </x:c>
      <x:c r="E606" s="99" t="n">
        <x:v>1</x:v>
      </x:c>
      <x:c r="F606" s="99" t="n">
        <x:v>0.045</x:v>
      </x:c>
      <x:c r="G606" s="99" t="n">
        <x:v>25</x:v>
      </x:c>
      <x:c r="H606" s="99" t="n">
        <x:v>0.05</x:v>
      </x:c>
      <x:c r="I606" s="99" t="n">
        <x:v>0.4100000000000004</x:v>
      </x:c>
      <x:c r="J606" s="98" t="n">
        <x:v>1.493187851546932e-7</x:v>
      </x:c>
      <x:c r="K606" t="str">
        <x:v>low_vds</x:v>
      </x:c>
      <x:c r="L606" t="str">
        <x:v>low_drain_bias</x:v>
      </x:c>
      <x:c r="M606" t="n">
        <x:v>1.1</x:v>
      </x:c>
      <x:c r="N606" t="str">
        <x:v>simulation</x:v>
      </x:c>
      <x:c r="O606" t="str">
        <x:v>ngspice</x:v>
      </x:c>
      <x:c r="P606" t="str">
        <x:v>397141eb8a813045075ac2be3098d3b136ebaf4d597c08fca627922a75e443b7</x:v>
      </x:c>
      <x:c r="Q606" t="str">
        <x:v>data/raw/ptm45_lp_vds_0p05v_raw.txt</x:v>
      </x:c>
    </x:row>
    <x:row r="607">
      <x:c r="A607" t="str">
        <x:v>PTM</x:v>
      </x:c>
      <x:c r="B607" t="str">
        <x:v>NMOS</x:v>
      </x:c>
      <x:c r="C607" s="97" t="n">
        <x:v>45</x:v>
      </x:c>
      <x:c r="D607" s="97" t="str">
        <x:v>LP</x:v>
      </x:c>
      <x:c r="E607" s="99" t="n">
        <x:v>1</x:v>
      </x:c>
      <x:c r="F607" s="99" t="n">
        <x:v>0.045</x:v>
      </x:c>
      <x:c r="G607" s="99" t="n">
        <x:v>25</x:v>
      </x:c>
      <x:c r="H607" s="99" t="n">
        <x:v>0.05</x:v>
      </x:c>
      <x:c r="I607" s="99" t="n">
        <x:v>0.4150000000000004</x:v>
      </x:c>
      <x:c r="J607" s="98" t="n">
        <x:v>1.685404569066141e-7</x:v>
      </x:c>
      <x:c r="K607" t="str">
        <x:v>low_vds</x:v>
      </x:c>
      <x:c r="L607" t="str">
        <x:v>low_drain_bias</x:v>
      </x:c>
      <x:c r="M607" t="n">
        <x:v>1.1</x:v>
      </x:c>
      <x:c r="N607" t="str">
        <x:v>simulation</x:v>
      </x:c>
      <x:c r="O607" t="str">
        <x:v>ngspice</x:v>
      </x:c>
      <x:c r="P607" t="str">
        <x:v>397141eb8a813045075ac2be3098d3b136ebaf4d597c08fca627922a75e443b7</x:v>
      </x:c>
      <x:c r="Q607" t="str">
        <x:v>data/raw/ptm45_lp_vds_0p05v_raw.txt</x:v>
      </x:c>
    </x:row>
    <x:row r="608">
      <x:c r="A608" t="str">
        <x:v>PTM</x:v>
      </x:c>
      <x:c r="B608" t="str">
        <x:v>NMOS</x:v>
      </x:c>
      <x:c r="C608" s="97" t="n">
        <x:v>45</x:v>
      </x:c>
      <x:c r="D608" s="97" t="str">
        <x:v>LP</x:v>
      </x:c>
      <x:c r="E608" s="99" t="n">
        <x:v>1</x:v>
      </x:c>
      <x:c r="F608" s="99" t="n">
        <x:v>0.045</x:v>
      </x:c>
      <x:c r="G608" s="99" t="n">
        <x:v>25</x:v>
      </x:c>
      <x:c r="H608" s="99" t="n">
        <x:v>0.05</x:v>
      </x:c>
      <x:c r="I608" s="99" t="n">
        <x:v>0.4200000000000004</x:v>
      </x:c>
      <x:c r="J608" s="98" t="n">
        <x:v>1.901158397465179e-7</x:v>
      </x:c>
      <x:c r="K608" t="str">
        <x:v>low_vds</x:v>
      </x:c>
      <x:c r="L608" t="str">
        <x:v>low_drain_bias</x:v>
      </x:c>
      <x:c r="M608" t="n">
        <x:v>1.1</x:v>
      </x:c>
      <x:c r="N608" t="str">
        <x:v>simulation</x:v>
      </x:c>
      <x:c r="O608" t="str">
        <x:v>ngspice</x:v>
      </x:c>
      <x:c r="P608" t="str">
        <x:v>397141eb8a813045075ac2be3098d3b136ebaf4d597c08fca627922a75e443b7</x:v>
      </x:c>
      <x:c r="Q608" t="str">
        <x:v>data/raw/ptm45_lp_vds_0p05v_raw.txt</x:v>
      </x:c>
    </x:row>
    <x:row r="609">
      <x:c r="A609" t="str">
        <x:v>PTM</x:v>
      </x:c>
      <x:c r="B609" t="str">
        <x:v>NMOS</x:v>
      </x:c>
      <x:c r="C609" s="97" t="n">
        <x:v>45</x:v>
      </x:c>
      <x:c r="D609" s="97" t="str">
        <x:v>LP</x:v>
      </x:c>
      <x:c r="E609" s="99" t="n">
        <x:v>1</x:v>
      </x:c>
      <x:c r="F609" s="99" t="n">
        <x:v>0.045</x:v>
      </x:c>
      <x:c r="G609" s="99" t="n">
        <x:v>25</x:v>
      </x:c>
      <x:c r="H609" s="99" t="n">
        <x:v>0.05</x:v>
      </x:c>
      <x:c r="I609" s="99" t="n">
        <x:v>0.4250000000000004</x:v>
      </x:c>
      <x:c r="J609" s="98" t="n">
        <x:v>2.143125677680449e-7</x:v>
      </x:c>
      <x:c r="K609" t="str">
        <x:v>low_vds</x:v>
      </x:c>
      <x:c r="L609" t="str">
        <x:v>low_drain_bias</x:v>
      </x:c>
      <x:c r="M609" t="n">
        <x:v>1.1</x:v>
      </x:c>
      <x:c r="N609" t="str">
        <x:v>simulation</x:v>
      </x:c>
      <x:c r="O609" t="str">
        <x:v>ngspice</x:v>
      </x:c>
      <x:c r="P609" t="str">
        <x:v>397141eb8a813045075ac2be3098d3b136ebaf4d597c08fca627922a75e443b7</x:v>
      </x:c>
      <x:c r="Q609" t="str">
        <x:v>data/raw/ptm45_lp_vds_0p05v_raw.txt</x:v>
      </x:c>
    </x:row>
    <x:row r="610">
      <x:c r="A610" t="str">
        <x:v>PTM</x:v>
      </x:c>
      <x:c r="B610" t="str">
        <x:v>NMOS</x:v>
      </x:c>
      <x:c r="C610" s="97" t="n">
        <x:v>45</x:v>
      </x:c>
      <x:c r="D610" s="97" t="str">
        <x:v>LP</x:v>
      </x:c>
      <x:c r="E610" s="99" t="n">
        <x:v>1</x:v>
      </x:c>
      <x:c r="F610" s="99" t="n">
        <x:v>0.045</x:v>
      </x:c>
      <x:c r="G610" s="99" t="n">
        <x:v>25</x:v>
      </x:c>
      <x:c r="H610" s="99" t="n">
        <x:v>0.05</x:v>
      </x:c>
      <x:c r="I610" s="99" t="n">
        <x:v>0.4300000000000004</x:v>
      </x:c>
      <x:c r="J610" s="98" t="n">
        <x:v>2.414254768380302e-7</x:v>
      </x:c>
      <x:c r="K610" t="str">
        <x:v>low_vds</x:v>
      </x:c>
      <x:c r="L610" t="str">
        <x:v>low_drain_bias</x:v>
      </x:c>
      <x:c r="M610" t="n">
        <x:v>1.1</x:v>
      </x:c>
      <x:c r="N610" t="str">
        <x:v>simulation</x:v>
      </x:c>
      <x:c r="O610" t="str">
        <x:v>ngspice</x:v>
      </x:c>
      <x:c r="P610" t="str">
        <x:v>397141eb8a813045075ac2be3098d3b136ebaf4d597c08fca627922a75e443b7</x:v>
      </x:c>
      <x:c r="Q610" t="str">
        <x:v>data/raw/ptm45_lp_vds_0p05v_raw.txt</x:v>
      </x:c>
    </x:row>
    <x:row r="611">
      <x:c r="A611" t="str">
        <x:v>PTM</x:v>
      </x:c>
      <x:c r="B611" t="str">
        <x:v>NMOS</x:v>
      </x:c>
      <x:c r="C611" s="97" t="n">
        <x:v>45</x:v>
      </x:c>
      <x:c r="D611" s="97" t="str">
        <x:v>LP</x:v>
      </x:c>
      <x:c r="E611" s="99" t="n">
        <x:v>1</x:v>
      </x:c>
      <x:c r="F611" s="99" t="n">
        <x:v>0.045</x:v>
      </x:c>
      <x:c r="G611" s="99" t="n">
        <x:v>25</x:v>
      </x:c>
      <x:c r="H611" s="99" t="n">
        <x:v>0.05</x:v>
      </x:c>
      <x:c r="I611" s="99" t="n">
        <x:v>0.4350000000000004</x:v>
      </x:c>
      <x:c r="J611" s="98" t="n">
        <x:v>2.717789141237522e-7</x:v>
      </x:c>
      <x:c r="K611" t="str">
        <x:v>low_vds</x:v>
      </x:c>
      <x:c r="L611" t="str">
        <x:v>low_drain_bias</x:v>
      </x:c>
      <x:c r="M611" t="n">
        <x:v>1.1</x:v>
      </x:c>
      <x:c r="N611" t="str">
        <x:v>simulation</x:v>
      </x:c>
      <x:c r="O611" t="str">
        <x:v>ngspice</x:v>
      </x:c>
      <x:c r="P611" t="str">
        <x:v>397141eb8a813045075ac2be3098d3b136ebaf4d597c08fca627922a75e443b7</x:v>
      </x:c>
      <x:c r="Q611" t="str">
        <x:v>data/raw/ptm45_lp_vds_0p05v_raw.txt</x:v>
      </x:c>
    </x:row>
    <x:row r="612">
      <x:c r="A612" t="str">
        <x:v>PTM</x:v>
      </x:c>
      <x:c r="B612" t="str">
        <x:v>NMOS</x:v>
      </x:c>
      <x:c r="C612" s="97" t="n">
        <x:v>45</x:v>
      </x:c>
      <x:c r="D612" s="97" t="str">
        <x:v>LP</x:v>
      </x:c>
      <x:c r="E612" s="99" t="n">
        <x:v>1</x:v>
      </x:c>
      <x:c r="F612" s="99" t="n">
        <x:v>0.045</x:v>
      </x:c>
      <x:c r="G612" s="99" t="n">
        <x:v>25</x:v>
      </x:c>
      <x:c r="H612" s="99" t="n">
        <x:v>0.05</x:v>
      </x:c>
      <x:c r="I612" s="99" t="n">
        <x:v>0.4400000000000004</x:v>
      </x:c>
      <x:c r="J612" s="98" t="n">
        <x:v>3.057291860809059e-7</x:v>
      </x:c>
      <x:c r="K612" t="str">
        <x:v>low_vds</x:v>
      </x:c>
      <x:c r="L612" t="str">
        <x:v>low_drain_bias</x:v>
      </x:c>
      <x:c r="M612" t="n">
        <x:v>1.1</x:v>
      </x:c>
      <x:c r="N612" t="str">
        <x:v>simulation</x:v>
      </x:c>
      <x:c r="O612" t="str">
        <x:v>ngspice</x:v>
      </x:c>
      <x:c r="P612" t="str">
        <x:v>397141eb8a813045075ac2be3098d3b136ebaf4d597c08fca627922a75e443b7</x:v>
      </x:c>
      <x:c r="Q612" t="str">
        <x:v>data/raw/ptm45_lp_vds_0p05v_raw.txt</x:v>
      </x:c>
    </x:row>
    <x:row r="613">
      <x:c r="A613" t="str">
        <x:v>PTM</x:v>
      </x:c>
      <x:c r="B613" t="str">
        <x:v>NMOS</x:v>
      </x:c>
      <x:c r="C613" s="97" t="n">
        <x:v>45</x:v>
      </x:c>
      <x:c r="D613" s="97" t="str">
        <x:v>LP</x:v>
      </x:c>
      <x:c r="E613" s="99" t="n">
        <x:v>1</x:v>
      </x:c>
      <x:c r="F613" s="99" t="n">
        <x:v>0.045</x:v>
      </x:c>
      <x:c r="G613" s="99" t="n">
        <x:v>25</x:v>
      </x:c>
      <x:c r="H613" s="99" t="n">
        <x:v>0.05</x:v>
      </x:c>
      <x:c r="I613" s="99" t="n">
        <x:v>0.4450000000000004</x:v>
      </x:c>
      <x:c r="J613" s="98" t="n">
        <x:v>3.436671452061365e-7</x:v>
      </x:c>
      <x:c r="K613" t="str">
        <x:v>low_vds</x:v>
      </x:c>
      <x:c r="L613" t="str">
        <x:v>low_drain_bias</x:v>
      </x:c>
      <x:c r="M613" t="n">
        <x:v>1.1</x:v>
      </x:c>
      <x:c r="N613" t="str">
        <x:v>simulation</x:v>
      </x:c>
      <x:c r="O613" t="str">
        <x:v>ngspice</x:v>
      </x:c>
      <x:c r="P613" t="str">
        <x:v>397141eb8a813045075ac2be3098d3b136ebaf4d597c08fca627922a75e443b7</x:v>
      </x:c>
      <x:c r="Q613" t="str">
        <x:v>data/raw/ptm45_lp_vds_0p05v_raw.txt</x:v>
      </x:c>
    </x:row>
    <x:row r="614">
      <x:c r="A614" t="str">
        <x:v>PTM</x:v>
      </x:c>
      <x:c r="B614" t="str">
        <x:v>NMOS</x:v>
      </x:c>
      <x:c r="C614" s="97" t="n">
        <x:v>45</x:v>
      </x:c>
      <x:c r="D614" s="97" t="str">
        <x:v>LP</x:v>
      </x:c>
      <x:c r="E614" s="99" t="n">
        <x:v>1</x:v>
      </x:c>
      <x:c r="F614" s="99" t="n">
        <x:v>0.045</x:v>
      </x:c>
      <x:c r="G614" s="99" t="n">
        <x:v>25</x:v>
      </x:c>
      <x:c r="H614" s="99" t="n">
        <x:v>0.05</x:v>
      </x:c>
      <x:c r="I614" s="99" t="n">
        <x:v>0.4500000000000004</x:v>
      </x:c>
      <x:c r="J614" s="98" t="n">
        <x:v>3.860209136629703e-7</x:v>
      </x:c>
      <x:c r="K614" t="str">
        <x:v>low_vds</x:v>
      </x:c>
      <x:c r="L614" t="str">
        <x:v>low_drain_bias</x:v>
      </x:c>
      <x:c r="M614" t="n">
        <x:v>1.1</x:v>
      </x:c>
      <x:c r="N614" t="str">
        <x:v>simulation</x:v>
      </x:c>
      <x:c r="O614" t="str">
        <x:v>ngspice</x:v>
      </x:c>
      <x:c r="P614" t="str">
        <x:v>397141eb8a813045075ac2be3098d3b136ebaf4d597c08fca627922a75e443b7</x:v>
      </x:c>
      <x:c r="Q614" t="str">
        <x:v>data/raw/ptm45_lp_vds_0p05v_raw.txt</x:v>
      </x:c>
    </x:row>
    <x:row r="615">
      <x:c r="A615" t="str">
        <x:v>PTM</x:v>
      </x:c>
      <x:c r="B615" t="str">
        <x:v>NMOS</x:v>
      </x:c>
      <x:c r="C615" s="97" t="n">
        <x:v>45</x:v>
      </x:c>
      <x:c r="D615" s="97" t="str">
        <x:v>LP</x:v>
      </x:c>
      <x:c r="E615" s="99" t="n">
        <x:v>1</x:v>
      </x:c>
      <x:c r="F615" s="99" t="n">
        <x:v>0.045</x:v>
      </x:c>
      <x:c r="G615" s="99" t="n">
        <x:v>25</x:v>
      </x:c>
      <x:c r="H615" s="99" t="n">
        <x:v>0.05</x:v>
      </x:c>
      <x:c r="I615" s="99" t="n">
        <x:v>0.4550000000000004</x:v>
      </x:c>
      <x:c r="J615" s="98" t="n">
        <x:v>4.332587388677696e-7</x:v>
      </x:c>
      <x:c r="K615" t="str">
        <x:v>low_vds</x:v>
      </x:c>
      <x:c r="L615" t="str">
        <x:v>low_drain_bias</x:v>
      </x:c>
      <x:c r="M615" t="n">
        <x:v>1.1</x:v>
      </x:c>
      <x:c r="N615" t="str">
        <x:v>simulation</x:v>
      </x:c>
      <x:c r="O615" t="str">
        <x:v>ngspice</x:v>
      </x:c>
      <x:c r="P615" t="str">
        <x:v>397141eb8a813045075ac2be3098d3b136ebaf4d597c08fca627922a75e443b7</x:v>
      </x:c>
      <x:c r="Q615" t="str">
        <x:v>data/raw/ptm45_lp_vds_0p05v_raw.txt</x:v>
      </x:c>
    </x:row>
    <x:row r="616">
      <x:c r="A616" t="str">
        <x:v>PTM</x:v>
      </x:c>
      <x:c r="B616" t="str">
        <x:v>NMOS</x:v>
      </x:c>
      <x:c r="C616" s="97" t="n">
        <x:v>45</x:v>
      </x:c>
      <x:c r="D616" s="97" t="str">
        <x:v>LP</x:v>
      </x:c>
      <x:c r="E616" s="99" t="n">
        <x:v>1</x:v>
      </x:c>
      <x:c r="F616" s="99" t="n">
        <x:v>0.045</x:v>
      </x:c>
      <x:c r="G616" s="99" t="n">
        <x:v>25</x:v>
      </x:c>
      <x:c r="H616" s="99" t="n">
        <x:v>0.05</x:v>
      </x:c>
      <x:c r="I616" s="99" t="n">
        <x:v>0.4600000000000004</x:v>
      </x:c>
      <x:c r="J616" s="98" t="n">
        <x:v>4.858919720391194e-7</x:v>
      </x:c>
      <x:c r="K616" t="str">
        <x:v>low_vds</x:v>
      </x:c>
      <x:c r="L616" t="str">
        <x:v>low_drain_bias</x:v>
      </x:c>
      <x:c r="M616" t="n">
        <x:v>1.1</x:v>
      </x:c>
      <x:c r="N616" t="str">
        <x:v>simulation</x:v>
      </x:c>
      <x:c r="O616" t="str">
        <x:v>ngspice</x:v>
      </x:c>
      <x:c r="P616" t="str">
        <x:v>397141eb8a813045075ac2be3098d3b136ebaf4d597c08fca627922a75e443b7</x:v>
      </x:c>
      <x:c r="Q616" t="str">
        <x:v>data/raw/ptm45_lp_vds_0p05v_raw.txt</x:v>
      </x:c>
    </x:row>
    <x:row r="617">
      <x:c r="A617" t="str">
        <x:v>PTM</x:v>
      </x:c>
      <x:c r="B617" t="str">
        <x:v>NMOS</x:v>
      </x:c>
      <x:c r="C617" s="97" t="n">
        <x:v>45</x:v>
      </x:c>
      <x:c r="D617" s="97" t="str">
        <x:v>LP</x:v>
      </x:c>
      <x:c r="E617" s="99" t="n">
        <x:v>1</x:v>
      </x:c>
      <x:c r="F617" s="99" t="n">
        <x:v>0.045</x:v>
      </x:c>
      <x:c r="G617" s="99" t="n">
        <x:v>25</x:v>
      </x:c>
      <x:c r="H617" s="99" t="n">
        <x:v>0.05</x:v>
      </x:c>
      <x:c r="I617" s="99" t="n">
        <x:v>0.4650000000000004</x:v>
      </x:c>
      <x:c r="J617" s="98" t="n">
        <x:v>5.444781553040899e-7</x:v>
      </x:c>
      <x:c r="K617" t="str">
        <x:v>low_vds</x:v>
      </x:c>
      <x:c r="L617" t="str">
        <x:v>low_drain_bias</x:v>
      </x:c>
      <x:c r="M617" t="n">
        <x:v>1.1</x:v>
      </x:c>
      <x:c r="N617" t="str">
        <x:v>simulation</x:v>
      </x:c>
      <x:c r="O617" t="str">
        <x:v>ngspice</x:v>
      </x:c>
      <x:c r="P617" t="str">
        <x:v>397141eb8a813045075ac2be3098d3b136ebaf4d597c08fca627922a75e443b7</x:v>
      </x:c>
      <x:c r="Q617" t="str">
        <x:v>data/raw/ptm45_lp_vds_0p05v_raw.txt</x:v>
      </x:c>
    </x:row>
    <x:row r="618">
      <x:c r="A618" t="str">
        <x:v>PTM</x:v>
      </x:c>
      <x:c r="B618" t="str">
        <x:v>NMOS</x:v>
      </x:c>
      <x:c r="C618" s="97" t="n">
        <x:v>45</x:v>
      </x:c>
      <x:c r="D618" s="97" t="str">
        <x:v>LP</x:v>
      </x:c>
      <x:c r="E618" s="99" t="n">
        <x:v>1</x:v>
      </x:c>
      <x:c r="F618" s="99" t="n">
        <x:v>0.045</x:v>
      </x:c>
      <x:c r="G618" s="99" t="n">
        <x:v>25</x:v>
      </x:c>
      <x:c r="H618" s="99" t="n">
        <x:v>0.05</x:v>
      </x:c>
      <x:c r="I618" s="99" t="n">
        <x:v>0.4700000000000004</x:v>
      </x:c>
      <x:c r="J618" s="98" t="n">
        <x:v>6.096241959300719e-7</x:v>
      </x:c>
      <x:c r="K618" t="str">
        <x:v>low_vds</x:v>
      </x:c>
      <x:c r="L618" t="str">
        <x:v>low_drain_bias</x:v>
      </x:c>
      <x:c r="M618" t="n">
        <x:v>1.1</x:v>
      </x:c>
      <x:c r="N618" t="str">
        <x:v>simulation</x:v>
      </x:c>
      <x:c r="O618" t="str">
        <x:v>ngspice</x:v>
      </x:c>
      <x:c r="P618" t="str">
        <x:v>397141eb8a813045075ac2be3098d3b136ebaf4d597c08fca627922a75e443b7</x:v>
      </x:c>
      <x:c r="Q618" t="str">
        <x:v>data/raw/ptm45_lp_vds_0p05v_raw.txt</x:v>
      </x:c>
    </x:row>
    <x:row r="619">
      <x:c r="A619" t="str">
        <x:v>PTM</x:v>
      </x:c>
      <x:c r="B619" t="str">
        <x:v>NMOS</x:v>
      </x:c>
      <x:c r="C619" s="97" t="n">
        <x:v>45</x:v>
      </x:c>
      <x:c r="D619" s="97" t="str">
        <x:v>LP</x:v>
      </x:c>
      <x:c r="E619" s="99" t="n">
        <x:v>1</x:v>
      </x:c>
      <x:c r="F619" s="99" t="n">
        <x:v>0.045</x:v>
      </x:c>
      <x:c r="G619" s="99" t="n">
        <x:v>25</x:v>
      </x:c>
      <x:c r="H619" s="99" t="n">
        <x:v>0.05</x:v>
      </x:c>
      <x:c r="I619" s="99" t="n">
        <x:v>0.4750000000000004</x:v>
      </x:c>
      <x:c r="J619" s="98" t="n">
        <x:v>6.819895973162571e-7</x:v>
      </x:c>
      <x:c r="K619" t="str">
        <x:v>low_vds</x:v>
      </x:c>
      <x:c r="L619" t="str">
        <x:v>low_drain_bias</x:v>
      </x:c>
      <x:c r="M619" t="n">
        <x:v>1.1</x:v>
      </x:c>
      <x:c r="N619" t="str">
        <x:v>simulation</x:v>
      </x:c>
      <x:c r="O619" t="str">
        <x:v>ngspice</x:v>
      </x:c>
      <x:c r="P619" t="str">
        <x:v>397141eb8a813045075ac2be3098d3b136ebaf4d597c08fca627922a75e443b7</x:v>
      </x:c>
      <x:c r="Q619" t="str">
        <x:v>data/raw/ptm45_lp_vds_0p05v_raw.txt</x:v>
      </x:c>
    </x:row>
    <x:row r="620">
      <x:c r="A620" t="str">
        <x:v>PTM</x:v>
      </x:c>
      <x:c r="B620" t="str">
        <x:v>NMOS</x:v>
      </x:c>
      <x:c r="C620" s="97" t="n">
        <x:v>45</x:v>
      </x:c>
      <x:c r="D620" s="97" t="str">
        <x:v>LP</x:v>
      </x:c>
      <x:c r="E620" s="99" t="n">
        <x:v>1</x:v>
      </x:c>
      <x:c r="F620" s="99" t="n">
        <x:v>0.045</x:v>
      </x:c>
      <x:c r="G620" s="99" t="n">
        <x:v>25</x:v>
      </x:c>
      <x:c r="H620" s="99" t="n">
        <x:v>0.05</x:v>
      </x:c>
      <x:c r="I620" s="99" t="n">
        <x:v>0.4800000000000004</x:v>
      </x:c>
      <x:c r="J620" s="98" t="n">
        <x:v>7.622897052536524e-7</x:v>
      </x:c>
      <x:c r="K620" t="str">
        <x:v>low_vds</x:v>
      </x:c>
      <x:c r="L620" t="str">
        <x:v>low_drain_bias</x:v>
      </x:c>
      <x:c r="M620" t="n">
        <x:v>1.1</x:v>
      </x:c>
      <x:c r="N620" t="str">
        <x:v>simulation</x:v>
      </x:c>
      <x:c r="O620" t="str">
        <x:v>ngspice</x:v>
      </x:c>
      <x:c r="P620" t="str">
        <x:v>397141eb8a813045075ac2be3098d3b136ebaf4d597c08fca627922a75e443b7</x:v>
      </x:c>
      <x:c r="Q620" t="str">
        <x:v>data/raw/ptm45_lp_vds_0p05v_raw.txt</x:v>
      </x:c>
    </x:row>
    <x:row r="621">
      <x:c r="A621" t="str">
        <x:v>PTM</x:v>
      </x:c>
      <x:c r="B621" t="str">
        <x:v>NMOS</x:v>
      </x:c>
      <x:c r="C621" s="97" t="n">
        <x:v>45</x:v>
      </x:c>
      <x:c r="D621" s="97" t="str">
        <x:v>LP</x:v>
      </x:c>
      <x:c r="E621" s="99" t="n">
        <x:v>1</x:v>
      </x:c>
      <x:c r="F621" s="99" t="n">
        <x:v>0.045</x:v>
      </x:c>
      <x:c r="G621" s="99" t="n">
        <x:v>25</x:v>
      </x:c>
      <x:c r="H621" s="99" t="n">
        <x:v>0.05</x:v>
      </x:c>
      <x:c r="I621" s="99" t="n">
        <x:v>0.4850000000000004</x:v>
      </x:c>
      <x:c r="J621" s="98" t="n">
        <x:v>8.512989144139302e-7</x:v>
      </x:c>
      <x:c r="K621" t="str">
        <x:v>low_vds</x:v>
      </x:c>
      <x:c r="L621" t="str">
        <x:v>low_drain_bias</x:v>
      </x:c>
      <x:c r="M621" t="n">
        <x:v>1.1</x:v>
      </x:c>
      <x:c r="N621" t="str">
        <x:v>simulation</x:v>
      </x:c>
      <x:c r="O621" t="str">
        <x:v>ngspice</x:v>
      </x:c>
      <x:c r="P621" t="str">
        <x:v>397141eb8a813045075ac2be3098d3b136ebaf4d597c08fca627922a75e443b7</x:v>
      </x:c>
      <x:c r="Q621" t="str">
        <x:v>data/raw/ptm45_lp_vds_0p05v_raw.txt</x:v>
      </x:c>
    </x:row>
    <x:row r="622">
      <x:c r="A622" t="str">
        <x:v>PTM</x:v>
      </x:c>
      <x:c r="B622" t="str">
        <x:v>NMOS</x:v>
      </x:c>
      <x:c r="C622" s="97" t="n">
        <x:v>45</x:v>
      </x:c>
      <x:c r="D622" s="97" t="str">
        <x:v>LP</x:v>
      </x:c>
      <x:c r="E622" s="99" t="n">
        <x:v>1</x:v>
      </x:c>
      <x:c r="F622" s="99" t="n">
        <x:v>0.045</x:v>
      </x:c>
      <x:c r="G622" s="99" t="n">
        <x:v>25</x:v>
      </x:c>
      <x:c r="H622" s="99" t="n">
        <x:v>0.05</x:v>
      </x:c>
      <x:c r="I622" s="99" t="n">
        <x:v>0.4900000000000004</x:v>
      </x:c>
      <x:c r="J622" s="98" t="n">
        <x:v>9.498537639072341e-7</x:v>
      </x:c>
      <x:c r="K622" t="str">
        <x:v>low_vds</x:v>
      </x:c>
      <x:c r="L622" t="str">
        <x:v>low_drain_bias</x:v>
      </x:c>
      <x:c r="M622" t="n">
        <x:v>1.1</x:v>
      </x:c>
      <x:c r="N622" t="str">
        <x:v>simulation</x:v>
      </x:c>
      <x:c r="O622" t="str">
        <x:v>ngspice</x:v>
      </x:c>
      <x:c r="P622" t="str">
        <x:v>397141eb8a813045075ac2be3098d3b136ebaf4d597c08fca627922a75e443b7</x:v>
      </x:c>
      <x:c r="Q622" t="str">
        <x:v>data/raw/ptm45_lp_vds_0p05v_raw.txt</x:v>
      </x:c>
    </x:row>
    <x:row r="623">
      <x:c r="A623" t="str">
        <x:v>PTM</x:v>
      </x:c>
      <x:c r="B623" t="str">
        <x:v>NMOS</x:v>
      </x:c>
      <x:c r="C623" s="97" t="n">
        <x:v>45</x:v>
      </x:c>
      <x:c r="D623" s="97" t="str">
        <x:v>LP</x:v>
      </x:c>
      <x:c r="E623" s="99" t="n">
        <x:v>1</x:v>
      </x:c>
      <x:c r="F623" s="99" t="n">
        <x:v>0.045</x:v>
      </x:c>
      <x:c r="G623" s="99" t="n">
        <x:v>25</x:v>
      </x:c>
      <x:c r="H623" s="99" t="n">
        <x:v>0.05</x:v>
      </x:c>
      <x:c r="I623" s="99" t="n">
        <x:v>0.4950000000000004</x:v>
      </x:c>
      <x:c r="J623" s="98" t="n">
        <x:v>0.000001058855832045724</x:v>
      </x:c>
      <x:c r="K623" t="str">
        <x:v>low_vds</x:v>
      </x:c>
      <x:c r="L623" t="str">
        <x:v>low_drain_bias</x:v>
      </x:c>
      <x:c r="M623" t="n">
        <x:v>1.1</x:v>
      </x:c>
      <x:c r="N623" t="str">
        <x:v>simulation</x:v>
      </x:c>
      <x:c r="O623" t="str">
        <x:v>ngspice</x:v>
      </x:c>
      <x:c r="P623" t="str">
        <x:v>397141eb8a813045075ac2be3098d3b136ebaf4d597c08fca627922a75e443b7</x:v>
      </x:c>
      <x:c r="Q623" t="str">
        <x:v>data/raw/ptm45_lp_vds_0p05v_raw.txt</x:v>
      </x:c>
    </x:row>
    <x:row r="624">
      <x:c r="A624" t="str">
        <x:v>PTM</x:v>
      </x:c>
      <x:c r="B624" t="str">
        <x:v>NMOS</x:v>
      </x:c>
      <x:c r="C624" s="97" t="n">
        <x:v>45</x:v>
      </x:c>
      <x:c r="D624" s="97" t="str">
        <x:v>LP</x:v>
      </x:c>
      <x:c r="E624" s="99" t="n">
        <x:v>1</x:v>
      </x:c>
      <x:c r="F624" s="99" t="n">
        <x:v>0.045</x:v>
      </x:c>
      <x:c r="G624" s="99" t="n">
        <x:v>25</x:v>
      </x:c>
      <x:c r="H624" s="99" t="n">
        <x:v>0.05</x:v>
      </x:c>
      <x:c r="I624" s="99" t="n">
        <x:v>0.5000000000000004</x:v>
      </x:c>
      <x:c r="J624" s="98" t="n">
        <x:v>0.000001179274319339864</x:v>
      </x:c>
      <x:c r="K624" t="str">
        <x:v>low_vds</x:v>
      </x:c>
      <x:c r="L624" t="str">
        <x:v>low_drain_bias</x:v>
      </x:c>
      <x:c r="M624" t="n">
        <x:v>1.1</x:v>
      </x:c>
      <x:c r="N624" t="str">
        <x:v>simulation</x:v>
      </x:c>
      <x:c r="O624" t="str">
        <x:v>ngspice</x:v>
      </x:c>
      <x:c r="P624" t="str">
        <x:v>397141eb8a813045075ac2be3098d3b136ebaf4d597c08fca627922a75e443b7</x:v>
      </x:c>
      <x:c r="Q624" t="str">
        <x:v>data/raw/ptm45_lp_vds_0p05v_raw.txt</x:v>
      </x:c>
    </x:row>
    <x:row r="625">
      <x:c r="A625" t="str">
        <x:v>PTM</x:v>
      </x:c>
      <x:c r="B625" t="str">
        <x:v>NMOS</x:v>
      </x:c>
      <x:c r="C625" s="97" t="n">
        <x:v>45</x:v>
      </x:c>
      <x:c r="D625" s="97" t="str">
        <x:v>LP</x:v>
      </x:c>
      <x:c r="E625" s="99" t="n">
        <x:v>1</x:v>
      </x:c>
      <x:c r="F625" s="99" t="n">
        <x:v>0.045</x:v>
      </x:c>
      <x:c r="G625" s="99" t="n">
        <x:v>25</x:v>
      </x:c>
      <x:c r="H625" s="99" t="n">
        <x:v>0.05</x:v>
      </x:c>
      <x:c r="I625" s="99" t="n">
        <x:v>0.5050000000000004</x:v>
      </x:c>
      <x:c r="J625" s="98" t="n">
        <x:v>0.000001312148185668279</x:v>
      </x:c>
      <x:c r="K625" t="str">
        <x:v>low_vds</x:v>
      </x:c>
      <x:c r="L625" t="str">
        <x:v>low_drain_bias</x:v>
      </x:c>
      <x:c r="M625" t="n">
        <x:v>1.1</x:v>
      </x:c>
      <x:c r="N625" t="str">
        <x:v>simulation</x:v>
      </x:c>
      <x:c r="O625" t="str">
        <x:v>ngspice</x:v>
      </x:c>
      <x:c r="P625" t="str">
        <x:v>397141eb8a813045075ac2be3098d3b136ebaf4d597c08fca627922a75e443b7</x:v>
      </x:c>
      <x:c r="Q625" t="str">
        <x:v>data/raw/ptm45_lp_vds_0p05v_raw.txt</x:v>
      </x:c>
    </x:row>
    <x:row r="626">
      <x:c r="A626" t="str">
        <x:v>PTM</x:v>
      </x:c>
      <x:c r="B626" t="str">
        <x:v>NMOS</x:v>
      </x:c>
      <x:c r="C626" s="97" t="n">
        <x:v>45</x:v>
      </x:c>
      <x:c r="D626" s="97" t="str">
        <x:v>LP</x:v>
      </x:c>
      <x:c r="E626" s="99" t="n">
        <x:v>1</x:v>
      </x:c>
      <x:c r="F626" s="99" t="n">
        <x:v>0.045</x:v>
      </x:c>
      <x:c r="G626" s="99" t="n">
        <x:v>25</x:v>
      </x:c>
      <x:c r="H626" s="99" t="n">
        <x:v>0.05</x:v>
      </x:c>
      <x:c r="I626" s="99" t="n">
        <x:v>0.5100000000000005</x:v>
      </x:c>
      <x:c r="J626" s="98" t="n">
        <x:v>0.000001458587683238821</x:v>
      </x:c>
      <x:c r="K626" t="str">
        <x:v>low_vds</x:v>
      </x:c>
      <x:c r="L626" t="str">
        <x:v>low_drain_bias</x:v>
      </x:c>
      <x:c r="M626" t="n">
        <x:v>1.1</x:v>
      </x:c>
      <x:c r="N626" t="str">
        <x:v>simulation</x:v>
      </x:c>
      <x:c r="O626" t="str">
        <x:v>ngspice</x:v>
      </x:c>
      <x:c r="P626" t="str">
        <x:v>397141eb8a813045075ac2be3098d3b136ebaf4d597c08fca627922a75e443b7</x:v>
      </x:c>
      <x:c r="Q626" t="str">
        <x:v>data/raw/ptm45_lp_vds_0p05v_raw.txt</x:v>
      </x:c>
    </x:row>
    <x:row r="627">
      <x:c r="A627" t="str">
        <x:v>PTM</x:v>
      </x:c>
      <x:c r="B627" t="str">
        <x:v>NMOS</x:v>
      </x:c>
      <x:c r="C627" s="97" t="n">
        <x:v>45</x:v>
      </x:c>
      <x:c r="D627" s="97" t="str">
        <x:v>LP</x:v>
      </x:c>
      <x:c r="E627" s="99" t="n">
        <x:v>1</x:v>
      </x:c>
      <x:c r="F627" s="99" t="n">
        <x:v>0.045</x:v>
      </x:c>
      <x:c r="G627" s="99" t="n">
        <x:v>25</x:v>
      </x:c>
      <x:c r="H627" s="99" t="n">
        <x:v>0.05</x:v>
      </x:c>
      <x:c r="I627" s="99" t="n">
        <x:v>0.5150000000000005</x:v>
      </x:c>
      <x:c r="J627" s="98" t="n">
        <x:v>0.00000161977510250753</x:v>
      </x:c>
      <x:c r="K627" t="str">
        <x:v>low_vds</x:v>
      </x:c>
      <x:c r="L627" t="str">
        <x:v>low_drain_bias</x:v>
      </x:c>
      <x:c r="M627" t="n">
        <x:v>1.1</x:v>
      </x:c>
      <x:c r="N627" t="str">
        <x:v>simulation</x:v>
      </x:c>
      <x:c r="O627" t="str">
        <x:v>ngspice</x:v>
      </x:c>
      <x:c r="P627" t="str">
        <x:v>397141eb8a813045075ac2be3098d3b136ebaf4d597c08fca627922a75e443b7</x:v>
      </x:c>
      <x:c r="Q627" t="str">
        <x:v>data/raw/ptm45_lp_vds_0p05v_raw.txt</x:v>
      </x:c>
    </x:row>
    <x:row r="628">
      <x:c r="A628" t="str">
        <x:v>PTM</x:v>
      </x:c>
      <x:c r="B628" t="str">
        <x:v>NMOS</x:v>
      </x:c>
      <x:c r="C628" s="97" t="n">
        <x:v>45</x:v>
      </x:c>
      <x:c r="D628" s="97" t="str">
        <x:v>LP</x:v>
      </x:c>
      <x:c r="E628" s="99" t="n">
        <x:v>1</x:v>
      </x:c>
      <x:c r="F628" s="99" t="n">
        <x:v>0.045</x:v>
      </x:c>
      <x:c r="G628" s="99" t="n">
        <x:v>25</x:v>
      </x:c>
      <x:c r="H628" s="99" t="n">
        <x:v>0.05</x:v>
      </x:c>
      <x:c r="I628" s="99" t="n">
        <x:v>0.5200000000000005</x:v>
      </x:c>
      <x:c r="J628" s="98" t="n">
        <x:v>0.000001796964525159802</x:v>
      </x:c>
      <x:c r="K628" t="str">
        <x:v>low_vds</x:v>
      </x:c>
      <x:c r="L628" t="str">
        <x:v>low_drain_bias</x:v>
      </x:c>
      <x:c r="M628" t="n">
        <x:v>1.1</x:v>
      </x:c>
      <x:c r="N628" t="str">
        <x:v>simulation</x:v>
      </x:c>
      <x:c r="O628" t="str">
        <x:v>ngspice</x:v>
      </x:c>
      <x:c r="P628" t="str">
        <x:v>397141eb8a813045075ac2be3098d3b136ebaf4d597c08fca627922a75e443b7</x:v>
      </x:c>
      <x:c r="Q628" t="str">
        <x:v>data/raw/ptm45_lp_vds_0p05v_raw.txt</x:v>
      </x:c>
    </x:row>
    <x:row r="629">
      <x:c r="A629" t="str">
        <x:v>PTM</x:v>
      </x:c>
      <x:c r="B629" t="str">
        <x:v>NMOS</x:v>
      </x:c>
      <x:c r="C629" s="97" t="n">
        <x:v>45</x:v>
      </x:c>
      <x:c r="D629" s="97" t="str">
        <x:v>LP</x:v>
      </x:c>
      <x:c r="E629" s="99" t="n">
        <x:v>1</x:v>
      </x:c>
      <x:c r="F629" s="99" t="n">
        <x:v>0.045</x:v>
      </x:c>
      <x:c r="G629" s="99" t="n">
        <x:v>25</x:v>
      </x:c>
      <x:c r="H629" s="99" t="n">
        <x:v>0.05</x:v>
      </x:c>
      <x:c r="I629" s="99" t="n">
        <x:v>0.5250000000000005</x:v>
      </x:c>
      <x:c r="J629" s="98" t="n">
        <x:v>0.000001991480358530374</x:v>
      </x:c>
      <x:c r="K629" t="str">
        <x:v>low_vds</x:v>
      </x:c>
      <x:c r="L629" t="str">
        <x:v>low_drain_bias</x:v>
      </x:c>
      <x:c r="M629" t="n">
        <x:v>1.1</x:v>
      </x:c>
      <x:c r="N629" t="str">
        <x:v>simulation</x:v>
      </x:c>
      <x:c r="O629" t="str">
        <x:v>ngspice</x:v>
      </x:c>
      <x:c r="P629" t="str">
        <x:v>397141eb8a813045075ac2be3098d3b136ebaf4d597c08fca627922a75e443b7</x:v>
      </x:c>
      <x:c r="Q629" t="str">
        <x:v>data/raw/ptm45_lp_vds_0p05v_raw.txt</x:v>
      </x:c>
    </x:row>
    <x:row r="630">
      <x:c r="A630" t="str">
        <x:v>PTM</x:v>
      </x:c>
      <x:c r="B630" t="str">
        <x:v>NMOS</x:v>
      </x:c>
      <x:c r="C630" s="97" t="n">
        <x:v>45</x:v>
      </x:c>
      <x:c r="D630" s="97" t="str">
        <x:v>LP</x:v>
      </x:c>
      <x:c r="E630" s="99" t="n">
        <x:v>1</x:v>
      </x:c>
      <x:c r="F630" s="99" t="n">
        <x:v>0.045</x:v>
      </x:c>
      <x:c r="G630" s="99" t="n">
        <x:v>25</x:v>
      </x:c>
      <x:c r="H630" s="99" t="n">
        <x:v>0.05</x:v>
      </x:c>
      <x:c r="I630" s="99" t="n">
        <x:v>0.5300000000000005</x:v>
      </x:c>
      <x:c r="J630" s="98" t="n">
        <x:v>0.000002204714411803858</x:v>
      </x:c>
      <x:c r="K630" t="str">
        <x:v>low_vds</x:v>
      </x:c>
      <x:c r="L630" t="str">
        <x:v>low_drain_bias</x:v>
      </x:c>
      <x:c r="M630" t="n">
        <x:v>1.1</x:v>
      </x:c>
      <x:c r="N630" t="str">
        <x:v>simulation</x:v>
      </x:c>
      <x:c r="O630" t="str">
        <x:v>ngspice</x:v>
      </x:c>
      <x:c r="P630" t="str">
        <x:v>397141eb8a813045075ac2be3098d3b136ebaf4d597c08fca627922a75e443b7</x:v>
      </x:c>
      <x:c r="Q630" t="str">
        <x:v>data/raw/ptm45_lp_vds_0p05v_raw.txt</x:v>
      </x:c>
    </x:row>
    <x:row r="631">
      <x:c r="A631" t="str">
        <x:v>PTM</x:v>
      </x:c>
      <x:c r="B631" t="str">
        <x:v>NMOS</x:v>
      </x:c>
      <x:c r="C631" s="97" t="n">
        <x:v>45</x:v>
      </x:c>
      <x:c r="D631" s="97" t="str">
        <x:v>LP</x:v>
      </x:c>
      <x:c r="E631" s="99" t="n">
        <x:v>1</x:v>
      </x:c>
      <x:c r="F631" s="99" t="n">
        <x:v>0.045</x:v>
      </x:c>
      <x:c r="G631" s="99" t="n">
        <x:v>25</x:v>
      </x:c>
      <x:c r="H631" s="99" t="n">
        <x:v>0.05</x:v>
      </x:c>
      <x:c r="I631" s="99" t="n">
        <x:v>0.5350000000000005</x:v>
      </x:c>
      <x:c r="J631" s="98" t="n">
        <x:v>0.000002438121268702138</x:v>
      </x:c>
      <x:c r="K631" t="str">
        <x:v>low_vds</x:v>
      </x:c>
      <x:c r="L631" t="str">
        <x:v>low_drain_bias</x:v>
      </x:c>
      <x:c r="M631" t="n">
        <x:v>1.1</x:v>
      </x:c>
      <x:c r="N631" t="str">
        <x:v>simulation</x:v>
      </x:c>
      <x:c r="O631" t="str">
        <x:v>ngspice</x:v>
      </x:c>
      <x:c r="P631" t="str">
        <x:v>397141eb8a813045075ac2be3098d3b136ebaf4d597c08fca627922a75e443b7</x:v>
      </x:c>
      <x:c r="Q631" t="str">
        <x:v>data/raw/ptm45_lp_vds_0p05v_raw.txt</x:v>
      </x:c>
    </x:row>
    <x:row r="632">
      <x:c r="A632" t="str">
        <x:v>PTM</x:v>
      </x:c>
      <x:c r="B632" t="str">
        <x:v>NMOS</x:v>
      </x:c>
      <x:c r="C632" s="97" t="n">
        <x:v>45</x:v>
      </x:c>
      <x:c r="D632" s="97" t="str">
        <x:v>LP</x:v>
      </x:c>
      <x:c r="E632" s="99" t="n">
        <x:v>1</x:v>
      </x:c>
      <x:c r="F632" s="99" t="n">
        <x:v>0.045</x:v>
      </x:c>
      <x:c r="G632" s="99" t="n">
        <x:v>25</x:v>
      </x:c>
      <x:c r="H632" s="99" t="n">
        <x:v>0.05</x:v>
      </x:c>
      <x:c r="I632" s="99" t="n">
        <x:v>0.5400000000000005</x:v>
      </x:c>
      <x:c r="J632" s="98" t="n">
        <x:v>0.000002693211717061741</x:v>
      </x:c>
      <x:c r="K632" t="str">
        <x:v>low_vds</x:v>
      </x:c>
      <x:c r="L632" t="str">
        <x:v>low_drain_bias</x:v>
      </x:c>
      <x:c r="M632" t="n">
        <x:v>1.1</x:v>
      </x:c>
      <x:c r="N632" t="str">
        <x:v>simulation</x:v>
      </x:c>
      <x:c r="O632" t="str">
        <x:v>ngspice</x:v>
      </x:c>
      <x:c r="P632" t="str">
        <x:v>397141eb8a813045075ac2be3098d3b136ebaf4d597c08fca627922a75e443b7</x:v>
      </x:c>
      <x:c r="Q632" t="str">
        <x:v>data/raw/ptm45_lp_vds_0p05v_raw.txt</x:v>
      </x:c>
    </x:row>
    <x:row r="633">
      <x:c r="A633" t="str">
        <x:v>PTM</x:v>
      </x:c>
      <x:c r="B633" t="str">
        <x:v>NMOS</x:v>
      </x:c>
      <x:c r="C633" s="97" t="n">
        <x:v>45</x:v>
      </x:c>
      <x:c r="D633" s="97" t="str">
        <x:v>LP</x:v>
      </x:c>
      <x:c r="E633" s="99" t="n">
        <x:v>1</x:v>
      </x:c>
      <x:c r="F633" s="99" t="n">
        <x:v>0.045</x:v>
      </x:c>
      <x:c r="G633" s="99" t="n">
        <x:v>25</x:v>
      </x:c>
      <x:c r="H633" s="99" t="n">
        <x:v>0.05</x:v>
      </x:c>
      <x:c r="I633" s="99" t="n">
        <x:v>0.5450000000000005</x:v>
      </x:c>
      <x:c r="J633" s="98" t="n">
        <x:v>0.000002971544015698264</x:v>
      </x:c>
      <x:c r="K633" t="str">
        <x:v>low_vds</x:v>
      </x:c>
      <x:c r="L633" t="str">
        <x:v>low_drain_bias</x:v>
      </x:c>
      <x:c r="M633" t="n">
        <x:v>1.1</x:v>
      </x:c>
      <x:c r="N633" t="str">
        <x:v>simulation</x:v>
      </x:c>
      <x:c r="O633" t="str">
        <x:v>ngspice</x:v>
      </x:c>
      <x:c r="P633" t="str">
        <x:v>397141eb8a813045075ac2be3098d3b136ebaf4d597c08fca627922a75e443b7</x:v>
      </x:c>
      <x:c r="Q633" t="str">
        <x:v>data/raw/ptm45_lp_vds_0p05v_raw.txt</x:v>
      </x:c>
    </x:row>
    <x:row r="634">
      <x:c r="A634" t="str">
        <x:v>PTM</x:v>
      </x:c>
      <x:c r="B634" t="str">
        <x:v>NMOS</x:v>
      </x:c>
      <x:c r="C634" s="97" t="n">
        <x:v>45</x:v>
      </x:c>
      <x:c r="D634" s="97" t="str">
        <x:v>LP</x:v>
      </x:c>
      <x:c r="E634" s="99" t="n">
        <x:v>1</x:v>
      </x:c>
      <x:c r="F634" s="99" t="n">
        <x:v>0.045</x:v>
      </x:c>
      <x:c r="G634" s="99" t="n">
        <x:v>25</x:v>
      </x:c>
      <x:c r="H634" s="99" t="n">
        <x:v>0.05</x:v>
      </x:c>
      <x:c r="I634" s="99" t="n">
        <x:v>0.5500000000000005</x:v>
      </x:c>
      <x:c r="J634" s="98" t="n">
        <x:v>0.000003274712815971822</x:v>
      </x:c>
      <x:c r="K634" t="str">
        <x:v>low_vds</x:v>
      </x:c>
      <x:c r="L634" t="str">
        <x:v>low_drain_bias</x:v>
      </x:c>
      <x:c r="M634" t="n">
        <x:v>1.1</x:v>
      </x:c>
      <x:c r="N634" t="str">
        <x:v>simulation</x:v>
      </x:c>
      <x:c r="O634" t="str">
        <x:v>ngspice</x:v>
      </x:c>
      <x:c r="P634" t="str">
        <x:v>397141eb8a813045075ac2be3098d3b136ebaf4d597c08fca627922a75e443b7</x:v>
      </x:c>
      <x:c r="Q634" t="str">
        <x:v>data/raw/ptm45_lp_vds_0p05v_raw.txt</x:v>
      </x:c>
    </x:row>
    <x:row r="635">
      <x:c r="A635" t="str">
        <x:v>PTM</x:v>
      </x:c>
      <x:c r="B635" t="str">
        <x:v>NMOS</x:v>
      </x:c>
      <x:c r="C635" s="97" t="n">
        <x:v>45</x:v>
      </x:c>
      <x:c r="D635" s="97" t="str">
        <x:v>LP</x:v>
      </x:c>
      <x:c r="E635" s="99" t="n">
        <x:v>1</x:v>
      </x:c>
      <x:c r="F635" s="99" t="n">
        <x:v>0.045</x:v>
      </x:c>
      <x:c r="G635" s="99" t="n">
        <x:v>25</x:v>
      </x:c>
      <x:c r="H635" s="99" t="n">
        <x:v>0.05</x:v>
      </x:c>
      <x:c r="I635" s="99" t="n">
        <x:v>0.5550000000000005</x:v>
      </x:c>
      <x:c r="J635" s="98" t="n">
        <x:v>0.000003604335611652703</x:v>
      </x:c>
      <x:c r="K635" t="str">
        <x:v>low_vds</x:v>
      </x:c>
      <x:c r="L635" t="str">
        <x:v>low_drain_bias</x:v>
      </x:c>
      <x:c r="M635" t="n">
        <x:v>1.1</x:v>
      </x:c>
      <x:c r="N635" t="str">
        <x:v>simulation</x:v>
      </x:c>
      <x:c r="O635" t="str">
        <x:v>ngspice</x:v>
      </x:c>
      <x:c r="P635" t="str">
        <x:v>397141eb8a813045075ac2be3098d3b136ebaf4d597c08fca627922a75e443b7</x:v>
      </x:c>
      <x:c r="Q635" t="str">
        <x:v>data/raw/ptm45_lp_vds_0p05v_raw.txt</x:v>
      </x:c>
    </x:row>
    <x:row r="636">
      <x:c r="A636" t="str">
        <x:v>PTM</x:v>
      </x:c>
      <x:c r="B636" t="str">
        <x:v>NMOS</x:v>
      </x:c>
      <x:c r="C636" s="97" t="n">
        <x:v>45</x:v>
      </x:c>
      <x:c r="D636" s="97" t="str">
        <x:v>LP</x:v>
      </x:c>
      <x:c r="E636" s="99" t="n">
        <x:v>1</x:v>
      </x:c>
      <x:c r="F636" s="99" t="n">
        <x:v>0.045</x:v>
      </x:c>
      <x:c r="G636" s="99" t="n">
        <x:v>25</x:v>
      </x:c>
      <x:c r="H636" s="99" t="n">
        <x:v>0.05</x:v>
      </x:c>
      <x:c r="I636" s="99" t="n">
        <x:v>0.5600000000000005</x:v>
      </x:c>
      <x:c r="J636" s="98" t="n">
        <x:v>0.000003962036667196897</x:v>
      </x:c>
      <x:c r="K636" t="str">
        <x:v>low_vds</x:v>
      </x:c>
      <x:c r="L636" t="str">
        <x:v>low_drain_bias</x:v>
      </x:c>
      <x:c r="M636" t="n">
        <x:v>1.1</x:v>
      </x:c>
      <x:c r="N636" t="str">
        <x:v>simulation</x:v>
      </x:c>
      <x:c r="O636" t="str">
        <x:v>ngspice</x:v>
      </x:c>
      <x:c r="P636" t="str">
        <x:v>397141eb8a813045075ac2be3098d3b136ebaf4d597c08fca627922a75e443b7</x:v>
      </x:c>
      <x:c r="Q636" t="str">
        <x:v>data/raw/ptm45_lp_vds_0p05v_raw.txt</x:v>
      </x:c>
    </x:row>
    <x:row r="637">
      <x:c r="A637" t="str">
        <x:v>PTM</x:v>
      </x:c>
      <x:c r="B637" t="str">
        <x:v>NMOS</x:v>
      </x:c>
      <x:c r="C637" s="97" t="n">
        <x:v>45</x:v>
      </x:c>
      <x:c r="D637" s="97" t="str">
        <x:v>LP</x:v>
      </x:c>
      <x:c r="E637" s="99" t="n">
        <x:v>1</x:v>
      </x:c>
      <x:c r="F637" s="99" t="n">
        <x:v>0.045</x:v>
      </x:c>
      <x:c r="G637" s="99" t="n">
        <x:v>25</x:v>
      </x:c>
      <x:c r="H637" s="99" t="n">
        <x:v>0.05</x:v>
      </x:c>
      <x:c r="I637" s="99" t="n">
        <x:v>0.5650000000000005</x:v>
      </x:c>
      <x:c r="J637" s="98" t="n">
        <x:v>0.000004349428471117106</x:v>
      </x:c>
      <x:c r="K637" t="str">
        <x:v>low_vds</x:v>
      </x:c>
      <x:c r="L637" t="str">
        <x:v>low_drain_bias</x:v>
      </x:c>
      <x:c r="M637" t="n">
        <x:v>1.1</x:v>
      </x:c>
      <x:c r="N637" t="str">
        <x:v>simulation</x:v>
      </x:c>
      <x:c r="O637" t="str">
        <x:v>ngspice</x:v>
      </x:c>
      <x:c r="P637" t="str">
        <x:v>397141eb8a813045075ac2be3098d3b136ebaf4d597c08fca627922a75e443b7</x:v>
      </x:c>
      <x:c r="Q637" t="str">
        <x:v>data/raw/ptm45_lp_vds_0p05v_raw.txt</x:v>
      </x:c>
    </x:row>
    <x:row r="638">
      <x:c r="A638" t="str">
        <x:v>PTM</x:v>
      </x:c>
      <x:c r="B638" t="str">
        <x:v>NMOS</x:v>
      </x:c>
      <x:c r="C638" s="97" t="n">
        <x:v>45</x:v>
      </x:c>
      <x:c r="D638" s="97" t="str">
        <x:v>LP</x:v>
      </x:c>
      <x:c r="E638" s="99" t="n">
        <x:v>1</x:v>
      </x:c>
      <x:c r="F638" s="99" t="n">
        <x:v>0.045</x:v>
      </x:c>
      <x:c r="G638" s="99" t="n">
        <x:v>25</x:v>
      </x:c>
      <x:c r="H638" s="99" t="n">
        <x:v>0.05</x:v>
      </x:c>
      <x:c r="I638" s="99" t="n">
        <x:v>0.5700000000000005</x:v>
      </x:c>
      <x:c r="J638" s="98" t="n">
        <x:v>0.000004768090875685468</x:v>
      </x:c>
      <x:c r="K638" t="str">
        <x:v>low_vds</x:v>
      </x:c>
      <x:c r="L638" t="str">
        <x:v>low_drain_bias</x:v>
      </x:c>
      <x:c r="M638" t="n">
        <x:v>1.1</x:v>
      </x:c>
      <x:c r="N638" t="str">
        <x:v>simulation</x:v>
      </x:c>
      <x:c r="O638" t="str">
        <x:v>ngspice</x:v>
      </x:c>
      <x:c r="P638" t="str">
        <x:v>397141eb8a813045075ac2be3098d3b136ebaf4d597c08fca627922a75e443b7</x:v>
      </x:c>
      <x:c r="Q638" t="str">
        <x:v>data/raw/ptm45_lp_vds_0p05v_raw.txt</x:v>
      </x:c>
    </x:row>
    <x:row r="639">
      <x:c r="A639" t="str">
        <x:v>PTM</x:v>
      </x:c>
      <x:c r="B639" t="str">
        <x:v>NMOS</x:v>
      </x:c>
      <x:c r="C639" s="97" t="n">
        <x:v>45</x:v>
      </x:c>
      <x:c r="D639" s="97" t="str">
        <x:v>LP</x:v>
      </x:c>
      <x:c r="E639" s="99" t="n">
        <x:v>1</x:v>
      </x:c>
      <x:c r="F639" s="99" t="n">
        <x:v>0.045</x:v>
      </x:c>
      <x:c r="G639" s="99" t="n">
        <x:v>25</x:v>
      </x:c>
      <x:c r="H639" s="99" t="n">
        <x:v>0.05</x:v>
      </x:c>
      <x:c r="I639" s="99" t="n">
        <x:v>0.5750000000000005</x:v>
      </x:c>
      <x:c r="J639" s="98" t="n">
        <x:v>0.000005219548212497711</x:v>
      </x:c>
      <x:c r="K639" t="str">
        <x:v>low_vds</x:v>
      </x:c>
      <x:c r="L639" t="str">
        <x:v>low_drain_bias</x:v>
      </x:c>
      <x:c r="M639" t="n">
        <x:v>1.1</x:v>
      </x:c>
      <x:c r="N639" t="str">
        <x:v>simulation</x:v>
      </x:c>
      <x:c r="O639" t="str">
        <x:v>ngspice</x:v>
      </x:c>
      <x:c r="P639" t="str">
        <x:v>397141eb8a813045075ac2be3098d3b136ebaf4d597c08fca627922a75e443b7</x:v>
      </x:c>
      <x:c r="Q639" t="str">
        <x:v>data/raw/ptm45_lp_vds_0p05v_raw.txt</x:v>
      </x:c>
    </x:row>
    <x:row r="640">
      <x:c r="A640" t="str">
        <x:v>PTM</x:v>
      </x:c>
      <x:c r="B640" t="str">
        <x:v>NMOS</x:v>
      </x:c>
      <x:c r="C640" s="97" t="n">
        <x:v>45</x:v>
      </x:c>
      <x:c r="D640" s="97" t="str">
        <x:v>LP</x:v>
      </x:c>
      <x:c r="E640" s="99" t="n">
        <x:v>1</x:v>
      </x:c>
      <x:c r="F640" s="99" t="n">
        <x:v>0.045</x:v>
      </x:c>
      <x:c r="G640" s="99" t="n">
        <x:v>25</x:v>
      </x:c>
      <x:c r="H640" s="99" t="n">
        <x:v>0.05</x:v>
      </x:c>
      <x:c r="I640" s="99" t="n">
        <x:v>0.5800000000000005</x:v>
      </x:c>
      <x:c r="J640" s="98" t="n">
        <x:v>0.000005705244808932533</x:v>
      </x:c>
      <x:c r="K640" t="str">
        <x:v>low_vds</x:v>
      </x:c>
      <x:c r="L640" t="str">
        <x:v>low_drain_bias</x:v>
      </x:c>
      <x:c r="M640" t="n">
        <x:v>1.1</x:v>
      </x:c>
      <x:c r="N640" t="str">
        <x:v>simulation</x:v>
      </x:c>
      <x:c r="O640" t="str">
        <x:v>ngspice</x:v>
      </x:c>
      <x:c r="P640" t="str">
        <x:v>397141eb8a813045075ac2be3098d3b136ebaf4d597c08fca627922a75e443b7</x:v>
      </x:c>
      <x:c r="Q640" t="str">
        <x:v>data/raw/ptm45_lp_vds_0p05v_raw.txt</x:v>
      </x:c>
    </x:row>
    <x:row r="641">
      <x:c r="A641" t="str">
        <x:v>PTM</x:v>
      </x:c>
      <x:c r="B641" t="str">
        <x:v>NMOS</x:v>
      </x:c>
      <x:c r="C641" s="97" t="n">
        <x:v>45</x:v>
      </x:c>
      <x:c r="D641" s="97" t="str">
        <x:v>LP</x:v>
      </x:c>
      <x:c r="E641" s="99" t="n">
        <x:v>1</x:v>
      </x:c>
      <x:c r="F641" s="99" t="n">
        <x:v>0.045</x:v>
      </x:c>
      <x:c r="G641" s="99" t="n">
        <x:v>25</x:v>
      </x:c>
      <x:c r="H641" s="99" t="n">
        <x:v>0.05</x:v>
      </x:c>
      <x:c r="I641" s="99" t="n">
        <x:v>0.5850000000000005</x:v>
      </x:c>
      <x:c r="J641" s="98" t="n">
        <x:v>0.000006226519464573341</x:v>
      </x:c>
      <x:c r="K641" t="str">
        <x:v>low_vds</x:v>
      </x:c>
      <x:c r="L641" t="str">
        <x:v>low_drain_bias</x:v>
      </x:c>
      <x:c r="M641" t="n">
        <x:v>1.1</x:v>
      </x:c>
      <x:c r="N641" t="str">
        <x:v>simulation</x:v>
      </x:c>
      <x:c r="O641" t="str">
        <x:v>ngspice</x:v>
      </x:c>
      <x:c r="P641" t="str">
        <x:v>397141eb8a813045075ac2be3098d3b136ebaf4d597c08fca627922a75e443b7</x:v>
      </x:c>
      <x:c r="Q641" t="str">
        <x:v>data/raw/ptm45_lp_vds_0p05v_raw.txt</x:v>
      </x:c>
    </x:row>
    <x:row r="642">
      <x:c r="A642" t="str">
        <x:v>PTM</x:v>
      </x:c>
      <x:c r="B642" t="str">
        <x:v>NMOS</x:v>
      </x:c>
      <x:c r="C642" s="97" t="n">
        <x:v>45</x:v>
      </x:c>
      <x:c r="D642" s="97" t="str">
        <x:v>LP</x:v>
      </x:c>
      <x:c r="E642" s="99" t="n">
        <x:v>1</x:v>
      </x:c>
      <x:c r="F642" s="99" t="n">
        <x:v>0.045</x:v>
      </x:c>
      <x:c r="G642" s="99" t="n">
        <x:v>25</x:v>
      </x:c>
      <x:c r="H642" s="99" t="n">
        <x:v>0.05</x:v>
      </x:c>
      <x:c r="I642" s="99" t="n">
        <x:v>0.5900000000000005</x:v>
      </x:c>
      <x:c r="J642" s="98" t="n">
        <x:v>0.000006784579568812331</x:v>
      </x:c>
      <x:c r="K642" t="str">
        <x:v>low_vds</x:v>
      </x:c>
      <x:c r="L642" t="str">
        <x:v>low_drain_bias</x:v>
      </x:c>
      <x:c r="M642" t="n">
        <x:v>1.1</x:v>
      </x:c>
      <x:c r="N642" t="str">
        <x:v>simulation</x:v>
      </x:c>
      <x:c r="O642" t="str">
        <x:v>ngspice</x:v>
      </x:c>
      <x:c r="P642" t="str">
        <x:v>397141eb8a813045075ac2be3098d3b136ebaf4d597c08fca627922a75e443b7</x:v>
      </x:c>
      <x:c r="Q642" t="str">
        <x:v>data/raw/ptm45_lp_vds_0p05v_raw.txt</x:v>
      </x:c>
    </x:row>
    <x:row r="643">
      <x:c r="A643" t="str">
        <x:v>PTM</x:v>
      </x:c>
      <x:c r="B643" t="str">
        <x:v>NMOS</x:v>
      </x:c>
      <x:c r="C643" s="97" t="n">
        <x:v>45</x:v>
      </x:c>
      <x:c r="D643" s="97" t="str">
        <x:v>LP</x:v>
      </x:c>
      <x:c r="E643" s="99" t="n">
        <x:v>1</x:v>
      </x:c>
      <x:c r="F643" s="99" t="n">
        <x:v>0.045</x:v>
      </x:c>
      <x:c r="G643" s="99" t="n">
        <x:v>25</x:v>
      </x:c>
      <x:c r="H643" s="99" t="n">
        <x:v>0.05</x:v>
      </x:c>
      <x:c r="I643" s="99" t="n">
        <x:v>0.5950000000000005</x:v>
      </x:c>
      <x:c r="J643" s="98" t="n">
        <x:v>0.000007380475639850019</x:v>
      </x:c>
      <x:c r="K643" t="str">
        <x:v>low_vds</x:v>
      </x:c>
      <x:c r="L643" t="str">
        <x:v>low_drain_bias</x:v>
      </x:c>
      <x:c r="M643" t="n">
        <x:v>1.1</x:v>
      </x:c>
      <x:c r="N643" t="str">
        <x:v>simulation</x:v>
      </x:c>
      <x:c r="O643" t="str">
        <x:v>ngspice</x:v>
      </x:c>
      <x:c r="P643" t="str">
        <x:v>397141eb8a813045075ac2be3098d3b136ebaf4d597c08fca627922a75e443b7</x:v>
      </x:c>
      <x:c r="Q643" t="str">
        <x:v>data/raw/ptm45_lp_vds_0p05v_raw.txt</x:v>
      </x:c>
    </x:row>
    <x:row r="644">
      <x:c r="A644" t="str">
        <x:v>PTM</x:v>
      </x:c>
      <x:c r="B644" t="str">
        <x:v>NMOS</x:v>
      </x:c>
      <x:c r="C644" s="97" t="n">
        <x:v>45</x:v>
      </x:c>
      <x:c r="D644" s="97" t="str">
        <x:v>LP</x:v>
      </x:c>
      <x:c r="E644" s="99" t="n">
        <x:v>1</x:v>
      </x:c>
      <x:c r="F644" s="99" t="n">
        <x:v>0.045</x:v>
      </x:c>
      <x:c r="G644" s="99" t="n">
        <x:v>25</x:v>
      </x:c>
      <x:c r="H644" s="99" t="n">
        <x:v>0.05</x:v>
      </x:c>
      <x:c r="I644" s="99" t="n">
        <x:v>0.6000000000000005</x:v>
      </x:c>
      <x:c r="J644" s="98" t="n">
        <x:v>0.00000801507713011461</x:v>
      </x:c>
      <x:c r="K644" t="str">
        <x:v>low_vds</x:v>
      </x:c>
      <x:c r="L644" t="str">
        <x:v>low_drain_bias</x:v>
      </x:c>
      <x:c r="M644" t="n">
        <x:v>1.1</x:v>
      </x:c>
      <x:c r="N644" t="str">
        <x:v>simulation</x:v>
      </x:c>
      <x:c r="O644" t="str">
        <x:v>ngspice</x:v>
      </x:c>
      <x:c r="P644" t="str">
        <x:v>397141eb8a813045075ac2be3098d3b136ebaf4d597c08fca627922a75e443b7</x:v>
      </x:c>
      <x:c r="Q644" t="str">
        <x:v>data/raw/ptm45_lp_vds_0p05v_raw.txt</x:v>
      </x:c>
    </x:row>
    <x:row r="645">
      <x:c r="A645" t="str">
        <x:v>PTM</x:v>
      </x:c>
      <x:c r="B645" t="str">
        <x:v>NMOS</x:v>
      </x:c>
      <x:c r="C645" s="97" t="n">
        <x:v>45</x:v>
      </x:c>
      <x:c r="D645" s="97" t="str">
        <x:v>LP</x:v>
      </x:c>
      <x:c r="E645" s="99" t="n">
        <x:v>1</x:v>
      </x:c>
      <x:c r="F645" s="99" t="n">
        <x:v>0.045</x:v>
      </x:c>
      <x:c r="G645" s="99" t="n">
        <x:v>25</x:v>
      </x:c>
      <x:c r="H645" s="99" t="n">
        <x:v>0.05</x:v>
      </x:c>
      <x:c r="I645" s="99" t="n">
        <x:v>0.6050000000000005</x:v>
      </x:c>
      <x:c r="J645" s="98" t="n">
        <x:v>0.000008689050364373426</x:v>
      </x:c>
      <x:c r="K645" t="str">
        <x:v>low_vds</x:v>
      </x:c>
      <x:c r="L645" t="str">
        <x:v>low_drain_bias</x:v>
      </x:c>
      <x:c r="M645" t="n">
        <x:v>1.1</x:v>
      </x:c>
      <x:c r="N645" t="str">
        <x:v>simulation</x:v>
      </x:c>
      <x:c r="O645" t="str">
        <x:v>ngspice</x:v>
      </x:c>
      <x:c r="P645" t="str">
        <x:v>397141eb8a813045075ac2be3098d3b136ebaf4d597c08fca627922a75e443b7</x:v>
      </x:c>
      <x:c r="Q645" t="str">
        <x:v>data/raw/ptm45_lp_vds_0p05v_raw.txt</x:v>
      </x:c>
    </x:row>
    <x:row r="646">
      <x:c r="A646" t="str">
        <x:v>PTM</x:v>
      </x:c>
      <x:c r="B646" t="str">
        <x:v>NMOS</x:v>
      </x:c>
      <x:c r="C646" s="97" t="n">
        <x:v>45</x:v>
      </x:c>
      <x:c r="D646" s="97" t="str">
        <x:v>LP</x:v>
      </x:c>
      <x:c r="E646" s="99" t="n">
        <x:v>1</x:v>
      </x:c>
      <x:c r="F646" s="99" t="n">
        <x:v>0.045</x:v>
      </x:c>
      <x:c r="G646" s="99" t="n">
        <x:v>25</x:v>
      </x:c>
      <x:c r="H646" s="99" t="n">
        <x:v>0.05</x:v>
      </x:c>
      <x:c r="I646" s="99" t="n">
        <x:v>0.6100000000000005</x:v>
      </x:c>
      <x:c r="J646" s="98" t="n">
        <x:v>0.000009402839448164454</x:v>
      </x:c>
      <x:c r="K646" t="str">
        <x:v>low_vds</x:v>
      </x:c>
      <x:c r="L646" t="str">
        <x:v>low_drain_bias</x:v>
      </x:c>
      <x:c r="M646" t="n">
        <x:v>1.1</x:v>
      </x:c>
      <x:c r="N646" t="str">
        <x:v>simulation</x:v>
      </x:c>
      <x:c r="O646" t="str">
        <x:v>ngspice</x:v>
      </x:c>
      <x:c r="P646" t="str">
        <x:v>397141eb8a813045075ac2be3098d3b136ebaf4d597c08fca627922a75e443b7</x:v>
      </x:c>
      <x:c r="Q646" t="str">
        <x:v>data/raw/ptm45_lp_vds_0p05v_raw.txt</x:v>
      </x:c>
    </x:row>
    <x:row r="647">
      <x:c r="A647" t="str">
        <x:v>PTM</x:v>
      </x:c>
      <x:c r="B647" t="str">
        <x:v>NMOS</x:v>
      </x:c>
      <x:c r="C647" s="97" t="n">
        <x:v>45</x:v>
      </x:c>
      <x:c r="D647" s="97" t="str">
        <x:v>LP</x:v>
      </x:c>
      <x:c r="E647" s="99" t="n">
        <x:v>1</x:v>
      </x:c>
      <x:c r="F647" s="99" t="n">
        <x:v>0.045</x:v>
      </x:c>
      <x:c r="G647" s="99" t="n">
        <x:v>25</x:v>
      </x:c>
      <x:c r="H647" s="99" t="n">
        <x:v>0.05</x:v>
      </x:c>
      <x:c r="I647" s="99" t="n">
        <x:v>0.6150000000000005</x:v>
      </x:c>
      <x:c r="J647" s="98" t="n">
        <x:v>0.00001015665090350655</x:v>
      </x:c>
      <x:c r="K647" t="str">
        <x:v>low_vds</x:v>
      </x:c>
      <x:c r="L647" t="str">
        <x:v>low_drain_bias</x:v>
      </x:c>
      <x:c r="M647" t="n">
        <x:v>1.1</x:v>
      </x:c>
      <x:c r="N647" t="str">
        <x:v>simulation</x:v>
      </x:c>
      <x:c r="O647" t="str">
        <x:v>ngspice</x:v>
      </x:c>
      <x:c r="P647" t="str">
        <x:v>397141eb8a813045075ac2be3098d3b136ebaf4d597c08fca627922a75e443b7</x:v>
      </x:c>
      <x:c r="Q647" t="str">
        <x:v>data/raw/ptm45_lp_vds_0p05v_raw.txt</x:v>
      </x:c>
    </x:row>
    <x:row r="648">
      <x:c r="A648" t="str">
        <x:v>PTM</x:v>
      </x:c>
      <x:c r="B648" t="str">
        <x:v>NMOS</x:v>
      </x:c>
      <x:c r="C648" s="97" t="n">
        <x:v>45</x:v>
      </x:c>
      <x:c r="D648" s="97" t="str">
        <x:v>LP</x:v>
      </x:c>
      <x:c r="E648" s="99" t="n">
        <x:v>1</x:v>
      </x:c>
      <x:c r="F648" s="99" t="n">
        <x:v>0.045</x:v>
      </x:c>
      <x:c r="G648" s="99" t="n">
        <x:v>25</x:v>
      </x:c>
      <x:c r="H648" s="99" t="n">
        <x:v>0.05</x:v>
      </x:c>
      <x:c r="I648" s="99" t="n">
        <x:v>0.6200000000000006</x:v>
      </x:c>
      <x:c r="J648" s="98" t="n">
        <x:v>0.00001095044265897604</x:v>
      </x:c>
      <x:c r="K648" t="str">
        <x:v>low_vds</x:v>
      </x:c>
      <x:c r="L648" t="str">
        <x:v>low_drain_bias</x:v>
      </x:c>
      <x:c r="M648" t="n">
        <x:v>1.1</x:v>
      </x:c>
      <x:c r="N648" t="str">
        <x:v>simulation</x:v>
      </x:c>
      <x:c r="O648" t="str">
        <x:v>ngspice</x:v>
      </x:c>
      <x:c r="P648" t="str">
        <x:v>397141eb8a813045075ac2be3098d3b136ebaf4d597c08fca627922a75e443b7</x:v>
      </x:c>
      <x:c r="Q648" t="str">
        <x:v>data/raw/ptm45_lp_vds_0p05v_raw.txt</x:v>
      </x:c>
    </x:row>
    <x:row r="649">
      <x:c r="A649" t="str">
        <x:v>PTM</x:v>
      </x:c>
      <x:c r="B649" t="str">
        <x:v>NMOS</x:v>
      </x:c>
      <x:c r="C649" s="97" t="n">
        <x:v>45</x:v>
      </x:c>
      <x:c r="D649" s="97" t="str">
        <x:v>LP</x:v>
      </x:c>
      <x:c r="E649" s="99" t="n">
        <x:v>1</x:v>
      </x:c>
      <x:c r="F649" s="99" t="n">
        <x:v>0.045</x:v>
      </x:c>
      <x:c r="G649" s="99" t="n">
        <x:v>25</x:v>
      </x:c>
      <x:c r="H649" s="99" t="n">
        <x:v>0.05</x:v>
      </x:c>
      <x:c r="I649" s="99" t="n">
        <x:v>0.6250000000000006</x:v>
      </x:c>
      <x:c r="J649" s="98" t="n">
        <x:v>0.00001178391784993869</x:v>
      </x:c>
      <x:c r="K649" t="str">
        <x:v>low_vds</x:v>
      </x:c>
      <x:c r="L649" t="str">
        <x:v>low_drain_bias</x:v>
      </x:c>
      <x:c r="M649" t="n">
        <x:v>1.1</x:v>
      </x:c>
      <x:c r="N649" t="str">
        <x:v>simulation</x:v>
      </x:c>
      <x:c r="O649" t="str">
        <x:v>ngspice</x:v>
      </x:c>
      <x:c r="P649" t="str">
        <x:v>397141eb8a813045075ac2be3098d3b136ebaf4d597c08fca627922a75e443b7</x:v>
      </x:c>
      <x:c r="Q649" t="str">
        <x:v>data/raw/ptm45_lp_vds_0p05v_raw.txt</x:v>
      </x:c>
    </x:row>
    <x:row r="650">
      <x:c r="A650" t="str">
        <x:v>PTM</x:v>
      </x:c>
      <x:c r="B650" t="str">
        <x:v>NMOS</x:v>
      </x:c>
      <x:c r="C650" s="97" t="n">
        <x:v>45</x:v>
      </x:c>
      <x:c r="D650" s="97" t="str">
        <x:v>LP</x:v>
      </x:c>
      <x:c r="E650" s="99" t="n">
        <x:v>1</x:v>
      </x:c>
      <x:c r="F650" s="99" t="n">
        <x:v>0.045</x:v>
      </x:c>
      <x:c r="G650" s="99" t="n">
        <x:v>25</x:v>
      </x:c>
      <x:c r="H650" s="99" t="n">
        <x:v>0.05</x:v>
      </x:c>
      <x:c r="I650" s="99" t="n">
        <x:v>0.6300000000000006</x:v>
      </x:c>
      <x:c r="J650" s="98" t="n">
        <x:v>0.00001265652368409278</x:v>
      </x:c>
      <x:c r="K650" t="str">
        <x:v>low_vds</x:v>
      </x:c>
      <x:c r="L650" t="str">
        <x:v>low_drain_bias</x:v>
      </x:c>
      <x:c r="M650" t="n">
        <x:v>1.1</x:v>
      </x:c>
      <x:c r="N650" t="str">
        <x:v>simulation</x:v>
      </x:c>
      <x:c r="O650" t="str">
        <x:v>ngspice</x:v>
      </x:c>
      <x:c r="P650" t="str">
        <x:v>397141eb8a813045075ac2be3098d3b136ebaf4d597c08fca627922a75e443b7</x:v>
      </x:c>
      <x:c r="Q650" t="str">
        <x:v>data/raw/ptm45_lp_vds_0p05v_raw.txt</x:v>
      </x:c>
    </x:row>
    <x:row r="651">
      <x:c r="A651" t="str">
        <x:v>PTM</x:v>
      </x:c>
      <x:c r="B651" t="str">
        <x:v>NMOS</x:v>
      </x:c>
      <x:c r="C651" s="97" t="n">
        <x:v>45</x:v>
      </x:c>
      <x:c r="D651" s="97" t="str">
        <x:v>LP</x:v>
      </x:c>
      <x:c r="E651" s="99" t="n">
        <x:v>1</x:v>
      </x:c>
      <x:c r="F651" s="99" t="n">
        <x:v>0.045</x:v>
      </x:c>
      <x:c r="G651" s="99" t="n">
        <x:v>25</x:v>
      </x:c>
      <x:c r="H651" s="99" t="n">
        <x:v>0.05</x:v>
      </x:c>
      <x:c r="I651" s="99" t="n">
        <x:v>0.6350000000000006</x:v>
      </x:c>
      <x:c r="J651" s="98" t="n">
        <x:v>0.00001356745541251599</x:v>
      </x:c>
      <x:c r="K651" t="str">
        <x:v>low_vds</x:v>
      </x:c>
      <x:c r="L651" t="str">
        <x:v>low_drain_bias</x:v>
      </x:c>
      <x:c r="M651" t="n">
        <x:v>1.1</x:v>
      </x:c>
      <x:c r="N651" t="str">
        <x:v>simulation</x:v>
      </x:c>
      <x:c r="O651" t="str">
        <x:v>ngspice</x:v>
      </x:c>
      <x:c r="P651" t="str">
        <x:v>397141eb8a813045075ac2be3098d3b136ebaf4d597c08fca627922a75e443b7</x:v>
      </x:c>
      <x:c r="Q651" t="str">
        <x:v>data/raw/ptm45_lp_vds_0p05v_raw.txt</x:v>
      </x:c>
    </x:row>
    <x:row r="652">
      <x:c r="A652" t="str">
        <x:v>PTM</x:v>
      </x:c>
      <x:c r="B652" t="str">
        <x:v>NMOS</x:v>
      </x:c>
      <x:c r="C652" s="97" t="n">
        <x:v>45</x:v>
      </x:c>
      <x:c r="D652" s="97" t="str">
        <x:v>LP</x:v>
      </x:c>
      <x:c r="E652" s="99" t="n">
        <x:v>1</x:v>
      </x:c>
      <x:c r="F652" s="99" t="n">
        <x:v>0.045</x:v>
      </x:c>
      <x:c r="G652" s="99" t="n">
        <x:v>25</x:v>
      </x:c>
      <x:c r="H652" s="99" t="n">
        <x:v>0.05</x:v>
      </x:c>
      <x:c r="I652" s="99" t="n">
        <x:v>0.6400000000000006</x:v>
      </x:c>
      <x:c r="J652" s="98" t="n">
        <x:v>0.00001451566523329176</x:v>
      </x:c>
      <x:c r="K652" t="str">
        <x:v>low_vds</x:v>
      </x:c>
      <x:c r="L652" t="str">
        <x:v>low_drain_bias</x:v>
      </x:c>
      <x:c r="M652" t="n">
        <x:v>1.1</x:v>
      </x:c>
      <x:c r="N652" t="str">
        <x:v>simulation</x:v>
      </x:c>
      <x:c r="O652" t="str">
        <x:v>ngspice</x:v>
      </x:c>
      <x:c r="P652" t="str">
        <x:v>397141eb8a813045075ac2be3098d3b136ebaf4d597c08fca627922a75e443b7</x:v>
      </x:c>
      <x:c r="Q652" t="str">
        <x:v>data/raw/ptm45_lp_vds_0p05v_raw.txt</x:v>
      </x:c>
    </x:row>
    <x:row r="653">
      <x:c r="A653" t="str">
        <x:v>PTM</x:v>
      </x:c>
      <x:c r="B653" t="str">
        <x:v>NMOS</x:v>
      </x:c>
      <x:c r="C653" s="97" t="n">
        <x:v>45</x:v>
      </x:c>
      <x:c r="D653" s="97" t="str">
        <x:v>LP</x:v>
      </x:c>
      <x:c r="E653" s="99" t="n">
        <x:v>1</x:v>
      </x:c>
      <x:c r="F653" s="99" t="n">
        <x:v>0.045</x:v>
      </x:c>
      <x:c r="G653" s="99" t="n">
        <x:v>25</x:v>
      </x:c>
      <x:c r="H653" s="99" t="n">
        <x:v>0.05</x:v>
      </x:c>
      <x:c r="I653" s="99" t="n">
        <x:v>0.6450000000000006</x:v>
      </x:c>
      <x:c r="J653" s="98" t="n">
        <x:v>0.00001549987575890701</x:v>
      </x:c>
      <x:c r="K653" t="str">
        <x:v>low_vds</x:v>
      </x:c>
      <x:c r="L653" t="str">
        <x:v>low_drain_bias</x:v>
      </x:c>
      <x:c r="M653" t="n">
        <x:v>1.1</x:v>
      </x:c>
      <x:c r="N653" t="str">
        <x:v>simulation</x:v>
      </x:c>
      <x:c r="O653" t="str">
        <x:v>ngspice</x:v>
      </x:c>
      <x:c r="P653" t="str">
        <x:v>397141eb8a813045075ac2be3098d3b136ebaf4d597c08fca627922a75e443b7</x:v>
      </x:c>
      <x:c r="Q653" t="str">
        <x:v>data/raw/ptm45_lp_vds_0p05v_raw.txt</x:v>
      </x:c>
    </x:row>
    <x:row r="654">
      <x:c r="A654" t="str">
        <x:v>PTM</x:v>
      </x:c>
      <x:c r="B654" t="str">
        <x:v>NMOS</x:v>
      </x:c>
      <x:c r="C654" s="97" t="n">
        <x:v>45</x:v>
      </x:c>
      <x:c r="D654" s="97" t="str">
        <x:v>LP</x:v>
      </x:c>
      <x:c r="E654" s="99" t="n">
        <x:v>1</x:v>
      </x:c>
      <x:c r="F654" s="99" t="n">
        <x:v>0.045</x:v>
      </x:c>
      <x:c r="G654" s="99" t="n">
        <x:v>25</x:v>
      </x:c>
      <x:c r="H654" s="99" t="n">
        <x:v>0.05</x:v>
      </x:c>
      <x:c r="I654" s="99" t="n">
        <x:v>0.6500000000000006</x:v>
      </x:c>
      <x:c r="J654" s="98" t="n">
        <x:v>0.00001651859751285976</x:v>
      </x:c>
      <x:c r="K654" t="str">
        <x:v>low_vds</x:v>
      </x:c>
      <x:c r="L654" t="str">
        <x:v>low_drain_bias</x:v>
      </x:c>
      <x:c r="M654" t="n">
        <x:v>1.1</x:v>
      </x:c>
      <x:c r="N654" t="str">
        <x:v>simulation</x:v>
      </x:c>
      <x:c r="O654" t="str">
        <x:v>ngspice</x:v>
      </x:c>
      <x:c r="P654" t="str">
        <x:v>397141eb8a813045075ac2be3098d3b136ebaf4d597c08fca627922a75e443b7</x:v>
      </x:c>
      <x:c r="Q654" t="str">
        <x:v>data/raw/ptm45_lp_vds_0p05v_raw.txt</x:v>
      </x:c>
    </x:row>
    <x:row r="655">
      <x:c r="A655" t="str">
        <x:v>PTM</x:v>
      </x:c>
      <x:c r="B655" t="str">
        <x:v>NMOS</x:v>
      </x:c>
      <x:c r="C655" s="97" t="n">
        <x:v>45</x:v>
      </x:c>
      <x:c r="D655" s="97" t="str">
        <x:v>LP</x:v>
      </x:c>
      <x:c r="E655" s="99" t="n">
        <x:v>1</x:v>
      </x:c>
      <x:c r="F655" s="99" t="n">
        <x:v>0.045</x:v>
      </x:c>
      <x:c r="G655" s="99" t="n">
        <x:v>25</x:v>
      </x:c>
      <x:c r="H655" s="99" t="n">
        <x:v>0.05</x:v>
      </x:c>
      <x:c r="I655" s="99" t="n">
        <x:v>0.6550000000000006</x:v>
      </x:c>
      <x:c r="J655" s="98" t="n">
        <x:v>0.00001755402944464193</x:v>
      </x:c>
      <x:c r="K655" t="str">
        <x:v>low_vds</x:v>
      </x:c>
      <x:c r="L655" t="str">
        <x:v>low_drain_bias</x:v>
      </x:c>
      <x:c r="M655" t="n">
        <x:v>1.1</x:v>
      </x:c>
      <x:c r="N655" t="str">
        <x:v>simulation</x:v>
      </x:c>
      <x:c r="O655" t="str">
        <x:v>ngspice</x:v>
      </x:c>
      <x:c r="P655" t="str">
        <x:v>397141eb8a813045075ac2be3098d3b136ebaf4d597c08fca627922a75e443b7</x:v>
      </x:c>
      <x:c r="Q655" t="str">
        <x:v>data/raw/ptm45_lp_vds_0p05v_raw.txt</x:v>
      </x:c>
    </x:row>
    <x:row r="656">
      <x:c r="A656" t="str">
        <x:v>PTM</x:v>
      </x:c>
      <x:c r="B656" t="str">
        <x:v>NMOS</x:v>
      </x:c>
      <x:c r="C656" s="97" t="n">
        <x:v>45</x:v>
      </x:c>
      <x:c r="D656" s="97" t="str">
        <x:v>LP</x:v>
      </x:c>
      <x:c r="E656" s="99" t="n">
        <x:v>1</x:v>
      </x:c>
      <x:c r="F656" s="99" t="n">
        <x:v>0.045</x:v>
      </x:c>
      <x:c r="G656" s="99" t="n">
        <x:v>25</x:v>
      </x:c>
      <x:c r="H656" s="99" t="n">
        <x:v>0.05</x:v>
      </x:c>
      <x:c r="I656" s="99" t="n">
        <x:v>0.6600000000000006</x:v>
      </x:c>
      <x:c r="J656" s="98" t="n">
        <x:v>0.00001863751392924937</x:v>
      </x:c>
      <x:c r="K656" t="str">
        <x:v>low_vds</x:v>
      </x:c>
      <x:c r="L656" t="str">
        <x:v>low_drain_bias</x:v>
      </x:c>
      <x:c r="M656" t="n">
        <x:v>1.1</x:v>
      </x:c>
      <x:c r="N656" t="str">
        <x:v>simulation</x:v>
      </x:c>
      <x:c r="O656" t="str">
        <x:v>ngspice</x:v>
      </x:c>
      <x:c r="P656" t="str">
        <x:v>397141eb8a813045075ac2be3098d3b136ebaf4d597c08fca627922a75e443b7</x:v>
      </x:c>
      <x:c r="Q656" t="str">
        <x:v>data/raw/ptm45_lp_vds_0p05v_raw.txt</x:v>
      </x:c>
    </x:row>
    <x:row r="657">
      <x:c r="A657" t="str">
        <x:v>PTM</x:v>
      </x:c>
      <x:c r="B657" t="str">
        <x:v>NMOS</x:v>
      </x:c>
      <x:c r="C657" s="97" t="n">
        <x:v>45</x:v>
      </x:c>
      <x:c r="D657" s="97" t="str">
        <x:v>LP</x:v>
      </x:c>
      <x:c r="E657" s="99" t="n">
        <x:v>1</x:v>
      </x:c>
      <x:c r="F657" s="99" t="n">
        <x:v>0.045</x:v>
      </x:c>
      <x:c r="G657" s="99" t="n">
        <x:v>25</x:v>
      </x:c>
      <x:c r="H657" s="99" t="n">
        <x:v>0.05</x:v>
      </x:c>
      <x:c r="I657" s="99" t="n">
        <x:v>0.6650000000000006</x:v>
      </x:c>
      <x:c r="J657" s="98" t="n">
        <x:v>0.00001975005653391982</x:v>
      </x:c>
      <x:c r="K657" t="str">
        <x:v>low_vds</x:v>
      </x:c>
      <x:c r="L657" t="str">
        <x:v>low_drain_bias</x:v>
      </x:c>
      <x:c r="M657" t="n">
        <x:v>1.1</x:v>
      </x:c>
      <x:c r="N657" t="str">
        <x:v>simulation</x:v>
      </x:c>
      <x:c r="O657" t="str">
        <x:v>ngspice</x:v>
      </x:c>
      <x:c r="P657" t="str">
        <x:v>397141eb8a813045075ac2be3098d3b136ebaf4d597c08fca627922a75e443b7</x:v>
      </x:c>
      <x:c r="Q657" t="str">
        <x:v>data/raw/ptm45_lp_vds_0p05v_raw.txt</x:v>
      </x:c>
    </x:row>
    <x:row r="658">
      <x:c r="A658" t="str">
        <x:v>PTM</x:v>
      </x:c>
      <x:c r="B658" t="str">
        <x:v>NMOS</x:v>
      </x:c>
      <x:c r="C658" s="97" t="n">
        <x:v>45</x:v>
      </x:c>
      <x:c r="D658" s="97" t="str">
        <x:v>LP</x:v>
      </x:c>
      <x:c r="E658" s="99" t="n">
        <x:v>1</x:v>
      </x:c>
      <x:c r="F658" s="99" t="n">
        <x:v>0.045</x:v>
      </x:c>
      <x:c r="G658" s="99" t="n">
        <x:v>25</x:v>
      </x:c>
      <x:c r="H658" s="99" t="n">
        <x:v>0.05</x:v>
      </x:c>
      <x:c r="I658" s="99" t="n">
        <x:v>0.6700000000000006</x:v>
      </x:c>
      <x:c r="J658" s="98" t="n">
        <x:v>0.00002088953710705114</x:v>
      </x:c>
      <x:c r="K658" t="str">
        <x:v>low_vds</x:v>
      </x:c>
      <x:c r="L658" t="str">
        <x:v>low_drain_bias</x:v>
      </x:c>
      <x:c r="M658" t="n">
        <x:v>1.1</x:v>
      </x:c>
      <x:c r="N658" t="str">
        <x:v>simulation</x:v>
      </x:c>
      <x:c r="O658" t="str">
        <x:v>ngspice</x:v>
      </x:c>
      <x:c r="P658" t="str">
        <x:v>397141eb8a813045075ac2be3098d3b136ebaf4d597c08fca627922a75e443b7</x:v>
      </x:c>
      <x:c r="Q658" t="str">
        <x:v>data/raw/ptm45_lp_vds_0p05v_raw.txt</x:v>
      </x:c>
    </x:row>
    <x:row r="659">
      <x:c r="A659" t="str">
        <x:v>PTM</x:v>
      </x:c>
      <x:c r="B659" t="str">
        <x:v>NMOS</x:v>
      </x:c>
      <x:c r="C659" s="97" t="n">
        <x:v>45</x:v>
      </x:c>
      <x:c r="D659" s="97" t="str">
        <x:v>LP</x:v>
      </x:c>
      <x:c r="E659" s="99" t="n">
        <x:v>1</x:v>
      </x:c>
      <x:c r="F659" s="99" t="n">
        <x:v>0.045</x:v>
      </x:c>
      <x:c r="G659" s="99" t="n">
        <x:v>25</x:v>
      </x:c>
      <x:c r="H659" s="99" t="n">
        <x:v>0.05</x:v>
      </x:c>
      <x:c r="I659" s="99" t="n">
        <x:v>0.6750000000000006</x:v>
      </x:c>
      <x:c r="J659" s="98" t="n">
        <x:v>0.00002205374617925336</x:v>
      </x:c>
      <x:c r="K659" t="str">
        <x:v>low_vds</x:v>
      </x:c>
      <x:c r="L659" t="str">
        <x:v>low_drain_bias</x:v>
      </x:c>
      <x:c r="M659" t="n">
        <x:v>1.1</x:v>
      </x:c>
      <x:c r="N659" t="str">
        <x:v>simulation</x:v>
      </x:c>
      <x:c r="O659" t="str">
        <x:v>ngspice</x:v>
      </x:c>
      <x:c r="P659" t="str">
        <x:v>397141eb8a813045075ac2be3098d3b136ebaf4d597c08fca627922a75e443b7</x:v>
      </x:c>
      <x:c r="Q659" t="str">
        <x:v>data/raw/ptm45_lp_vds_0p05v_raw.txt</x:v>
      </x:c>
    </x:row>
    <x:row r="660">
      <x:c r="A660" t="str">
        <x:v>PTM</x:v>
      </x:c>
      <x:c r="B660" t="str">
        <x:v>NMOS</x:v>
      </x:c>
      <x:c r="C660" s="97" t="n">
        <x:v>45</x:v>
      </x:c>
      <x:c r="D660" s="97" t="str">
        <x:v>LP</x:v>
      </x:c>
      <x:c r="E660" s="99" t="n">
        <x:v>1</x:v>
      </x:c>
      <x:c r="F660" s="99" t="n">
        <x:v>0.045</x:v>
      </x:c>
      <x:c r="G660" s="99" t="n">
        <x:v>25</x:v>
      </x:c>
      <x:c r="H660" s="99" t="n">
        <x:v>0.05</x:v>
      </x:c>
      <x:c r="I660" s="99" t="n">
        <x:v>0.6800000000000006</x:v>
      </x:c>
      <x:c r="J660" s="98" t="n">
        <x:v>0.00002324041167363014</x:v>
      </x:c>
      <x:c r="K660" t="str">
        <x:v>low_vds</x:v>
      </x:c>
      <x:c r="L660" t="str">
        <x:v>low_drain_bias</x:v>
      </x:c>
      <x:c r="M660" t="n">
        <x:v>1.1</x:v>
      </x:c>
      <x:c r="N660" t="str">
        <x:v>simulation</x:v>
      </x:c>
      <x:c r="O660" t="str">
        <x:v>ngspice</x:v>
      </x:c>
      <x:c r="P660" t="str">
        <x:v>397141eb8a813045075ac2be3098d3b136ebaf4d597c08fca627922a75e443b7</x:v>
      </x:c>
      <x:c r="Q660" t="str">
        <x:v>data/raw/ptm45_lp_vds_0p05v_raw.txt</x:v>
      </x:c>
    </x:row>
    <x:row r="661">
      <x:c r="A661" t="str">
        <x:v>PTM</x:v>
      </x:c>
      <x:c r="B661" t="str">
        <x:v>NMOS</x:v>
      </x:c>
      <x:c r="C661" s="97" t="n">
        <x:v>45</x:v>
      </x:c>
      <x:c r="D661" s="97" t="str">
        <x:v>LP</x:v>
      </x:c>
      <x:c r="E661" s="99" t="n">
        <x:v>1</x:v>
      </x:c>
      <x:c r="F661" s="99" t="n">
        <x:v>0.045</x:v>
      </x:c>
      <x:c r="G661" s="99" t="n">
        <x:v>25</x:v>
      </x:c>
      <x:c r="H661" s="99" t="n">
        <x:v>0.05</x:v>
      </x:c>
      <x:c r="I661" s="99" t="n">
        <x:v>0.6850000000000006</x:v>
      </x:c>
      <x:c r="J661" s="98" t="n">
        <x:v>0.0000244472246458905</x:v>
      </x:c>
      <x:c r="K661" t="str">
        <x:v>low_vds</x:v>
      </x:c>
      <x:c r="L661" t="str">
        <x:v>low_drain_bias</x:v>
      </x:c>
      <x:c r="M661" t="n">
        <x:v>1.1</x:v>
      </x:c>
      <x:c r="N661" t="str">
        <x:v>simulation</x:v>
      </x:c>
      <x:c r="O661" t="str">
        <x:v>ngspice</x:v>
      </x:c>
      <x:c r="P661" t="str">
        <x:v>397141eb8a813045075ac2be3098d3b136ebaf4d597c08fca627922a75e443b7</x:v>
      </x:c>
      <x:c r="Q661" t="str">
        <x:v>data/raw/ptm45_lp_vds_0p05v_raw.txt</x:v>
      </x:c>
    </x:row>
    <x:row r="662">
      <x:c r="A662" t="str">
        <x:v>PTM</x:v>
      </x:c>
      <x:c r="B662" t="str">
        <x:v>NMOS</x:v>
      </x:c>
      <x:c r="C662" s="97" t="n">
        <x:v>45</x:v>
      </x:c>
      <x:c r="D662" s="97" t="str">
        <x:v>LP</x:v>
      </x:c>
      <x:c r="E662" s="99" t="n">
        <x:v>1</x:v>
      </x:c>
      <x:c r="F662" s="99" t="n">
        <x:v>0.045</x:v>
      </x:c>
      <x:c r="G662" s="99" t="n">
        <x:v>25</x:v>
      </x:c>
      <x:c r="H662" s="99" t="n">
        <x:v>0.05</x:v>
      </x:c>
      <x:c r="I662" s="99" t="n">
        <x:v>0.6900000000000006</x:v>
      </x:c>
      <x:c r="J662" s="98" t="n">
        <x:v>0.00002567186356572378</x:v>
      </x:c>
      <x:c r="K662" t="str">
        <x:v>low_vds</x:v>
      </x:c>
      <x:c r="L662" t="str">
        <x:v>low_drain_bias</x:v>
      </x:c>
      <x:c r="M662" t="n">
        <x:v>1.1</x:v>
      </x:c>
      <x:c r="N662" t="str">
        <x:v>simulation</x:v>
      </x:c>
      <x:c r="O662" t="str">
        <x:v>ngspice</x:v>
      </x:c>
      <x:c r="P662" t="str">
        <x:v>397141eb8a813045075ac2be3098d3b136ebaf4d597c08fca627922a75e443b7</x:v>
      </x:c>
      <x:c r="Q662" t="str">
        <x:v>data/raw/ptm45_lp_vds_0p05v_raw.txt</x:v>
      </x:c>
    </x:row>
    <x:row r="663">
      <x:c r="A663" t="str">
        <x:v>PTM</x:v>
      </x:c>
      <x:c r="B663" t="str">
        <x:v>NMOS</x:v>
      </x:c>
      <x:c r="C663" s="97" t="n">
        <x:v>45</x:v>
      </x:c>
      <x:c r="D663" s="97" t="str">
        <x:v>LP</x:v>
      </x:c>
      <x:c r="E663" s="99" t="n">
        <x:v>1</x:v>
      </x:c>
      <x:c r="F663" s="99" t="n">
        <x:v>0.045</x:v>
      </x:c>
      <x:c r="G663" s="99" t="n">
        <x:v>25</x:v>
      </x:c>
      <x:c r="H663" s="99" t="n">
        <x:v>0.05</x:v>
      </x:c>
      <x:c r="I663" s="99" t="n">
        <x:v>0.6950000000000006</x:v>
      </x:c>
      <x:c r="J663" s="98" t="n">
        <x:v>0.00002691201675775121</x:v>
      </x:c>
      <x:c r="K663" t="str">
        <x:v>low_vds</x:v>
      </x:c>
      <x:c r="L663" t="str">
        <x:v>low_drain_bias</x:v>
      </x:c>
      <x:c r="M663" t="n">
        <x:v>1.1</x:v>
      </x:c>
      <x:c r="N663" t="str">
        <x:v>simulation</x:v>
      </x:c>
      <x:c r="O663" t="str">
        <x:v>ngspice</x:v>
      </x:c>
      <x:c r="P663" t="str">
        <x:v>397141eb8a813045075ac2be3098d3b136ebaf4d597c08fca627922a75e443b7</x:v>
      </x:c>
      <x:c r="Q663" t="str">
        <x:v>data/raw/ptm45_lp_vds_0p05v_raw.txt</x:v>
      </x:c>
    </x:row>
    <x:row r="664">
      <x:c r="A664" t="str">
        <x:v>PTM</x:v>
      </x:c>
      <x:c r="B664" t="str">
        <x:v>NMOS</x:v>
      </x:c>
      <x:c r="C664" s="97" t="n">
        <x:v>45</x:v>
      </x:c>
      <x:c r="D664" s="97" t="str">
        <x:v>LP</x:v>
      </x:c>
      <x:c r="E664" s="99" t="n">
        <x:v>1</x:v>
      </x:c>
      <x:c r="F664" s="99" t="n">
        <x:v>0.045</x:v>
      </x:c>
      <x:c r="G664" s="99" t="n">
        <x:v>25</x:v>
      </x:c>
      <x:c r="H664" s="99" t="n">
        <x:v>0.05</x:v>
      </x:c>
      <x:c r="I664" s="99" t="n">
        <x:v>0.7000000000000006</x:v>
      </x:c>
      <x:c r="J664" s="98" t="n">
        <x:v>0.00002816540272514744</x:v>
      </x:c>
      <x:c r="K664" t="str">
        <x:v>low_vds</x:v>
      </x:c>
      <x:c r="L664" t="str">
        <x:v>low_drain_bias</x:v>
      </x:c>
      <x:c r="M664" t="n">
        <x:v>1.1</x:v>
      </x:c>
      <x:c r="N664" t="str">
        <x:v>simulation</x:v>
      </x:c>
      <x:c r="O664" t="str">
        <x:v>ngspice</x:v>
      </x:c>
      <x:c r="P664" t="str">
        <x:v>397141eb8a813045075ac2be3098d3b136ebaf4d597c08fca627922a75e443b7</x:v>
      </x:c>
      <x:c r="Q664" t="str">
        <x:v>data/raw/ptm45_lp_vds_0p05v_raw.txt</x:v>
      </x:c>
    </x:row>
    <x:row r="665">
      <x:c r="A665" t="str">
        <x:v>PTM</x:v>
      </x:c>
      <x:c r="B665" t="str">
        <x:v>NMOS</x:v>
      </x:c>
      <x:c r="C665" s="97" t="n">
        <x:v>45</x:v>
      </x:c>
      <x:c r="D665" s="97" t="str">
        <x:v>LP</x:v>
      </x:c>
      <x:c r="E665" s="99" t="n">
        <x:v>1</x:v>
      </x:c>
      <x:c r="F665" s="99" t="n">
        <x:v>0.045</x:v>
      </x:c>
      <x:c r="G665" s="99" t="n">
        <x:v>25</x:v>
      </x:c>
      <x:c r="H665" s="99" t="n">
        <x:v>0.05</x:v>
      </x:c>
      <x:c r="I665" s="99" t="n">
        <x:v>0.7050000000000006</x:v>
      </x:c>
      <x:c r="J665" s="98" t="n">
        <x:v>0.0000294297881770546</x:v>
      </x:c>
      <x:c r="K665" t="str">
        <x:v>low_vds</x:v>
      </x:c>
      <x:c r="L665" t="str">
        <x:v>low_drain_bias</x:v>
      </x:c>
      <x:c r="M665" t="n">
        <x:v>1.1</x:v>
      </x:c>
      <x:c r="N665" t="str">
        <x:v>simulation</x:v>
      </x:c>
      <x:c r="O665" t="str">
        <x:v>ngspice</x:v>
      </x:c>
      <x:c r="P665" t="str">
        <x:v>397141eb8a813045075ac2be3098d3b136ebaf4d597c08fca627922a75e443b7</x:v>
      </x:c>
      <x:c r="Q665" t="str">
        <x:v>data/raw/ptm45_lp_vds_0p05v_raw.txt</x:v>
      </x:c>
    </x:row>
    <x:row r="666">
      <x:c r="A666" t="str">
        <x:v>PTM</x:v>
      </x:c>
      <x:c r="B666" t="str">
        <x:v>NMOS</x:v>
      </x:c>
      <x:c r="C666" s="97" t="n">
        <x:v>45</x:v>
      </x:c>
      <x:c r="D666" s="97" t="str">
        <x:v>LP</x:v>
      </x:c>
      <x:c r="E666" s="99" t="n">
        <x:v>1</x:v>
      </x:c>
      <x:c r="F666" s="99" t="n">
        <x:v>0.045</x:v>
      </x:c>
      <x:c r="G666" s="99" t="n">
        <x:v>25</x:v>
      </x:c>
      <x:c r="H666" s="99" t="n">
        <x:v>0.05</x:v>
      </x:c>
      <x:c r="I666" s="99" t="n">
        <x:v>0.7100000000000006</x:v>
      </x:c>
      <x:c r="J666" s="98" t="n">
        <x:v>0.0000307030036690272</x:v>
      </x:c>
      <x:c r="K666" t="str">
        <x:v>low_vds</x:v>
      </x:c>
      <x:c r="L666" t="str">
        <x:v>low_drain_bias</x:v>
      </x:c>
      <x:c r="M666" t="n">
        <x:v>1.1</x:v>
      </x:c>
      <x:c r="N666" t="str">
        <x:v>simulation</x:v>
      </x:c>
      <x:c r="O666" t="str">
        <x:v>ngspice</x:v>
      </x:c>
      <x:c r="P666" t="str">
        <x:v>397141eb8a813045075ac2be3098d3b136ebaf4d597c08fca627922a75e443b7</x:v>
      </x:c>
      <x:c r="Q666" t="str">
        <x:v>data/raw/ptm45_lp_vds_0p05v_raw.txt</x:v>
      </x:c>
    </x:row>
    <x:row r="667">
      <x:c r="A667" t="str">
        <x:v>PTM</x:v>
      </x:c>
      <x:c r="B667" t="str">
        <x:v>NMOS</x:v>
      </x:c>
      <x:c r="C667" s="97" t="n">
        <x:v>45</x:v>
      </x:c>
      <x:c r="D667" s="97" t="str">
        <x:v>LP</x:v>
      </x:c>
      <x:c r="E667" s="99" t="n">
        <x:v>1</x:v>
      </x:c>
      <x:c r="F667" s="99" t="n">
        <x:v>0.045</x:v>
      </x:c>
      <x:c r="G667" s="99" t="n">
        <x:v>25</x:v>
      </x:c>
      <x:c r="H667" s="99" t="n">
        <x:v>0.05</x:v>
      </x:c>
      <x:c r="I667" s="99" t="n">
        <x:v>0.7150000000000006</x:v>
      </x:c>
      <x:c r="J667" s="98" t="n">
        <x:v>0.00003198295684199327</x:v>
      </x:c>
      <x:c r="K667" t="str">
        <x:v>low_vds</x:v>
      </x:c>
      <x:c r="L667" t="str">
        <x:v>low_drain_bias</x:v>
      </x:c>
      <x:c r="M667" t="n">
        <x:v>1.1</x:v>
      </x:c>
      <x:c r="N667" t="str">
        <x:v>simulation</x:v>
      </x:c>
      <x:c r="O667" t="str">
        <x:v>ngspice</x:v>
      </x:c>
      <x:c r="P667" t="str">
        <x:v>397141eb8a813045075ac2be3098d3b136ebaf4d597c08fca627922a75e443b7</x:v>
      </x:c>
      <x:c r="Q667" t="str">
        <x:v>data/raw/ptm45_lp_vds_0p05v_raw.txt</x:v>
      </x:c>
    </x:row>
    <x:row r="668">
      <x:c r="A668" t="str">
        <x:v>PTM</x:v>
      </x:c>
      <x:c r="B668" t="str">
        <x:v>NMOS</x:v>
      </x:c>
      <x:c r="C668" s="97" t="n">
        <x:v>45</x:v>
      </x:c>
      <x:c r="D668" s="97" t="str">
        <x:v>LP</x:v>
      </x:c>
      <x:c r="E668" s="99" t="n">
        <x:v>1</x:v>
      </x:c>
      <x:c r="F668" s="99" t="n">
        <x:v>0.045</x:v>
      </x:c>
      <x:c r="G668" s="99" t="n">
        <x:v>25</x:v>
      </x:c>
      <x:c r="H668" s="99" t="n">
        <x:v>0.05</x:v>
      </x:c>
      <x:c r="I668" s="99" t="n">
        <x:v>0.7200000000000006</x:v>
      </x:c>
      <x:c r="J668" s="98" t="n">
        <x:v>0.00003326764330877721</x:v>
      </x:c>
      <x:c r="K668" t="str">
        <x:v>low_vds</x:v>
      </x:c>
      <x:c r="L668" t="str">
        <x:v>low_drain_bias</x:v>
      </x:c>
      <x:c r="M668" t="n">
        <x:v>1.1</x:v>
      </x:c>
      <x:c r="N668" t="str">
        <x:v>simulation</x:v>
      </x:c>
      <x:c r="O668" t="str">
        <x:v>ngspice</x:v>
      </x:c>
      <x:c r="P668" t="str">
        <x:v>397141eb8a813045075ac2be3098d3b136ebaf4d597c08fca627922a75e443b7</x:v>
      </x:c>
      <x:c r="Q668" t="str">
        <x:v>data/raw/ptm45_lp_vds_0p05v_raw.txt</x:v>
      </x:c>
    </x:row>
    <x:row r="669">
      <x:c r="A669" t="str">
        <x:v>PTM</x:v>
      </x:c>
      <x:c r="B669" t="str">
        <x:v>NMOS</x:v>
      </x:c>
      <x:c r="C669" s="97" t="n">
        <x:v>45</x:v>
      </x:c>
      <x:c r="D669" s="97" t="str">
        <x:v>LP</x:v>
      </x:c>
      <x:c r="E669" s="99" t="n">
        <x:v>1</x:v>
      </x:c>
      <x:c r="F669" s="99" t="n">
        <x:v>0.045</x:v>
      </x:c>
      <x:c r="G669" s="99" t="n">
        <x:v>25</x:v>
      </x:c>
      <x:c r="H669" s="99" t="n">
        <x:v>0.05</x:v>
      </x:c>
      <x:c r="I669" s="99" t="n">
        <x:v>0.7250000000000006</x:v>
      </x:c>
      <x:c r="J669" s="98" t="n">
        <x:v>0.0000345551552880842</x:v>
      </x:c>
      <x:c r="K669" t="str">
        <x:v>low_vds</x:v>
      </x:c>
      <x:c r="L669" t="str">
        <x:v>low_drain_bias</x:v>
      </x:c>
      <x:c r="M669" t="n">
        <x:v>1.1</x:v>
      </x:c>
      <x:c r="N669" t="str">
        <x:v>simulation</x:v>
      </x:c>
      <x:c r="O669" t="str">
        <x:v>ngspice</x:v>
      </x:c>
      <x:c r="P669" t="str">
        <x:v>397141eb8a813045075ac2be3098d3b136ebaf4d597c08fca627922a75e443b7</x:v>
      </x:c>
      <x:c r="Q669" t="str">
        <x:v>data/raw/ptm45_lp_vds_0p05v_raw.txt</x:v>
      </x:c>
    </x:row>
    <x:row r="670">
      <x:c r="A670" t="str">
        <x:v>PTM</x:v>
      </x:c>
      <x:c r="B670" t="str">
        <x:v>NMOS</x:v>
      </x:c>
      <x:c r="C670" s="97" t="n">
        <x:v>45</x:v>
      </x:c>
      <x:c r="D670" s="97" t="str">
        <x:v>LP</x:v>
      </x:c>
      <x:c r="E670" s="99" t="n">
        <x:v>1</x:v>
      </x:c>
      <x:c r="F670" s="99" t="n">
        <x:v>0.045</x:v>
      </x:c>
      <x:c r="G670" s="99" t="n">
        <x:v>25</x:v>
      </x:c>
      <x:c r="H670" s="99" t="n">
        <x:v>0.05</x:v>
      </x:c>
      <x:c r="I670" s="99" t="n">
        <x:v>0.7300000000000006</x:v>
      </x:c>
      <x:c r="J670" s="98" t="n">
        <x:v>0.00003584368812460031</x:v>
      </x:c>
      <x:c r="K670" t="str">
        <x:v>low_vds</x:v>
      </x:c>
      <x:c r="L670" t="str">
        <x:v>low_drain_bias</x:v>
      </x:c>
      <x:c r="M670" t="n">
        <x:v>1.1</x:v>
      </x:c>
      <x:c r="N670" t="str">
        <x:v>simulation</x:v>
      </x:c>
      <x:c r="O670" t="str">
        <x:v>ngspice</x:v>
      </x:c>
      <x:c r="P670" t="str">
        <x:v>397141eb8a813045075ac2be3098d3b136ebaf4d597c08fca627922a75e443b7</x:v>
      </x:c>
      <x:c r="Q670" t="str">
        <x:v>data/raw/ptm45_lp_vds_0p05v_raw.txt</x:v>
      </x:c>
    </x:row>
    <x:row r="671">
      <x:c r="A671" t="str">
        <x:v>PTM</x:v>
      </x:c>
      <x:c r="B671" t="str">
        <x:v>NMOS</x:v>
      </x:c>
      <x:c r="C671" s="97" t="n">
        <x:v>45</x:v>
      </x:c>
      <x:c r="D671" s="97" t="str">
        <x:v>LP</x:v>
      </x:c>
      <x:c r="E671" s="99" t="n">
        <x:v>1</x:v>
      </x:c>
      <x:c r="F671" s="99" t="n">
        <x:v>0.045</x:v>
      </x:c>
      <x:c r="G671" s="99" t="n">
        <x:v>25</x:v>
      </x:c>
      <x:c r="H671" s="99" t="n">
        <x:v>0.05</x:v>
      </x:c>
      <x:c r="I671" s="99" t="n">
        <x:v>0.7350000000000007</x:v>
      </x:c>
      <x:c r="J671" s="98" t="n">
        <x:v>0.00003713154486154289</x:v>
      </x:c>
      <x:c r="K671" t="str">
        <x:v>low_vds</x:v>
      </x:c>
      <x:c r="L671" t="str">
        <x:v>low_drain_bias</x:v>
      </x:c>
      <x:c r="M671" t="n">
        <x:v>1.1</x:v>
      </x:c>
      <x:c r="N671" t="str">
        <x:v>simulation</x:v>
      </x:c>
      <x:c r="O671" t="str">
        <x:v>ngspice</x:v>
      </x:c>
      <x:c r="P671" t="str">
        <x:v>397141eb8a813045075ac2be3098d3b136ebaf4d597c08fca627922a75e443b7</x:v>
      </x:c>
      <x:c r="Q671" t="str">
        <x:v>data/raw/ptm45_lp_vds_0p05v_raw.txt</x:v>
      </x:c>
    </x:row>
    <x:row r="672">
      <x:c r="A672" t="str">
        <x:v>PTM</x:v>
      </x:c>
      <x:c r="B672" t="str">
        <x:v>NMOS</x:v>
      </x:c>
      <x:c r="C672" s="97" t="n">
        <x:v>45</x:v>
      </x:c>
      <x:c r="D672" s="97" t="str">
        <x:v>LP</x:v>
      </x:c>
      <x:c r="E672" s="99" t="n">
        <x:v>1</x:v>
      </x:c>
      <x:c r="F672" s="99" t="n">
        <x:v>0.045</x:v>
      </x:c>
      <x:c r="G672" s="99" t="n">
        <x:v>25</x:v>
      </x:c>
      <x:c r="H672" s="99" t="n">
        <x:v>0.05</x:v>
      </x:c>
      <x:c r="I672" s="99" t="n">
        <x:v>0.7400000000000007</x:v>
      </x:c>
      <x:c r="J672" s="98" t="n">
        <x:v>0.00003841713904985946</x:v>
      </x:c>
      <x:c r="K672" t="str">
        <x:v>low_vds</x:v>
      </x:c>
      <x:c r="L672" t="str">
        <x:v>low_drain_bias</x:v>
      </x:c>
      <x:c r="M672" t="n">
        <x:v>1.1</x:v>
      </x:c>
      <x:c r="N672" t="str">
        <x:v>simulation</x:v>
      </x:c>
      <x:c r="O672" t="str">
        <x:v>ngspice</x:v>
      </x:c>
      <x:c r="P672" t="str">
        <x:v>397141eb8a813045075ac2be3098d3b136ebaf4d597c08fca627922a75e443b7</x:v>
      </x:c>
      <x:c r="Q672" t="str">
        <x:v>data/raw/ptm45_lp_vds_0p05v_raw.txt</x:v>
      </x:c>
    </x:row>
    <x:row r="673">
      <x:c r="A673" t="str">
        <x:v>PTM</x:v>
      </x:c>
      <x:c r="B673" t="str">
        <x:v>NMOS</x:v>
      </x:c>
      <x:c r="C673" s="97" t="n">
        <x:v>45</x:v>
      </x:c>
      <x:c r="D673" s="97" t="str">
        <x:v>LP</x:v>
      </x:c>
      <x:c r="E673" s="99" t="n">
        <x:v>1</x:v>
      </x:c>
      <x:c r="F673" s="99" t="n">
        <x:v>0.045</x:v>
      </x:c>
      <x:c r="G673" s="99" t="n">
        <x:v>25</x:v>
      </x:c>
      <x:c r="H673" s="99" t="n">
        <x:v>0.05</x:v>
      </x:c>
      <x:c r="I673" s="99" t="n">
        <x:v>0.7450000000000007</x:v>
      </x:c>
      <x:c r="J673" s="98" t="n">
        <x:v>0.00003969899598773648</x:v>
      </x:c>
      <x:c r="K673" t="str">
        <x:v>low_vds</x:v>
      </x:c>
      <x:c r="L673" t="str">
        <x:v>low_drain_bias</x:v>
      </x:c>
      <x:c r="M673" t="n">
        <x:v>1.1</x:v>
      </x:c>
      <x:c r="N673" t="str">
        <x:v>simulation</x:v>
      </x:c>
      <x:c r="O673" t="str">
        <x:v>ngspice</x:v>
      </x:c>
      <x:c r="P673" t="str">
        <x:v>397141eb8a813045075ac2be3098d3b136ebaf4d597c08fca627922a75e443b7</x:v>
      </x:c>
      <x:c r="Q673" t="str">
        <x:v>data/raw/ptm45_lp_vds_0p05v_raw.txt</x:v>
      </x:c>
    </x:row>
    <x:row r="674">
      <x:c r="A674" t="str">
        <x:v>PTM</x:v>
      </x:c>
      <x:c r="B674" t="str">
        <x:v>NMOS</x:v>
      </x:c>
      <x:c r="C674" s="97" t="n">
        <x:v>45</x:v>
      </x:c>
      <x:c r="D674" s="97" t="str">
        <x:v>LP</x:v>
      </x:c>
      <x:c r="E674" s="99" t="n">
        <x:v>1</x:v>
      </x:c>
      <x:c r="F674" s="99" t="n">
        <x:v>0.045</x:v>
      </x:c>
      <x:c r="G674" s="99" t="n">
        <x:v>25</x:v>
      </x:c>
      <x:c r="H674" s="99" t="n">
        <x:v>0.05</x:v>
      </x:c>
      <x:c r="I674" s="99" t="n">
        <x:v>0.7500000000000007</x:v>
      </x:c>
      <x:c r="J674" s="98" t="n">
        <x:v>0.00004097575258652217</x:v>
      </x:c>
      <x:c r="K674" t="str">
        <x:v>low_vds</x:v>
      </x:c>
      <x:c r="L674" t="str">
        <x:v>low_drain_bias</x:v>
      </x:c>
      <x:c r="M674" t="n">
        <x:v>1.1</x:v>
      </x:c>
      <x:c r="N674" t="str">
        <x:v>simulation</x:v>
      </x:c>
      <x:c r="O674" t="str">
        <x:v>ngspice</x:v>
      </x:c>
      <x:c r="P674" t="str">
        <x:v>397141eb8a813045075ac2be3098d3b136ebaf4d597c08fca627922a75e443b7</x:v>
      </x:c>
      <x:c r="Q674" t="str">
        <x:v>data/raw/ptm45_lp_vds_0p05v_raw.txt</x:v>
      </x:c>
    </x:row>
    <x:row r="675">
      <x:c r="A675" t="str">
        <x:v>PTM</x:v>
      </x:c>
      <x:c r="B675" t="str">
        <x:v>NMOS</x:v>
      </x:c>
      <x:c r="C675" s="97" t="n">
        <x:v>45</x:v>
      </x:c>
      <x:c r="D675" s="97" t="str">
        <x:v>LP</x:v>
      </x:c>
      <x:c r="E675" s="99" t="n">
        <x:v>1</x:v>
      </x:c>
      <x:c r="F675" s="99" t="n">
        <x:v>0.045</x:v>
      </x:c>
      <x:c r="G675" s="99" t="n">
        <x:v>25</x:v>
      </x:c>
      <x:c r="H675" s="99" t="n">
        <x:v>0.05</x:v>
      </x:c>
      <x:c r="I675" s="99" t="n">
        <x:v>0.7550000000000007</x:v>
      </x:c>
      <x:c r="J675" s="98" t="n">
        <x:v>0.00004224615605599088</x:v>
      </x:c>
      <x:c r="K675" t="str">
        <x:v>low_vds</x:v>
      </x:c>
      <x:c r="L675" t="str">
        <x:v>low_drain_bias</x:v>
      </x:c>
      <x:c r="M675" t="n">
        <x:v>1.1</x:v>
      </x:c>
      <x:c r="N675" t="str">
        <x:v>simulation</x:v>
      </x:c>
      <x:c r="O675" t="str">
        <x:v>ngspice</x:v>
      </x:c>
      <x:c r="P675" t="str">
        <x:v>397141eb8a813045075ac2be3098d3b136ebaf4d597c08fca627922a75e443b7</x:v>
      </x:c>
      <x:c r="Q675" t="str">
        <x:v>data/raw/ptm45_lp_vds_0p05v_raw.txt</x:v>
      </x:c>
    </x:row>
    <x:row r="676">
      <x:c r="A676" t="str">
        <x:v>PTM</x:v>
      </x:c>
      <x:c r="B676" t="str">
        <x:v>NMOS</x:v>
      </x:c>
      <x:c r="C676" s="97" t="n">
        <x:v>45</x:v>
      </x:c>
      <x:c r="D676" s="97" t="str">
        <x:v>LP</x:v>
      </x:c>
      <x:c r="E676" s="99" t="n">
        <x:v>1</x:v>
      </x:c>
      <x:c r="F676" s="99" t="n">
        <x:v>0.045</x:v>
      </x:c>
      <x:c r="G676" s="99" t="n">
        <x:v>25</x:v>
      </x:c>
      <x:c r="H676" s="99" t="n">
        <x:v>0.05</x:v>
      </x:c>
      <x:c r="I676" s="99" t="n">
        <x:v>0.7600000000000007</x:v>
      </x:c>
      <x:c r="J676" s="98" t="n">
        <x:v>0.00004350906159430894</x:v>
      </x:c>
      <x:c r="K676" t="str">
        <x:v>low_vds</x:v>
      </x:c>
      <x:c r="L676" t="str">
        <x:v>low_drain_bias</x:v>
      </x:c>
      <x:c r="M676" t="n">
        <x:v>1.1</x:v>
      </x:c>
      <x:c r="N676" t="str">
        <x:v>simulation</x:v>
      </x:c>
      <x:c r="O676" t="str">
        <x:v>ngspice</x:v>
      </x:c>
      <x:c r="P676" t="str">
        <x:v>397141eb8a813045075ac2be3098d3b136ebaf4d597c08fca627922a75e443b7</x:v>
      </x:c>
      <x:c r="Q676" t="str">
        <x:v>data/raw/ptm45_lp_vds_0p05v_raw.txt</x:v>
      </x:c>
    </x:row>
    <x:row r="677">
      <x:c r="A677" t="str">
        <x:v>PTM</x:v>
      </x:c>
      <x:c r="B677" t="str">
        <x:v>NMOS</x:v>
      </x:c>
      <x:c r="C677" s="97" t="n">
        <x:v>45</x:v>
      </x:c>
      <x:c r="D677" s="97" t="str">
        <x:v>LP</x:v>
      </x:c>
      <x:c r="E677" s="99" t="n">
        <x:v>1</x:v>
      </x:c>
      <x:c r="F677" s="99" t="n">
        <x:v>0.045</x:v>
      </x:c>
      <x:c r="G677" s="99" t="n">
        <x:v>25</x:v>
      </x:c>
      <x:c r="H677" s="99" t="n">
        <x:v>0.05</x:v>
      </x:c>
      <x:c r="I677" s="99" t="n">
        <x:v>0.7650000000000007</x:v>
      </x:c>
      <x:c r="J677" s="98" t="n">
        <x:v>0.00004476342925726677</x:v>
      </x:c>
      <x:c r="K677" t="str">
        <x:v>low_vds</x:v>
      </x:c>
      <x:c r="L677" t="str">
        <x:v>low_drain_bias</x:v>
      </x:c>
      <x:c r="M677" t="n">
        <x:v>1.1</x:v>
      </x:c>
      <x:c r="N677" t="str">
        <x:v>simulation</x:v>
      </x:c>
      <x:c r="O677" t="str">
        <x:v>ngspice</x:v>
      </x:c>
      <x:c r="P677" t="str">
        <x:v>397141eb8a813045075ac2be3098d3b136ebaf4d597c08fca627922a75e443b7</x:v>
      </x:c>
      <x:c r="Q677" t="str">
        <x:v>data/raw/ptm45_lp_vds_0p05v_raw.txt</x:v>
      </x:c>
    </x:row>
    <x:row r="678">
      <x:c r="A678" t="str">
        <x:v>PTM</x:v>
      </x:c>
      <x:c r="B678" t="str">
        <x:v>NMOS</x:v>
      </x:c>
      <x:c r="C678" s="97" t="n">
        <x:v>45</x:v>
      </x:c>
      <x:c r="D678" s="97" t="str">
        <x:v>LP</x:v>
      </x:c>
      <x:c r="E678" s="99" t="n">
        <x:v>1</x:v>
      </x:c>
      <x:c r="F678" s="99" t="n">
        <x:v>0.045</x:v>
      </x:c>
      <x:c r="G678" s="99" t="n">
        <x:v>25</x:v>
      </x:c>
      <x:c r="H678" s="99" t="n">
        <x:v>0.05</x:v>
      </x:c>
      <x:c r="I678" s="99" t="n">
        <x:v>0.7700000000000007</x:v>
      </x:c>
      <x:c r="J678" s="98" t="n">
        <x:v>0.00004600832016830028</x:v>
      </x:c>
      <x:c r="K678" t="str">
        <x:v>low_vds</x:v>
      </x:c>
      <x:c r="L678" t="str">
        <x:v>low_drain_bias</x:v>
      </x:c>
      <x:c r="M678" t="n">
        <x:v>1.1</x:v>
      </x:c>
      <x:c r="N678" t="str">
        <x:v>simulation</x:v>
      </x:c>
      <x:c r="O678" t="str">
        <x:v>ngspice</x:v>
      </x:c>
      <x:c r="P678" t="str">
        <x:v>397141eb8a813045075ac2be3098d3b136ebaf4d597c08fca627922a75e443b7</x:v>
      </x:c>
      <x:c r="Q678" t="str">
        <x:v>data/raw/ptm45_lp_vds_0p05v_raw.txt</x:v>
      </x:c>
    </x:row>
    <x:row r="679">
      <x:c r="A679" t="str">
        <x:v>PTM</x:v>
      </x:c>
      <x:c r="B679" t="str">
        <x:v>NMOS</x:v>
      </x:c>
      <x:c r="C679" s="97" t="n">
        <x:v>45</x:v>
      </x:c>
      <x:c r="D679" s="97" t="str">
        <x:v>LP</x:v>
      </x:c>
      <x:c r="E679" s="99" t="n">
        <x:v>1</x:v>
      </x:c>
      <x:c r="F679" s="99" t="n">
        <x:v>0.045</x:v>
      </x:c>
      <x:c r="G679" s="99" t="n">
        <x:v>25</x:v>
      </x:c>
      <x:c r="H679" s="99" t="n">
        <x:v>0.05</x:v>
      </x:c>
      <x:c r="I679" s="99" t="n">
        <x:v>0.7750000000000007</x:v>
      </x:c>
      <x:c r="J679" s="98" t="n">
        <x:v>0.00004724289221638087</x:v>
      </x:c>
      <x:c r="K679" t="str">
        <x:v>low_vds</x:v>
      </x:c>
      <x:c r="L679" t="str">
        <x:v>low_drain_bias</x:v>
      </x:c>
      <x:c r="M679" t="n">
        <x:v>1.1</x:v>
      </x:c>
      <x:c r="N679" t="str">
        <x:v>simulation</x:v>
      </x:c>
      <x:c r="O679" t="str">
        <x:v>ngspice</x:v>
      </x:c>
      <x:c r="P679" t="str">
        <x:v>397141eb8a813045075ac2be3098d3b136ebaf4d597c08fca627922a75e443b7</x:v>
      </x:c>
      <x:c r="Q679" t="str">
        <x:v>data/raw/ptm45_lp_vds_0p05v_raw.txt</x:v>
      </x:c>
    </x:row>
    <x:row r="680">
      <x:c r="A680" t="str">
        <x:v>PTM</x:v>
      </x:c>
      <x:c r="B680" t="str">
        <x:v>NMOS</x:v>
      </x:c>
      <x:c r="C680" s="97" t="n">
        <x:v>45</x:v>
      </x:c>
      <x:c r="D680" s="97" t="str">
        <x:v>LP</x:v>
      </x:c>
      <x:c r="E680" s="99" t="n">
        <x:v>1</x:v>
      </x:c>
      <x:c r="F680" s="99" t="n">
        <x:v>0.045</x:v>
      </x:c>
      <x:c r="G680" s="99" t="n">
        <x:v>25</x:v>
      </x:c>
      <x:c r="H680" s="99" t="n">
        <x:v>0.05</x:v>
      </x:c>
      <x:c r="I680" s="99" t="n">
        <x:v>0.7800000000000007</x:v>
      </x:c>
      <x:c r="J680" s="98" t="n">
        <x:v>0.00004846639537371238</x:v>
      </x:c>
      <x:c r="K680" t="str">
        <x:v>low_vds</x:v>
      </x:c>
      <x:c r="L680" t="str">
        <x:v>low_drain_bias</x:v>
      </x:c>
      <x:c r="M680" t="n">
        <x:v>1.1</x:v>
      </x:c>
      <x:c r="N680" t="str">
        <x:v>simulation</x:v>
      </x:c>
      <x:c r="O680" t="str">
        <x:v>ngspice</x:v>
      </x:c>
      <x:c r="P680" t="str">
        <x:v>397141eb8a813045075ac2be3098d3b136ebaf4d597c08fca627922a75e443b7</x:v>
      </x:c>
      <x:c r="Q680" t="str">
        <x:v>data/raw/ptm45_lp_vds_0p05v_raw.txt</x:v>
      </x:c>
    </x:row>
    <x:row r="681">
      <x:c r="A681" t="str">
        <x:v>PTM</x:v>
      </x:c>
      <x:c r="B681" t="str">
        <x:v>NMOS</x:v>
      </x:c>
      <x:c r="C681" s="97" t="n">
        <x:v>45</x:v>
      </x:c>
      <x:c r="D681" s="97" t="str">
        <x:v>LP</x:v>
      </x:c>
      <x:c r="E681" s="99" t="n">
        <x:v>1</x:v>
      </x:c>
      <x:c r="F681" s="99" t="n">
        <x:v>0.045</x:v>
      </x:c>
      <x:c r="G681" s="99" t="n">
        <x:v>25</x:v>
      </x:c>
      <x:c r="H681" s="99" t="n">
        <x:v>0.05</x:v>
      </x:c>
      <x:c r="I681" s="99" t="n">
        <x:v>0.7850000000000007</x:v>
      </x:c>
      <x:c r="J681" s="98" t="n">
        <x:v>0.00004967816674990147</x:v>
      </x:c>
      <x:c r="K681" t="str">
        <x:v>low_vds</x:v>
      </x:c>
      <x:c r="L681" t="str">
        <x:v>low_drain_bias</x:v>
      </x:c>
      <x:c r="M681" t="n">
        <x:v>1.1</x:v>
      </x:c>
      <x:c r="N681" t="str">
        <x:v>simulation</x:v>
      </x:c>
      <x:c r="O681" t="str">
        <x:v>ngspice</x:v>
      </x:c>
      <x:c r="P681" t="str">
        <x:v>397141eb8a813045075ac2be3098d3b136ebaf4d597c08fca627922a75e443b7</x:v>
      </x:c>
      <x:c r="Q681" t="str">
        <x:v>data/raw/ptm45_lp_vds_0p05v_raw.txt</x:v>
      </x:c>
    </x:row>
    <x:row r="682">
      <x:c r="A682" t="str">
        <x:v>PTM</x:v>
      </x:c>
      <x:c r="B682" t="str">
        <x:v>NMOS</x:v>
      </x:c>
      <x:c r="C682" s="97" t="n">
        <x:v>45</x:v>
      </x:c>
      <x:c r="D682" s="97" t="str">
        <x:v>LP</x:v>
      </x:c>
      <x:c r="E682" s="99" t="n">
        <x:v>1</x:v>
      </x:c>
      <x:c r="F682" s="99" t="n">
        <x:v>0.045</x:v>
      </x:c>
      <x:c r="G682" s="99" t="n">
        <x:v>25</x:v>
      </x:c>
      <x:c r="H682" s="99" t="n">
        <x:v>0.05</x:v>
      </x:c>
      <x:c r="I682" s="99" t="n">
        <x:v>0.7900000000000007</x:v>
      </x:c>
      <x:c r="J682" s="98" t="n">
        <x:v>0.00005087762548429546</x:v>
      </x:c>
      <x:c r="K682" t="str">
        <x:v>low_vds</x:v>
      </x:c>
      <x:c r="L682" t="str">
        <x:v>low_drain_bias</x:v>
      </x:c>
      <x:c r="M682" t="n">
        <x:v>1.1</x:v>
      </x:c>
      <x:c r="N682" t="str">
        <x:v>simulation</x:v>
      </x:c>
      <x:c r="O682" t="str">
        <x:v>ngspice</x:v>
      </x:c>
      <x:c r="P682" t="str">
        <x:v>397141eb8a813045075ac2be3098d3b136ebaf4d597c08fca627922a75e443b7</x:v>
      </x:c>
      <x:c r="Q682" t="str">
        <x:v>data/raw/ptm45_lp_vds_0p05v_raw.txt</x:v>
      </x:c>
    </x:row>
    <x:row r="683">
      <x:c r="A683" t="str">
        <x:v>PTM</x:v>
      </x:c>
      <x:c r="B683" t="str">
        <x:v>NMOS</x:v>
      </x:c>
      <x:c r="C683" s="97" t="n">
        <x:v>45</x:v>
      </x:c>
      <x:c r="D683" s="97" t="str">
        <x:v>LP</x:v>
      </x:c>
      <x:c r="E683" s="99" t="n">
        <x:v>1</x:v>
      </x:c>
      <x:c r="F683" s="99" t="n">
        <x:v>0.045</x:v>
      </x:c>
      <x:c r="G683" s="99" t="n">
        <x:v>25</x:v>
      </x:c>
      <x:c r="H683" s="99" t="n">
        <x:v>0.05</x:v>
      </x:c>
      <x:c r="I683" s="99" t="n">
        <x:v>0.7950000000000007</x:v>
      </x:c>
      <x:c r="J683" s="98" t="n">
        <x:v>0.00005206426756385194</x:v>
      </x:c>
      <x:c r="K683" t="str">
        <x:v>low_vds</x:v>
      </x:c>
      <x:c r="L683" t="str">
        <x:v>low_drain_bias</x:v>
      </x:c>
      <x:c r="M683" t="n">
        <x:v>1.1</x:v>
      </x:c>
      <x:c r="N683" t="str">
        <x:v>simulation</x:v>
      </x:c>
      <x:c r="O683" t="str">
        <x:v>ngspice</x:v>
      </x:c>
      <x:c r="P683" t="str">
        <x:v>397141eb8a813045075ac2be3098d3b136ebaf4d597c08fca627922a75e443b7</x:v>
      </x:c>
      <x:c r="Q683" t="str">
        <x:v>data/raw/ptm45_lp_vds_0p05v_raw.txt</x:v>
      </x:c>
    </x:row>
    <x:row r="684">
      <x:c r="A684" t="str">
        <x:v>PTM</x:v>
      </x:c>
      <x:c r="B684" t="str">
        <x:v>NMOS</x:v>
      </x:c>
      <x:c r="C684" s="97" t="n">
        <x:v>45</x:v>
      </x:c>
      <x:c r="D684" s="97" t="str">
        <x:v>LP</x:v>
      </x:c>
      <x:c r="E684" s="99" t="n">
        <x:v>1</x:v>
      </x:c>
      <x:c r="F684" s="99" t="n">
        <x:v>0.045</x:v>
      </x:c>
      <x:c r="G684" s="99" t="n">
        <x:v>25</x:v>
      </x:c>
      <x:c r="H684" s="99" t="n">
        <x:v>0.05</x:v>
      </x:c>
      <x:c r="I684" s="99" t="n">
        <x:v>0.8000000000000007</x:v>
      </x:c>
      <x:c r="J684" s="98" t="n">
        <x:v>0.00005323766064044846</x:v>
      </x:c>
      <x:c r="K684" t="str">
        <x:v>low_vds</x:v>
      </x:c>
      <x:c r="L684" t="str">
        <x:v>low_drain_bias</x:v>
      </x:c>
      <x:c r="M684" t="n">
        <x:v>1.1</x:v>
      </x:c>
      <x:c r="N684" t="str">
        <x:v>simulation</x:v>
      </x:c>
      <x:c r="O684" t="str">
        <x:v>ngspice</x:v>
      </x:c>
      <x:c r="P684" t="str">
        <x:v>397141eb8a813045075ac2be3098d3b136ebaf4d597c08fca627922a75e443b7</x:v>
      </x:c>
      <x:c r="Q684" t="str">
        <x:v>data/raw/ptm45_lp_vds_0p05v_raw.txt</x:v>
      </x:c>
    </x:row>
    <x:row r="685">
      <x:c r="A685" t="str">
        <x:v>PTM</x:v>
      </x:c>
      <x:c r="B685" t="str">
        <x:v>NMOS</x:v>
      </x:c>
      <x:c r="C685" s="97" t="n">
        <x:v>45</x:v>
      </x:c>
      <x:c r="D685" s="97" t="str">
        <x:v>LP</x:v>
      </x:c>
      <x:c r="E685" s="99" t="n">
        <x:v>1</x:v>
      </x:c>
      <x:c r="F685" s="99" t="n">
        <x:v>0.045</x:v>
      </x:c>
      <x:c r="G685" s="99" t="n">
        <x:v>25</x:v>
      </x:c>
      <x:c r="H685" s="99" t="n">
        <x:v>0.05</x:v>
      </x:c>
      <x:c r="I685" s="99" t="n">
        <x:v>0.8050000000000007</x:v>
      </x:c>
      <x:c r="J685" s="98" t="n">
        <x:v>0.00005439743890911452</x:v>
      </x:c>
      <x:c r="K685" t="str">
        <x:v>low_vds</x:v>
      </x:c>
      <x:c r="L685" t="str">
        <x:v>low_drain_bias</x:v>
      </x:c>
      <x:c r="M685" t="n">
        <x:v>1.1</x:v>
      </x:c>
      <x:c r="N685" t="str">
        <x:v>simulation</x:v>
      </x:c>
      <x:c r="O685" t="str">
        <x:v>ngspice</x:v>
      </x:c>
      <x:c r="P685" t="str">
        <x:v>397141eb8a813045075ac2be3098d3b136ebaf4d597c08fca627922a75e443b7</x:v>
      </x:c>
      <x:c r="Q685" t="str">
        <x:v>data/raw/ptm45_lp_vds_0p05v_raw.txt</x:v>
      </x:c>
    </x:row>
    <x:row r="686">
      <x:c r="A686" t="str">
        <x:v>PTM</x:v>
      </x:c>
      <x:c r="B686" t="str">
        <x:v>NMOS</x:v>
      </x:c>
      <x:c r="C686" s="97" t="n">
        <x:v>45</x:v>
      </x:c>
      <x:c r="D686" s="97" t="str">
        <x:v>LP</x:v>
      </x:c>
      <x:c r="E686" s="99" t="n">
        <x:v>1</x:v>
      </x:c>
      <x:c r="F686" s="99" t="n">
        <x:v>0.045</x:v>
      </x:c>
      <x:c r="G686" s="99" t="n">
        <x:v>25</x:v>
      </x:c>
      <x:c r="H686" s="99" t="n">
        <x:v>0.05</x:v>
      </x:c>
      <x:c r="I686" s="99" t="n">
        <x:v>0.8100000000000007</x:v>
      </x:c>
      <x:c r="J686" s="98" t="n">
        <x:v>0.00005554329809735988</x:v>
      </x:c>
      <x:c r="K686" t="str">
        <x:v>low_vds</x:v>
      </x:c>
      <x:c r="L686" t="str">
        <x:v>low_drain_bias</x:v>
      </x:c>
      <x:c r="M686" t="n">
        <x:v>1.1</x:v>
      </x:c>
      <x:c r="N686" t="str">
        <x:v>simulation</x:v>
      </x:c>
      <x:c r="O686" t="str">
        <x:v>ngspice</x:v>
      </x:c>
      <x:c r="P686" t="str">
        <x:v>397141eb8a813045075ac2be3098d3b136ebaf4d597c08fca627922a75e443b7</x:v>
      </x:c>
      <x:c r="Q686" t="str">
        <x:v>data/raw/ptm45_lp_vds_0p05v_raw.txt</x:v>
      </x:c>
    </x:row>
    <x:row r="687">
      <x:c r="A687" t="str">
        <x:v>PTM</x:v>
      </x:c>
      <x:c r="B687" t="str">
        <x:v>NMOS</x:v>
      </x:c>
      <x:c r="C687" s="97" t="n">
        <x:v>45</x:v>
      </x:c>
      <x:c r="D687" s="97" t="str">
        <x:v>LP</x:v>
      </x:c>
      <x:c r="E687" s="99" t="n">
        <x:v>1</x:v>
      </x:c>
      <x:c r="F687" s="99" t="n">
        <x:v>0.045</x:v>
      </x:c>
      <x:c r="G687" s="99" t="n">
        <x:v>25</x:v>
      </x:c>
      <x:c r="H687" s="99" t="n">
        <x:v>0.05</x:v>
      </x:c>
      <x:c r="I687" s="99" t="n">
        <x:v>0.8150000000000007</x:v>
      </x:c>
      <x:c r="J687" s="98" t="n">
        <x:v>0.00005667499060563409</x:v>
      </x:c>
      <x:c r="K687" t="str">
        <x:v>low_vds</x:v>
      </x:c>
      <x:c r="L687" t="str">
        <x:v>low_drain_bias</x:v>
      </x:c>
      <x:c r="M687" t="n">
        <x:v>1.1</x:v>
      </x:c>
      <x:c r="N687" t="str">
        <x:v>simulation</x:v>
      </x:c>
      <x:c r="O687" t="str">
        <x:v>ngspice</x:v>
      </x:c>
      <x:c r="P687" t="str">
        <x:v>397141eb8a813045075ac2be3098d3b136ebaf4d597c08fca627922a75e443b7</x:v>
      </x:c>
      <x:c r="Q687" t="str">
        <x:v>data/raw/ptm45_lp_vds_0p05v_raw.txt</x:v>
      </x:c>
    </x:row>
    <x:row r="688">
      <x:c r="A688" t="str">
        <x:v>PTM</x:v>
      </x:c>
      <x:c r="B688" t="str">
        <x:v>NMOS</x:v>
      </x:c>
      <x:c r="C688" s="97" t="n">
        <x:v>45</x:v>
      </x:c>
      <x:c r="D688" s="97" t="str">
        <x:v>LP</x:v>
      </x:c>
      <x:c r="E688" s="99" t="n">
        <x:v>1</x:v>
      </x:c>
      <x:c r="F688" s="99" t="n">
        <x:v>0.045</x:v>
      </x:c>
      <x:c r="G688" s="99" t="n">
        <x:v>25</x:v>
      </x:c>
      <x:c r="H688" s="99" t="n">
        <x:v>0.05</x:v>
      </x:c>
      <x:c r="I688" s="99" t="n">
        <x:v>0.8200000000000007</x:v>
      </x:c>
      <x:c r="J688" s="98" t="n">
        <x:v>0.00005779232082995852</x:v>
      </x:c>
      <x:c r="K688" t="str">
        <x:v>low_vds</x:v>
      </x:c>
      <x:c r="L688" t="str">
        <x:v>low_drain_bias</x:v>
      </x:c>
      <x:c r="M688" t="n">
        <x:v>1.1</x:v>
      </x:c>
      <x:c r="N688" t="str">
        <x:v>simulation</x:v>
      </x:c>
      <x:c r="O688" t="str">
        <x:v>ngspice</x:v>
      </x:c>
      <x:c r="P688" t="str">
        <x:v>397141eb8a813045075ac2be3098d3b136ebaf4d597c08fca627922a75e443b7</x:v>
      </x:c>
      <x:c r="Q688" t="str">
        <x:v>data/raw/ptm45_lp_vds_0p05v_raw.txt</x:v>
      </x:c>
    </x:row>
    <x:row r="689">
      <x:c r="A689" t="str">
        <x:v>PTM</x:v>
      </x:c>
      <x:c r="B689" t="str">
        <x:v>NMOS</x:v>
      </x:c>
      <x:c r="C689" s="97" t="n">
        <x:v>45</x:v>
      </x:c>
      <x:c r="D689" s="97" t="str">
        <x:v>LP</x:v>
      </x:c>
      <x:c r="E689" s="99" t="n">
        <x:v>1</x:v>
      </x:c>
      <x:c r="F689" s="99" t="n">
        <x:v>0.045</x:v>
      </x:c>
      <x:c r="G689" s="99" t="n">
        <x:v>25</x:v>
      </x:c>
      <x:c r="H689" s="99" t="n">
        <x:v>0.05</x:v>
      </x:c>
      <x:c r="I689" s="99" t="n">
        <x:v>0.8250000000000007</x:v>
      </x:c>
      <x:c r="J689" s="98" t="n">
        <x:v>0.00005889514068990647</x:v>
      </x:c>
      <x:c r="K689" t="str">
        <x:v>low_vds</x:v>
      </x:c>
      <x:c r="L689" t="str">
        <x:v>low_drain_bias</x:v>
      </x:c>
      <x:c r="M689" t="n">
        <x:v>1.1</x:v>
      </x:c>
      <x:c r="N689" t="str">
        <x:v>simulation</x:v>
      </x:c>
      <x:c r="O689" t="str">
        <x:v>ngspice</x:v>
      </x:c>
      <x:c r="P689" t="str">
        <x:v>397141eb8a813045075ac2be3098d3b136ebaf4d597c08fca627922a75e443b7</x:v>
      </x:c>
      <x:c r="Q689" t="str">
        <x:v>data/raw/ptm45_lp_vds_0p05v_raw.txt</x:v>
      </x:c>
    </x:row>
    <x:row r="690">
      <x:c r="A690" t="str">
        <x:v>PTM</x:v>
      </x:c>
      <x:c r="B690" t="str">
        <x:v>NMOS</x:v>
      </x:c>
      <x:c r="C690" s="97" t="n">
        <x:v>45</x:v>
      </x:c>
      <x:c r="D690" s="97" t="str">
        <x:v>LP</x:v>
      </x:c>
      <x:c r="E690" s="99" t="n">
        <x:v>1</x:v>
      </x:c>
      <x:c r="F690" s="99" t="n">
        <x:v>0.045</x:v>
      </x:c>
      <x:c r="G690" s="99" t="n">
        <x:v>25</x:v>
      </x:c>
      <x:c r="H690" s="99" t="n">
        <x:v>0.05</x:v>
      </x:c>
      <x:c r="I690" s="99" t="n">
        <x:v>0.8300000000000007</x:v>
      </x:c>
      <x:c r="J690" s="98" t="n">
        <x:v>0.00005998334537830786</x:v>
      </x:c>
      <x:c r="K690" t="str">
        <x:v>low_vds</x:v>
      </x:c>
      <x:c r="L690" t="str">
        <x:v>low_drain_bias</x:v>
      </x:c>
      <x:c r="M690" t="n">
        <x:v>1.1</x:v>
      </x:c>
      <x:c r="N690" t="str">
        <x:v>simulation</x:v>
      </x:c>
      <x:c r="O690" t="str">
        <x:v>ngspice</x:v>
      </x:c>
      <x:c r="P690" t="str">
        <x:v>397141eb8a813045075ac2be3098d3b136ebaf4d597c08fca627922a75e443b7</x:v>
      </x:c>
      <x:c r="Q690" t="str">
        <x:v>data/raw/ptm45_lp_vds_0p05v_raw.txt</x:v>
      </x:c>
    </x:row>
    <x:row r="691">
      <x:c r="A691" t="str">
        <x:v>PTM</x:v>
      </x:c>
      <x:c r="B691" t="str">
        <x:v>NMOS</x:v>
      </x:c>
      <x:c r="C691" s="97" t="n">
        <x:v>45</x:v>
      </x:c>
      <x:c r="D691" s="97" t="str">
        <x:v>LP</x:v>
      </x:c>
      <x:c r="E691" s="99" t="n">
        <x:v>1</x:v>
      </x:c>
      <x:c r="F691" s="99" t="n">
        <x:v>0.045</x:v>
      </x:c>
      <x:c r="G691" s="99" t="n">
        <x:v>25</x:v>
      </x:c>
      <x:c r="H691" s="99" t="n">
        <x:v>0.05</x:v>
      </x:c>
      <x:c r="I691" s="99" t="n">
        <x:v>0.8350000000000007</x:v>
      </x:c>
      <x:c r="J691" s="98" t="n">
        <x:v>0.00006105686934324171</x:v>
      </x:c>
      <x:c r="K691" t="str">
        <x:v>low_vds</x:v>
      </x:c>
      <x:c r="L691" t="str">
        <x:v>low_drain_bias</x:v>
      </x:c>
      <x:c r="M691" t="n">
        <x:v>1.1</x:v>
      </x:c>
      <x:c r="N691" t="str">
        <x:v>simulation</x:v>
      </x:c>
      <x:c r="O691" t="str">
        <x:v>ngspice</x:v>
      </x:c>
      <x:c r="P691" t="str">
        <x:v>397141eb8a813045075ac2be3098d3b136ebaf4d597c08fca627922a75e443b7</x:v>
      </x:c>
      <x:c r="Q691" t="str">
        <x:v>data/raw/ptm45_lp_vds_0p05v_raw.txt</x:v>
      </x:c>
    </x:row>
    <x:row r="692">
      <x:c r="A692" t="str">
        <x:v>PTM</x:v>
      </x:c>
      <x:c r="B692" t="str">
        <x:v>NMOS</x:v>
      </x:c>
      <x:c r="C692" s="97" t="n">
        <x:v>45</x:v>
      </x:c>
      <x:c r="D692" s="97" t="str">
        <x:v>LP</x:v>
      </x:c>
      <x:c r="E692" s="99" t="n">
        <x:v>1</x:v>
      </x:c>
      <x:c r="F692" s="99" t="n">
        <x:v>0.045</x:v>
      </x:c>
      <x:c r="G692" s="99" t="n">
        <x:v>25</x:v>
      </x:c>
      <x:c r="H692" s="99" t="n">
        <x:v>0.05</x:v>
      </x:c>
      <x:c r="I692" s="99" t="n">
        <x:v>0.8400000000000007</x:v>
      </x:c>
      <x:c r="J692" s="98" t="n">
        <x:v>0.00006211568250798344</x:v>
      </x:c>
      <x:c r="K692" t="str">
        <x:v>low_vds</x:v>
      </x:c>
      <x:c r="L692" t="str">
        <x:v>low_drain_bias</x:v>
      </x:c>
      <x:c r="M692" t="n">
        <x:v>1.1</x:v>
      </x:c>
      <x:c r="N692" t="str">
        <x:v>simulation</x:v>
      </x:c>
      <x:c r="O692" t="str">
        <x:v>ngspice</x:v>
      </x:c>
      <x:c r="P692" t="str">
        <x:v>397141eb8a813045075ac2be3098d3b136ebaf4d597c08fca627922a75e443b7</x:v>
      </x:c>
      <x:c r="Q692" t="str">
        <x:v>data/raw/ptm45_lp_vds_0p05v_raw.txt</x:v>
      </x:c>
    </x:row>
    <x:row r="693">
      <x:c r="A693" t="str">
        <x:v>PTM</x:v>
      </x:c>
      <x:c r="B693" t="str">
        <x:v>NMOS</x:v>
      </x:c>
      <x:c r="C693" s="97" t="n">
        <x:v>45</x:v>
      </x:c>
      <x:c r="D693" s="97" t="str">
        <x:v>LP</x:v>
      </x:c>
      <x:c r="E693" s="99" t="n">
        <x:v>1</x:v>
      </x:c>
      <x:c r="F693" s="99" t="n">
        <x:v>0.045</x:v>
      </x:c>
      <x:c r="G693" s="99" t="n">
        <x:v>25</x:v>
      </x:c>
      <x:c r="H693" s="99" t="n">
        <x:v>0.05</x:v>
      </x:c>
      <x:c r="I693" s="99" t="n">
        <x:v>0.8450000000000008</x:v>
      </x:c>
      <x:c r="J693" s="98" t="n">
        <x:v>0.00006315978673050478</x:v>
      </x:c>
      <x:c r="K693" t="str">
        <x:v>low_vds</x:v>
      </x:c>
      <x:c r="L693" t="str">
        <x:v>low_drain_bias</x:v>
      </x:c>
      <x:c r="M693" t="n">
        <x:v>1.1</x:v>
      </x:c>
      <x:c r="N693" t="str">
        <x:v>simulation</x:v>
      </x:c>
      <x:c r="O693" t="str">
        <x:v>ngspice</x:v>
      </x:c>
      <x:c r="P693" t="str">
        <x:v>397141eb8a813045075ac2be3098d3b136ebaf4d597c08fca627922a75e443b7</x:v>
      </x:c>
      <x:c r="Q693" t="str">
        <x:v>data/raw/ptm45_lp_vds_0p05v_raw.txt</x:v>
      </x:c>
    </x:row>
    <x:row r="694">
      <x:c r="A694" t="str">
        <x:v>PTM</x:v>
      </x:c>
      <x:c r="B694" t="str">
        <x:v>NMOS</x:v>
      </x:c>
      <x:c r="C694" s="97" t="n">
        <x:v>45</x:v>
      </x:c>
      <x:c r="D694" s="97" t="str">
        <x:v>LP</x:v>
      </x:c>
      <x:c r="E694" s="99" t="n">
        <x:v>1</x:v>
      </x:c>
      <x:c r="F694" s="99" t="n">
        <x:v>0.045</x:v>
      </x:c>
      <x:c r="G694" s="99" t="n">
        <x:v>25</x:v>
      </x:c>
      <x:c r="H694" s="99" t="n">
        <x:v>0.05</x:v>
      </x:c>
      <x:c r="I694" s="99" t="n">
        <x:v>0.8500000000000008</x:v>
      </x:c>
      <x:c r="J694" s="98" t="n">
        <x:v>0.00006418921250078371</x:v>
      </x:c>
      <x:c r="K694" t="str">
        <x:v>low_vds</x:v>
      </x:c>
      <x:c r="L694" t="str">
        <x:v>low_drain_bias</x:v>
      </x:c>
      <x:c r="M694" t="n">
        <x:v>1.1</x:v>
      </x:c>
      <x:c r="N694" t="str">
        <x:v>simulation</x:v>
      </x:c>
      <x:c r="O694" t="str">
        <x:v>ngspice</x:v>
      </x:c>
      <x:c r="P694" t="str">
        <x:v>397141eb8a813045075ac2be3098d3b136ebaf4d597c08fca627922a75e443b7</x:v>
      </x:c>
      <x:c r="Q694" t="str">
        <x:v>data/raw/ptm45_lp_vds_0p05v_raw.txt</x:v>
      </x:c>
    </x:row>
    <x:row r="695">
      <x:c r="A695" t="str">
        <x:v>PTM</x:v>
      </x:c>
      <x:c r="B695" t="str">
        <x:v>NMOS</x:v>
      </x:c>
      <x:c r="C695" s="97" t="n">
        <x:v>45</x:v>
      </x:c>
      <x:c r="D695" s="97" t="str">
        <x:v>LP</x:v>
      </x:c>
      <x:c r="E695" s="99" t="n">
        <x:v>1</x:v>
      </x:c>
      <x:c r="F695" s="99" t="n">
        <x:v>0.045</x:v>
      </x:c>
      <x:c r="G695" s="99" t="n">
        <x:v>25</x:v>
      </x:c>
      <x:c r="H695" s="99" t="n">
        <x:v>0.05</x:v>
      </x:c>
      <x:c r="I695" s="99" t="n">
        <x:v>0.8550000000000008</x:v>
      </x:c>
      <x:c r="J695" s="98" t="n">
        <x:v>0.00006520401587150437</x:v>
      </x:c>
      <x:c r="K695" t="str">
        <x:v>low_vds</x:v>
      </x:c>
      <x:c r="L695" t="str">
        <x:v>low_drain_bias</x:v>
      </x:c>
      <x:c r="M695" t="n">
        <x:v>1.1</x:v>
      </x:c>
      <x:c r="N695" t="str">
        <x:v>simulation</x:v>
      </x:c>
      <x:c r="O695" t="str">
        <x:v>ngspice</x:v>
      </x:c>
      <x:c r="P695" t="str">
        <x:v>397141eb8a813045075ac2be3098d3b136ebaf4d597c08fca627922a75e443b7</x:v>
      </x:c>
      <x:c r="Q695" t="str">
        <x:v>data/raw/ptm45_lp_vds_0p05v_raw.txt</x:v>
      </x:c>
    </x:row>
    <x:row r="696">
      <x:c r="A696" t="str">
        <x:v>PTM</x:v>
      </x:c>
      <x:c r="B696" t="str">
        <x:v>NMOS</x:v>
      </x:c>
      <x:c r="C696" s="97" t="n">
        <x:v>45</x:v>
      </x:c>
      <x:c r="D696" s="97" t="str">
        <x:v>LP</x:v>
      </x:c>
      <x:c r="E696" s="99" t="n">
        <x:v>1</x:v>
      </x:c>
      <x:c r="F696" s="99" t="n">
        <x:v>0.045</x:v>
      </x:c>
      <x:c r="G696" s="99" t="n">
        <x:v>25</x:v>
      </x:c>
      <x:c r="H696" s="99" t="n">
        <x:v>0.05</x:v>
      </x:c>
      <x:c r="I696" s="99" t="n">
        <x:v>0.8600000000000008</x:v>
      </x:c>
      <x:c r="J696" s="98" t="n">
        <x:v>0.00006620427561561368</x:v>
      </x:c>
      <x:c r="K696" t="str">
        <x:v>low_vds</x:v>
      </x:c>
      <x:c r="L696" t="str">
        <x:v>low_drain_bias</x:v>
      </x:c>
      <x:c r="M696" t="n">
        <x:v>1.1</x:v>
      </x:c>
      <x:c r="N696" t="str">
        <x:v>simulation</x:v>
      </x:c>
      <x:c r="O696" t="str">
        <x:v>ngspice</x:v>
      </x:c>
      <x:c r="P696" t="str">
        <x:v>397141eb8a813045075ac2be3098d3b136ebaf4d597c08fca627922a75e443b7</x:v>
      </x:c>
      <x:c r="Q696" t="str">
        <x:v>data/raw/ptm45_lp_vds_0p05v_raw.txt</x:v>
      </x:c>
    </x:row>
    <x:row r="697">
      <x:c r="A697" t="str">
        <x:v>PTM</x:v>
      </x:c>
      <x:c r="B697" t="str">
        <x:v>NMOS</x:v>
      </x:c>
      <x:c r="C697" s="97" t="n">
        <x:v>45</x:v>
      </x:c>
      <x:c r="D697" s="97" t="str">
        <x:v>LP</x:v>
      </x:c>
      <x:c r="E697" s="99" t="n">
        <x:v>1</x:v>
      </x:c>
      <x:c r="F697" s="99" t="n">
        <x:v>0.045</x:v>
      </x:c>
      <x:c r="G697" s="99" t="n">
        <x:v>25</x:v>
      </x:c>
      <x:c r="H697" s="99" t="n">
        <x:v>0.05</x:v>
      </x:c>
      <x:c r="I697" s="99" t="n">
        <x:v>0.8650000000000008</x:v>
      </x:c>
      <x:c r="J697" s="98" t="n">
        <x:v>0.00006719009060258334</x:v>
      </x:c>
      <x:c r="K697" t="str">
        <x:v>low_vds</x:v>
      </x:c>
      <x:c r="L697" t="str">
        <x:v>low_drain_bias</x:v>
      </x:c>
      <x:c r="M697" t="n">
        <x:v>1.1</x:v>
      </x:c>
      <x:c r="N697" t="str">
        <x:v>simulation</x:v>
      </x:c>
      <x:c r="O697" t="str">
        <x:v>ngspice</x:v>
      </x:c>
      <x:c r="P697" t="str">
        <x:v>397141eb8a813045075ac2be3098d3b136ebaf4d597c08fca627922a75e443b7</x:v>
      </x:c>
      <x:c r="Q697" t="str">
        <x:v>data/raw/ptm45_lp_vds_0p05v_raw.txt</x:v>
      </x:c>
    </x:row>
    <x:row r="698">
      <x:c r="A698" t="str">
        <x:v>PTM</x:v>
      </x:c>
      <x:c r="B698" t="str">
        <x:v>NMOS</x:v>
      </x:c>
      <x:c r="C698" s="97" t="n">
        <x:v>45</x:v>
      </x:c>
      <x:c r="D698" s="97" t="str">
        <x:v>LP</x:v>
      </x:c>
      <x:c r="E698" s="99" t="n">
        <x:v>1</x:v>
      </x:c>
      <x:c r="F698" s="99" t="n">
        <x:v>0.045</x:v>
      </x:c>
      <x:c r="G698" s="99" t="n">
        <x:v>25</x:v>
      </x:c>
      <x:c r="H698" s="99" t="n">
        <x:v>0.05</x:v>
      </x:c>
      <x:c r="I698" s="99" t="n">
        <x:v>0.8700000000000008</x:v>
      </x:c>
      <x:c r="J698" s="98" t="n">
        <x:v>0.00006816157738403268</x:v>
      </x:c>
      <x:c r="K698" t="str">
        <x:v>low_vds</x:v>
      </x:c>
      <x:c r="L698" t="str">
        <x:v>low_drain_bias</x:v>
      </x:c>
      <x:c r="M698" t="n">
        <x:v>1.1</x:v>
      </x:c>
      <x:c r="N698" t="str">
        <x:v>simulation</x:v>
      </x:c>
      <x:c r="O698" t="str">
        <x:v>ngspice</x:v>
      </x:c>
      <x:c r="P698" t="str">
        <x:v>397141eb8a813045075ac2be3098d3b136ebaf4d597c08fca627922a75e443b7</x:v>
      </x:c>
      <x:c r="Q698" t="str">
        <x:v>data/raw/ptm45_lp_vds_0p05v_raw.txt</x:v>
      </x:c>
    </x:row>
    <x:row r="699">
      <x:c r="A699" t="str">
        <x:v>PTM</x:v>
      </x:c>
      <x:c r="B699" t="str">
        <x:v>NMOS</x:v>
      </x:c>
      <x:c r="C699" s="97" t="n">
        <x:v>45</x:v>
      </x:c>
      <x:c r="D699" s="97" t="str">
        <x:v>LP</x:v>
      </x:c>
      <x:c r="E699" s="99" t="n">
        <x:v>1</x:v>
      </x:c>
      <x:c r="F699" s="99" t="n">
        <x:v>0.045</x:v>
      </x:c>
      <x:c r="G699" s="99" t="n">
        <x:v>25</x:v>
      </x:c>
      <x:c r="H699" s="99" t="n">
        <x:v>0.05</x:v>
      </x:c>
      <x:c r="I699" s="99" t="n">
        <x:v>0.8750000000000008</x:v>
      </x:c>
      <x:c r="J699" s="98" t="n">
        <x:v>0.00006911886797853112</x:v>
      </x:c>
      <x:c r="K699" t="str">
        <x:v>low_vds</x:v>
      </x:c>
      <x:c r="L699" t="str">
        <x:v>low_drain_bias</x:v>
      </x:c>
      <x:c r="M699" t="n">
        <x:v>1.1</x:v>
      </x:c>
      <x:c r="N699" t="str">
        <x:v>simulation</x:v>
      </x:c>
      <x:c r="O699" t="str">
        <x:v>ngspice</x:v>
      </x:c>
      <x:c r="P699" t="str">
        <x:v>397141eb8a813045075ac2be3098d3b136ebaf4d597c08fca627922a75e443b7</x:v>
      </x:c>
      <x:c r="Q699" t="str">
        <x:v>data/raw/ptm45_lp_vds_0p05v_raw.txt</x:v>
      </x:c>
    </x:row>
    <x:row r="700">
      <x:c r="A700" t="str">
        <x:v>PTM</x:v>
      </x:c>
      <x:c r="B700" t="str">
        <x:v>NMOS</x:v>
      </x:c>
      <x:c r="C700" s="97" t="n">
        <x:v>45</x:v>
      </x:c>
      <x:c r="D700" s="97" t="str">
        <x:v>LP</x:v>
      </x:c>
      <x:c r="E700" s="99" t="n">
        <x:v>1</x:v>
      </x:c>
      <x:c r="F700" s="99" t="n">
        <x:v>0.045</x:v>
      </x:c>
      <x:c r="G700" s="99" t="n">
        <x:v>25</x:v>
      </x:c>
      <x:c r="H700" s="99" t="n">
        <x:v>0.05</x:v>
      </x:c>
      <x:c r="I700" s="99" t="n">
        <x:v>0.8800000000000008</x:v>
      </x:c>
      <x:c r="J700" s="98" t="n">
        <x:v>0.00007006210784486281</x:v>
      </x:c>
      <x:c r="K700" t="str">
        <x:v>low_vds</x:v>
      </x:c>
      <x:c r="L700" t="str">
        <x:v>low_drain_bias</x:v>
      </x:c>
      <x:c r="M700" t="n">
        <x:v>1.1</x:v>
      </x:c>
      <x:c r="N700" t="str">
        <x:v>simulation</x:v>
      </x:c>
      <x:c r="O700" t="str">
        <x:v>ngspice</x:v>
      </x:c>
      <x:c r="P700" t="str">
        <x:v>397141eb8a813045075ac2be3098d3b136ebaf4d597c08fca627922a75e443b7</x:v>
      </x:c>
      <x:c r="Q700" t="str">
        <x:v>data/raw/ptm45_lp_vds_0p05v_raw.txt</x:v>
      </x:c>
    </x:row>
    <x:row r="701">
      <x:c r="A701" t="str">
        <x:v>PTM</x:v>
      </x:c>
      <x:c r="B701" t="str">
        <x:v>NMOS</x:v>
      </x:c>
      <x:c r="C701" s="97" t="n">
        <x:v>45</x:v>
      </x:c>
      <x:c r="D701" s="97" t="str">
        <x:v>LP</x:v>
      </x:c>
      <x:c r="E701" s="99" t="n">
        <x:v>1</x:v>
      </x:c>
      <x:c r="F701" s="99" t="n">
        <x:v>0.045</x:v>
      </x:c>
      <x:c r="G701" s="99" t="n">
        <x:v>25</x:v>
      </x:c>
      <x:c r="H701" s="99" t="n">
        <x:v>0.05</x:v>
      </x:c>
      <x:c r="I701" s="99" t="n">
        <x:v>0.8850000000000008</x:v>
      </x:c>
      <x:c r="J701" s="98" t="n">
        <x:v>0.00007099145403275279</x:v>
      </x:c>
      <x:c r="K701" t="str">
        <x:v>low_vds</x:v>
      </x:c>
      <x:c r="L701" t="str">
        <x:v>low_drain_bias</x:v>
      </x:c>
      <x:c r="M701" t="n">
        <x:v>1.1</x:v>
      </x:c>
      <x:c r="N701" t="str">
        <x:v>simulation</x:v>
      </x:c>
      <x:c r="O701" t="str">
        <x:v>ngspice</x:v>
      </x:c>
      <x:c r="P701" t="str">
        <x:v>397141eb8a813045075ac2be3098d3b136ebaf4d597c08fca627922a75e443b7</x:v>
      </x:c>
      <x:c r="Q701" t="str">
        <x:v>data/raw/ptm45_lp_vds_0p05v_raw.txt</x:v>
      </x:c>
    </x:row>
    <x:row r="702">
      <x:c r="A702" t="str">
        <x:v>PTM</x:v>
      </x:c>
      <x:c r="B702" t="str">
        <x:v>NMOS</x:v>
      </x:c>
      <x:c r="C702" s="97" t="n">
        <x:v>45</x:v>
      </x:c>
      <x:c r="D702" s="97" t="str">
        <x:v>LP</x:v>
      </x:c>
      <x:c r="E702" s="99" t="n">
        <x:v>1</x:v>
      </x:c>
      <x:c r="F702" s="99" t="n">
        <x:v>0.045</x:v>
      </x:c>
      <x:c r="G702" s="99" t="n">
        <x:v>25</x:v>
      </x:c>
      <x:c r="H702" s="99" t="n">
        <x:v>0.05</x:v>
      </x:c>
      <x:c r="I702" s="99" t="n">
        <x:v>0.8900000000000008</x:v>
      </x:c>
      <x:c r="J702" s="98" t="n">
        <x:v>0.00007190707349996603</x:v>
      </x:c>
      <x:c r="K702" t="str">
        <x:v>low_vds</x:v>
      </x:c>
      <x:c r="L702" t="str">
        <x:v>low_drain_bias</x:v>
      </x:c>
      <x:c r="M702" t="n">
        <x:v>1.1</x:v>
      </x:c>
      <x:c r="N702" t="str">
        <x:v>simulation</x:v>
      </x:c>
      <x:c r="O702" t="str">
        <x:v>ngspice</x:v>
      </x:c>
      <x:c r="P702" t="str">
        <x:v>397141eb8a813045075ac2be3098d3b136ebaf4d597c08fca627922a75e443b7</x:v>
      </x:c>
      <x:c r="Q702" t="str">
        <x:v>data/raw/ptm45_lp_vds_0p05v_raw.txt</x:v>
      </x:c>
    </x:row>
    <x:row r="703">
      <x:c r="A703" t="str">
        <x:v>PTM</x:v>
      </x:c>
      <x:c r="B703" t="str">
        <x:v>NMOS</x:v>
      </x:c>
      <x:c r="C703" s="97" t="n">
        <x:v>45</x:v>
      </x:c>
      <x:c r="D703" s="97" t="str">
        <x:v>LP</x:v>
      </x:c>
      <x:c r="E703" s="99" t="n">
        <x:v>1</x:v>
      </x:c>
      <x:c r="F703" s="99" t="n">
        <x:v>0.045</x:v>
      </x:c>
      <x:c r="G703" s="99" t="n">
        <x:v>25</x:v>
      </x:c>
      <x:c r="H703" s="99" t="n">
        <x:v>0.05</x:v>
      </x:c>
      <x:c r="I703" s="99" t="n">
        <x:v>0.8950000000000008</x:v>
      </x:c>
      <x:c r="J703" s="98" t="n">
        <x:v>0.000072809141584778</x:v>
      </x:c>
      <x:c r="K703" t="str">
        <x:v>low_vds</x:v>
      </x:c>
      <x:c r="L703" t="str">
        <x:v>low_drain_bias</x:v>
      </x:c>
      <x:c r="M703" t="n">
        <x:v>1.1</x:v>
      </x:c>
      <x:c r="N703" t="str">
        <x:v>simulation</x:v>
      </x:c>
      <x:c r="O703" t="str">
        <x:v>ngspice</x:v>
      </x:c>
      <x:c r="P703" t="str">
        <x:v>397141eb8a813045075ac2be3098d3b136ebaf4d597c08fca627922a75e443b7</x:v>
      </x:c>
      <x:c r="Q703" t="str">
        <x:v>data/raw/ptm45_lp_vds_0p05v_raw.txt</x:v>
      </x:c>
    </x:row>
    <x:row r="704">
      <x:c r="A704" t="str">
        <x:v>PTM</x:v>
      </x:c>
      <x:c r="B704" t="str">
        <x:v>NMOS</x:v>
      </x:c>
      <x:c r="C704" s="97" t="n">
        <x:v>45</x:v>
      </x:c>
      <x:c r="D704" s="97" t="str">
        <x:v>LP</x:v>
      </x:c>
      <x:c r="E704" s="99" t="n">
        <x:v>1</x:v>
      </x:c>
      <x:c r="F704" s="99" t="n">
        <x:v>0.045</x:v>
      </x:c>
      <x:c r="G704" s="99" t="n">
        <x:v>25</x:v>
      </x:c>
      <x:c r="H704" s="99" t="n">
        <x:v>0.05</x:v>
      </x:c>
      <x:c r="I704" s="99" t="n">
        <x:v>0.9000000000000008</x:v>
      </x:c>
      <x:c r="J704" s="98" t="n">
        <x:v>0.0000736978406230208</x:v>
      </x:c>
      <x:c r="K704" t="str">
        <x:v>low_vds</x:v>
      </x:c>
      <x:c r="L704" t="str">
        <x:v>low_drain_bias</x:v>
      </x:c>
      <x:c r="M704" t="n">
        <x:v>1.1</x:v>
      </x:c>
      <x:c r="N704" t="str">
        <x:v>simulation</x:v>
      </x:c>
      <x:c r="O704" t="str">
        <x:v>ngspice</x:v>
      </x:c>
      <x:c r="P704" t="str">
        <x:v>397141eb8a813045075ac2be3098d3b136ebaf4d597c08fca627922a75e443b7</x:v>
      </x:c>
      <x:c r="Q704" t="str">
        <x:v>data/raw/ptm45_lp_vds_0p05v_raw.txt</x:v>
      </x:c>
    </x:row>
    <x:row r="705">
      <x:c r="A705" t="str">
        <x:v>PTM</x:v>
      </x:c>
      <x:c r="B705" t="str">
        <x:v>NMOS</x:v>
      </x:c>
      <x:c r="C705" s="97" t="n">
        <x:v>45</x:v>
      </x:c>
      <x:c r="D705" s="97" t="str">
        <x:v>LP</x:v>
      </x:c>
      <x:c r="E705" s="99" t="n">
        <x:v>1</x:v>
      </x:c>
      <x:c r="F705" s="99" t="n">
        <x:v>0.045</x:v>
      </x:c>
      <x:c r="G705" s="99" t="n">
        <x:v>25</x:v>
      </x:c>
      <x:c r="H705" s="99" t="n">
        <x:v>0.05</x:v>
      </x:c>
      <x:c r="I705" s="99" t="n">
        <x:v>0.9050000000000008</x:v>
      </x:c>
      <x:c r="J705" s="98" t="n">
        <x:v>0.00007457335869922385</x:v>
      </x:c>
      <x:c r="K705" t="str">
        <x:v>low_vds</x:v>
      </x:c>
      <x:c r="L705" t="str">
        <x:v>low_drain_bias</x:v>
      </x:c>
      <x:c r="M705" t="n">
        <x:v>1.1</x:v>
      </x:c>
      <x:c r="N705" t="str">
        <x:v>simulation</x:v>
      </x:c>
      <x:c r="O705" t="str">
        <x:v>ngspice</x:v>
      </x:c>
      <x:c r="P705" t="str">
        <x:v>397141eb8a813045075ac2be3098d3b136ebaf4d597c08fca627922a75e443b7</x:v>
      </x:c>
      <x:c r="Q705" t="str">
        <x:v>data/raw/ptm45_lp_vds_0p05v_raw.txt</x:v>
      </x:c>
    </x:row>
    <x:row r="706">
      <x:c r="A706" t="str">
        <x:v>PTM</x:v>
      </x:c>
      <x:c r="B706" t="str">
        <x:v>NMOS</x:v>
      </x:c>
      <x:c r="C706" s="97" t="n">
        <x:v>45</x:v>
      </x:c>
      <x:c r="D706" s="97" t="str">
        <x:v>LP</x:v>
      </x:c>
      <x:c r="E706" s="99" t="n">
        <x:v>1</x:v>
      </x:c>
      <x:c r="F706" s="99" t="n">
        <x:v>0.045</x:v>
      </x:c>
      <x:c r="G706" s="99" t="n">
        <x:v>25</x:v>
      </x:c>
      <x:c r="H706" s="99" t="n">
        <x:v>0.05</x:v>
      </x:c>
      <x:c r="I706" s="99" t="n">
        <x:v>0.9100000000000008</x:v>
      </x:c>
      <x:c r="J706" s="98" t="n">
        <x:v>0.00007543588852175717</x:v>
      </x:c>
      <x:c r="K706" t="str">
        <x:v>low_vds</x:v>
      </x:c>
      <x:c r="L706" t="str">
        <x:v>low_drain_bias</x:v>
      </x:c>
      <x:c r="M706" t="n">
        <x:v>1.1</x:v>
      </x:c>
      <x:c r="N706" t="str">
        <x:v>simulation</x:v>
      </x:c>
      <x:c r="O706" t="str">
        <x:v>ngspice</x:v>
      </x:c>
      <x:c r="P706" t="str">
        <x:v>397141eb8a813045075ac2be3098d3b136ebaf4d597c08fca627922a75e443b7</x:v>
      </x:c>
      <x:c r="Q706" t="str">
        <x:v>data/raw/ptm45_lp_vds_0p05v_raw.txt</x:v>
      </x:c>
    </x:row>
    <x:row r="707">
      <x:c r="A707" t="str">
        <x:v>PTM</x:v>
      </x:c>
      <x:c r="B707" t="str">
        <x:v>NMOS</x:v>
      </x:c>
      <x:c r="C707" s="97" t="n">
        <x:v>45</x:v>
      </x:c>
      <x:c r="D707" s="97" t="str">
        <x:v>LP</x:v>
      </x:c>
      <x:c r="E707" s="99" t="n">
        <x:v>1</x:v>
      </x:c>
      <x:c r="F707" s="99" t="n">
        <x:v>0.045</x:v>
      </x:c>
      <x:c r="G707" s="99" t="n">
        <x:v>25</x:v>
      </x:c>
      <x:c r="H707" s="99" t="n">
        <x:v>0.05</x:v>
      </x:c>
      <x:c r="I707" s="99" t="n">
        <x:v>0.9150000000000008</x:v>
      </x:c>
      <x:c r="J707" s="98" t="n">
        <x:v>0.00007628562641231874</x:v>
      </x:c>
      <x:c r="K707" t="str">
        <x:v>low_vds</x:v>
      </x:c>
      <x:c r="L707" t="str">
        <x:v>low_drain_bias</x:v>
      </x:c>
      <x:c r="M707" t="n">
        <x:v>1.1</x:v>
      </x:c>
      <x:c r="N707" t="str">
        <x:v>simulation</x:v>
      </x:c>
      <x:c r="O707" t="str">
        <x:v>ngspice</x:v>
      </x:c>
      <x:c r="P707" t="str">
        <x:v>397141eb8a813045075ac2be3098d3b136ebaf4d597c08fca627922a75e443b7</x:v>
      </x:c>
      <x:c r="Q707" t="str">
        <x:v>data/raw/ptm45_lp_vds_0p05v_raw.txt</x:v>
      </x:c>
    </x:row>
    <x:row r="708">
      <x:c r="A708" t="str">
        <x:v>PTM</x:v>
      </x:c>
      <x:c r="B708" t="str">
        <x:v>NMOS</x:v>
      </x:c>
      <x:c r="C708" s="97" t="n">
        <x:v>45</x:v>
      </x:c>
      <x:c r="D708" s="97" t="str">
        <x:v>LP</x:v>
      </x:c>
      <x:c r="E708" s="99" t="n">
        <x:v>1</x:v>
      </x:c>
      <x:c r="F708" s="99" t="n">
        <x:v>0.045</x:v>
      </x:c>
      <x:c r="G708" s="99" t="n">
        <x:v>25</x:v>
      </x:c>
      <x:c r="H708" s="99" t="n">
        <x:v>0.05</x:v>
      </x:c>
      <x:c r="I708" s="99" t="n">
        <x:v>0.9200000000000008</x:v>
      </x:c>
      <x:c r="J708" s="98" t="n">
        <x:v>0.00007712277140059742</x:v>
      </x:c>
      <x:c r="K708" t="str">
        <x:v>low_vds</x:v>
      </x:c>
      <x:c r="L708" t="str">
        <x:v>low_drain_bias</x:v>
      </x:c>
      <x:c r="M708" t="n">
        <x:v>1.1</x:v>
      </x:c>
      <x:c r="N708" t="str">
        <x:v>simulation</x:v>
      </x:c>
      <x:c r="O708" t="str">
        <x:v>ngspice</x:v>
      </x:c>
      <x:c r="P708" t="str">
        <x:v>397141eb8a813045075ac2be3098d3b136ebaf4d597c08fca627922a75e443b7</x:v>
      </x:c>
      <x:c r="Q708" t="str">
        <x:v>data/raw/ptm45_lp_vds_0p05v_raw.txt</x:v>
      </x:c>
    </x:row>
    <x:row r="709">
      <x:c r="A709" t="str">
        <x:v>PTM</x:v>
      </x:c>
      <x:c r="B709" t="str">
        <x:v>NMOS</x:v>
      </x:c>
      <x:c r="C709" s="97" t="n">
        <x:v>45</x:v>
      </x:c>
      <x:c r="D709" s="97" t="str">
        <x:v>LP</x:v>
      </x:c>
      <x:c r="E709" s="99" t="n">
        <x:v>1</x:v>
      </x:c>
      <x:c r="F709" s="99" t="n">
        <x:v>0.045</x:v>
      </x:c>
      <x:c r="G709" s="99" t="n">
        <x:v>25</x:v>
      </x:c>
      <x:c r="H709" s="99" t="n">
        <x:v>0.05</x:v>
      </x:c>
      <x:c r="I709" s="99" t="n">
        <x:v>0.9250000000000008</x:v>
      </x:c>
      <x:c r="J709" s="98" t="n">
        <x:v>0.00007794752441543632</x:v>
      </x:c>
      <x:c r="K709" t="str">
        <x:v>low_vds</x:v>
      </x:c>
      <x:c r="L709" t="str">
        <x:v>low_drain_bias</x:v>
      </x:c>
      <x:c r="M709" t="n">
        <x:v>1.1</x:v>
      </x:c>
      <x:c r="N709" t="str">
        <x:v>simulation</x:v>
      </x:c>
      <x:c r="O709" t="str">
        <x:v>ngspice</x:v>
      </x:c>
      <x:c r="P709" t="str">
        <x:v>397141eb8a813045075ac2be3098d3b136ebaf4d597c08fca627922a75e443b7</x:v>
      </x:c>
      <x:c r="Q709" t="str">
        <x:v>data/raw/ptm45_lp_vds_0p05v_raw.txt</x:v>
      </x:c>
    </x:row>
    <x:row r="710">
      <x:c r="A710" t="str">
        <x:v>PTM</x:v>
      </x:c>
      <x:c r="B710" t="str">
        <x:v>NMOS</x:v>
      </x:c>
      <x:c r="C710" s="97" t="n">
        <x:v>45</x:v>
      </x:c>
      <x:c r="D710" s="97" t="str">
        <x:v>LP</x:v>
      </x:c>
      <x:c r="E710" s="99" t="n">
        <x:v>1</x:v>
      </x:c>
      <x:c r="F710" s="99" t="n">
        <x:v>0.045</x:v>
      </x:c>
      <x:c r="G710" s="99" t="n">
        <x:v>25</x:v>
      </x:c>
      <x:c r="H710" s="99" t="n">
        <x:v>0.05</x:v>
      </x:c>
      <x:c r="I710" s="99" t="n">
        <x:v>0.9300000000000008</x:v>
      </x:c>
      <x:c r="J710" s="98" t="n">
        <x:v>0.00007876008756434156</x:v>
      </x:c>
      <x:c r="K710" t="str">
        <x:v>low_vds</x:v>
      </x:c>
      <x:c r="L710" t="str">
        <x:v>low_drain_bias</x:v>
      </x:c>
      <x:c r="M710" t="n">
        <x:v>1.1</x:v>
      </x:c>
      <x:c r="N710" t="str">
        <x:v>simulation</x:v>
      </x:c>
      <x:c r="O710" t="str">
        <x:v>ngspice</x:v>
      </x:c>
      <x:c r="P710" t="str">
        <x:v>397141eb8a813045075ac2be3098d3b136ebaf4d597c08fca627922a75e443b7</x:v>
      </x:c>
      <x:c r="Q710" t="str">
        <x:v>data/raw/ptm45_lp_vds_0p05v_raw.txt</x:v>
      </x:c>
    </x:row>
    <x:row r="711">
      <x:c r="A711" t="str">
        <x:v>PTM</x:v>
      </x:c>
      <x:c r="B711" t="str">
        <x:v>NMOS</x:v>
      </x:c>
      <x:c r="C711" s="97" t="n">
        <x:v>45</x:v>
      </x:c>
      <x:c r="D711" s="97" t="str">
        <x:v>LP</x:v>
      </x:c>
      <x:c r="E711" s="99" t="n">
        <x:v>1</x:v>
      </x:c>
      <x:c r="F711" s="99" t="n">
        <x:v>0.045</x:v>
      </x:c>
      <x:c r="G711" s="99" t="n">
        <x:v>25</x:v>
      </x:c>
      <x:c r="H711" s="99" t="n">
        <x:v>0.05</x:v>
      </x:c>
      <x:c r="I711" s="99" t="n">
        <x:v>0.9350000000000008</x:v>
      </x:c>
      <x:c r="J711" s="98" t="n">
        <x:v>0.00007956066349368961</x:v>
      </x:c>
      <x:c r="K711" t="str">
        <x:v>low_vds</x:v>
      </x:c>
      <x:c r="L711" t="str">
        <x:v>low_drain_bias</x:v>
      </x:c>
      <x:c r="M711" t="n">
        <x:v>1.1</x:v>
      </x:c>
      <x:c r="N711" t="str">
        <x:v>simulation</x:v>
      </x:c>
      <x:c r="O711" t="str">
        <x:v>ngspice</x:v>
      </x:c>
      <x:c r="P711" t="str">
        <x:v>397141eb8a813045075ac2be3098d3b136ebaf4d597c08fca627922a75e443b7</x:v>
      </x:c>
      <x:c r="Q711" t="str">
        <x:v>data/raw/ptm45_lp_vds_0p05v_raw.txt</x:v>
      </x:c>
    </x:row>
    <x:row r="712">
      <x:c r="A712" t="str">
        <x:v>PTM</x:v>
      </x:c>
      <x:c r="B712" t="str">
        <x:v>NMOS</x:v>
      </x:c>
      <x:c r="C712" s="97" t="n">
        <x:v>45</x:v>
      </x:c>
      <x:c r="D712" s="97" t="str">
        <x:v>LP</x:v>
      </x:c>
      <x:c r="E712" s="99" t="n">
        <x:v>1</x:v>
      </x:c>
      <x:c r="F712" s="99" t="n">
        <x:v>0.045</x:v>
      </x:c>
      <x:c r="G712" s="99" t="n">
        <x:v>25</x:v>
      </x:c>
      <x:c r="H712" s="99" t="n">
        <x:v>0.05</x:v>
      </x:c>
      <x:c r="I712" s="99" t="n">
        <x:v>0.9400000000000008</x:v>
      </x:c>
      <x:c r="J712" s="98" t="n">
        <x:v>0.00008034945482250102</x:v>
      </x:c>
      <x:c r="K712" t="str">
        <x:v>low_vds</x:v>
      </x:c>
      <x:c r="L712" t="str">
        <x:v>low_drain_bias</x:v>
      </x:c>
      <x:c r="M712" t="n">
        <x:v>1.1</x:v>
      </x:c>
      <x:c r="N712" t="str">
        <x:v>simulation</x:v>
      </x:c>
      <x:c r="O712" t="str">
        <x:v>ngspice</x:v>
      </x:c>
      <x:c r="P712" t="str">
        <x:v>397141eb8a813045075ac2be3098d3b136ebaf4d597c08fca627922a75e443b7</x:v>
      </x:c>
      <x:c r="Q712" t="str">
        <x:v>data/raw/ptm45_lp_vds_0p05v_raw.txt</x:v>
      </x:c>
    </x:row>
    <x:row r="713">
      <x:c r="A713" t="str">
        <x:v>PTM</x:v>
      </x:c>
      <x:c r="B713" t="str">
        <x:v>NMOS</x:v>
      </x:c>
      <x:c r="C713" s="97" t="n">
        <x:v>45</x:v>
      </x:c>
      <x:c r="D713" s="97" t="str">
        <x:v>LP</x:v>
      </x:c>
      <x:c r="E713" s="99" t="n">
        <x:v>1</x:v>
      </x:c>
      <x:c r="F713" s="99" t="n">
        <x:v>0.045</x:v>
      </x:c>
      <x:c r="G713" s="99" t="n">
        <x:v>25</x:v>
      </x:c>
      <x:c r="H713" s="99" t="n">
        <x:v>0.05</x:v>
      </x:c>
      <x:c r="I713" s="99" t="n">
        <x:v>0.9450000000000008</x:v>
      </x:c>
      <x:c r="J713" s="98" t="n">
        <x:v>0.00008112666364314556</x:v>
      </x:c>
      <x:c r="K713" t="str">
        <x:v>low_vds</x:v>
      </x:c>
      <x:c r="L713" t="str">
        <x:v>low_drain_bias</x:v>
      </x:c>
      <x:c r="M713" t="n">
        <x:v>1.1</x:v>
      </x:c>
      <x:c r="N713" t="str">
        <x:v>simulation</x:v>
      </x:c>
      <x:c r="O713" t="str">
        <x:v>ngspice</x:v>
      </x:c>
      <x:c r="P713" t="str">
        <x:v>397141eb8a813045075ac2be3098d3b136ebaf4d597c08fca627922a75e443b7</x:v>
      </x:c>
      <x:c r="Q713" t="str">
        <x:v>data/raw/ptm45_lp_vds_0p05v_raw.txt</x:v>
      </x:c>
    </x:row>
    <x:row r="714">
      <x:c r="A714" t="str">
        <x:v>PTM</x:v>
      </x:c>
      <x:c r="B714" t="str">
        <x:v>NMOS</x:v>
      </x:c>
      <x:c r="C714" s="97" t="n">
        <x:v>45</x:v>
      </x:c>
      <x:c r="D714" s="97" t="str">
        <x:v>LP</x:v>
      </x:c>
      <x:c r="E714" s="99" t="n">
        <x:v>1</x:v>
      </x:c>
      <x:c r="F714" s="99" t="n">
        <x:v>0.045</x:v>
      </x:c>
      <x:c r="G714" s="99" t="n">
        <x:v>25</x:v>
      </x:c>
      <x:c r="H714" s="99" t="n">
        <x:v>0.05</x:v>
      </x:c>
      <x:c r="I714" s="99" t="n">
        <x:v>0.9500000000000008</x:v>
      </x:c>
      <x:c r="J714" s="98" t="n">
        <x:v>0.00008189249108282197</x:v>
      </x:c>
      <x:c r="K714" t="str">
        <x:v>low_vds</x:v>
      </x:c>
      <x:c r="L714" t="str">
        <x:v>low_drain_bias</x:v>
      </x:c>
      <x:c r="M714" t="n">
        <x:v>1.1</x:v>
      </x:c>
      <x:c r="N714" t="str">
        <x:v>simulation</x:v>
      </x:c>
      <x:c r="O714" t="str">
        <x:v>ngspice</x:v>
      </x:c>
      <x:c r="P714" t="str">
        <x:v>397141eb8a813045075ac2be3098d3b136ebaf4d597c08fca627922a75e443b7</x:v>
      </x:c>
      <x:c r="Q714" t="str">
        <x:v>data/raw/ptm45_lp_vds_0p05v_raw.txt</x:v>
      </x:c>
    </x:row>
    <x:row r="715">
      <x:c r="A715" t="str">
        <x:v>PTM</x:v>
      </x:c>
      <x:c r="B715" t="str">
        <x:v>NMOS</x:v>
      </x:c>
      <x:c r="C715" s="97" t="n">
        <x:v>45</x:v>
      </x:c>
      <x:c r="D715" s="97" t="str">
        <x:v>LP</x:v>
      </x:c>
      <x:c r="E715" s="99" t="n">
        <x:v>1</x:v>
      </x:c>
      <x:c r="F715" s="99" t="n">
        <x:v>0.045</x:v>
      </x:c>
      <x:c r="G715" s="99" t="n">
        <x:v>25</x:v>
      </x:c>
      <x:c r="H715" s="99" t="n">
        <x:v>0.05</x:v>
      </x:c>
      <x:c r="I715" s="99" t="n">
        <x:v>0.9550000000000008</x:v>
      </x:c>
      <x:c r="J715" s="98" t="n">
        <x:v>0.00008264713692012302</x:v>
      </x:c>
      <x:c r="K715" t="str">
        <x:v>low_vds</x:v>
      </x:c>
      <x:c r="L715" t="str">
        <x:v>low_drain_bias</x:v>
      </x:c>
      <x:c r="M715" t="n">
        <x:v>1.1</x:v>
      </x:c>
      <x:c r="N715" t="str">
        <x:v>simulation</x:v>
      </x:c>
      <x:c r="O715" t="str">
        <x:v>ngspice</x:v>
      </x:c>
      <x:c r="P715" t="str">
        <x:v>397141eb8a813045075ac2be3098d3b136ebaf4d597c08fca627922a75e443b7</x:v>
      </x:c>
      <x:c r="Q715" t="str">
        <x:v>data/raw/ptm45_lp_vds_0p05v_raw.txt</x:v>
      </x:c>
    </x:row>
    <x:row r="716">
      <x:c r="A716" t="str">
        <x:v>PTM</x:v>
      </x:c>
      <x:c r="B716" t="str">
        <x:v>NMOS</x:v>
      </x:c>
      <x:c r="C716" s="97" t="n">
        <x:v>45</x:v>
      </x:c>
      <x:c r="D716" s="97" t="str">
        <x:v>LP</x:v>
      </x:c>
      <x:c r="E716" s="99" t="n">
        <x:v>1</x:v>
      </x:c>
      <x:c r="F716" s="99" t="n">
        <x:v>0.045</x:v>
      </x:c>
      <x:c r="G716" s="99" t="n">
        <x:v>25</x:v>
      </x:c>
      <x:c r="H716" s="99" t="n">
        <x:v>0.05</x:v>
      </x:c>
      <x:c r="I716" s="99" t="n">
        <x:v>0.9600000000000009</x:v>
      </x:c>
      <x:c r="J716" s="98" t="n">
        <x:v>0.00008339079925143508</x:v>
      </x:c>
      <x:c r="K716" t="str">
        <x:v>low_vds</x:v>
      </x:c>
      <x:c r="L716" t="str">
        <x:v>low_drain_bias</x:v>
      </x:c>
      <x:c r="M716" t="n">
        <x:v>1.1</x:v>
      </x:c>
      <x:c r="N716" t="str">
        <x:v>simulation</x:v>
      </x:c>
      <x:c r="O716" t="str">
        <x:v>ngspice</x:v>
      </x:c>
      <x:c r="P716" t="str">
        <x:v>397141eb8a813045075ac2be3098d3b136ebaf4d597c08fca627922a75e443b7</x:v>
      </x:c>
      <x:c r="Q716" t="str">
        <x:v>data/raw/ptm45_lp_vds_0p05v_raw.txt</x:v>
      </x:c>
    </x:row>
    <x:row r="717">
      <x:c r="A717" t="str">
        <x:v>PTM</x:v>
      </x:c>
      <x:c r="B717" t="str">
        <x:v>NMOS</x:v>
      </x:c>
      <x:c r="C717" s="97" t="n">
        <x:v>45</x:v>
      </x:c>
      <x:c r="D717" s="97" t="str">
        <x:v>LP</x:v>
      </x:c>
      <x:c r="E717" s="99" t="n">
        <x:v>1</x:v>
      </x:c>
      <x:c r="F717" s="99" t="n">
        <x:v>0.045</x:v>
      </x:c>
      <x:c r="G717" s="99" t="n">
        <x:v>25</x:v>
      </x:c>
      <x:c r="H717" s="99" t="n">
        <x:v>0.05</x:v>
      </x:c>
      <x:c r="I717" s="99" t="n">
        <x:v>0.9650000000000009</x:v>
      </x:c>
      <x:c r="J717" s="98" t="n">
        <x:v>0.00008412367420234297</x:v>
      </x:c>
      <x:c r="K717" t="str">
        <x:v>low_vds</x:v>
      </x:c>
      <x:c r="L717" t="str">
        <x:v>low_drain_bias</x:v>
      </x:c>
      <x:c r="M717" t="n">
        <x:v>1.1</x:v>
      </x:c>
      <x:c r="N717" t="str">
        <x:v>simulation</x:v>
      </x:c>
      <x:c r="O717" t="str">
        <x:v>ngspice</x:v>
      </x:c>
      <x:c r="P717" t="str">
        <x:v>397141eb8a813045075ac2be3098d3b136ebaf4d597c08fca627922a75e443b7</x:v>
      </x:c>
      <x:c r="Q717" t="str">
        <x:v>data/raw/ptm45_lp_vds_0p05v_raw.txt</x:v>
      </x:c>
    </x:row>
    <x:row r="718">
      <x:c r="A718" t="str">
        <x:v>PTM</x:v>
      </x:c>
      <x:c r="B718" t="str">
        <x:v>NMOS</x:v>
      </x:c>
      <x:c r="C718" s="97" t="n">
        <x:v>45</x:v>
      </x:c>
      <x:c r="D718" s="97" t="str">
        <x:v>LP</x:v>
      </x:c>
      <x:c r="E718" s="99" t="n">
        <x:v>1</x:v>
      </x:c>
      <x:c r="F718" s="99" t="n">
        <x:v>0.045</x:v>
      </x:c>
      <x:c r="G718" s="99" t="n">
        <x:v>25</x:v>
      </x:c>
      <x:c r="H718" s="99" t="n">
        <x:v>0.05</x:v>
      </x:c>
      <x:c r="I718" s="99" t="n">
        <x:v>0.9700000000000009</x:v>
      </x:c>
      <x:c r="J718" s="98" t="n">
        <x:v>0.00008484595567960006</x:v>
      </x:c>
      <x:c r="K718" t="str">
        <x:v>low_vds</x:v>
      </x:c>
      <x:c r="L718" t="str">
        <x:v>low_drain_bias</x:v>
      </x:c>
      <x:c r="M718" t="n">
        <x:v>1.1</x:v>
      </x:c>
      <x:c r="N718" t="str">
        <x:v>simulation</x:v>
      </x:c>
      <x:c r="O718" t="str">
        <x:v>ngspice</x:v>
      </x:c>
      <x:c r="P718" t="str">
        <x:v>397141eb8a813045075ac2be3098d3b136ebaf4d597c08fca627922a75e443b7</x:v>
      </x:c>
      <x:c r="Q718" t="str">
        <x:v>data/raw/ptm45_lp_vds_0p05v_raw.txt</x:v>
      </x:c>
    </x:row>
    <x:row r="719">
      <x:c r="A719" t="str">
        <x:v>PTM</x:v>
      </x:c>
      <x:c r="B719" t="str">
        <x:v>NMOS</x:v>
      </x:c>
      <x:c r="C719" s="97" t="n">
        <x:v>45</x:v>
      </x:c>
      <x:c r="D719" s="97" t="str">
        <x:v>LP</x:v>
      </x:c>
      <x:c r="E719" s="99" t="n">
        <x:v>1</x:v>
      </x:c>
      <x:c r="F719" s="99" t="n">
        <x:v>0.045</x:v>
      </x:c>
      <x:c r="G719" s="99" t="n">
        <x:v>25</x:v>
      </x:c>
      <x:c r="H719" s="99" t="n">
        <x:v>0.05</x:v>
      </x:c>
      <x:c r="I719" s="99" t="n">
        <x:v>0.9750000000000009</x:v>
      </x:c>
      <x:c r="J719" s="98" t="n">
        <x:v>0.00008555783515959921</x:v>
      </x:c>
      <x:c r="K719" t="str">
        <x:v>low_vds</x:v>
      </x:c>
      <x:c r="L719" t="str">
        <x:v>low_drain_bias</x:v>
      </x:c>
      <x:c r="M719" t="n">
        <x:v>1.1</x:v>
      </x:c>
      <x:c r="N719" t="str">
        <x:v>simulation</x:v>
      </x:c>
      <x:c r="O719" t="str">
        <x:v>ngspice</x:v>
      </x:c>
      <x:c r="P719" t="str">
        <x:v>397141eb8a813045075ac2be3098d3b136ebaf4d597c08fca627922a75e443b7</x:v>
      </x:c>
      <x:c r="Q719" t="str">
        <x:v>data/raw/ptm45_lp_vds_0p05v_raw.txt</x:v>
      </x:c>
    </x:row>
    <x:row r="720">
      <x:c r="A720" t="str">
        <x:v>PTM</x:v>
      </x:c>
      <x:c r="B720" t="str">
        <x:v>NMOS</x:v>
      </x:c>
      <x:c r="C720" s="97" t="n">
        <x:v>45</x:v>
      </x:c>
      <x:c r="D720" s="97" t="str">
        <x:v>LP</x:v>
      </x:c>
      <x:c r="E720" s="99" t="n">
        <x:v>1</x:v>
      </x:c>
      <x:c r="F720" s="99" t="n">
        <x:v>0.045</x:v>
      </x:c>
      <x:c r="G720" s="99" t="n">
        <x:v>25</x:v>
      </x:c>
      <x:c r="H720" s="99" t="n">
        <x:v>0.05</x:v>
      </x:c>
      <x:c r="I720" s="99" t="n">
        <x:v>0.9800000000000009</x:v>
      </x:c>
      <x:c r="J720" s="98" t="n">
        <x:v>0.00008625950150962883</x:v>
      </x:c>
      <x:c r="K720" t="str">
        <x:v>low_vds</x:v>
      </x:c>
      <x:c r="L720" t="str">
        <x:v>low_drain_bias</x:v>
      </x:c>
      <x:c r="M720" t="n">
        <x:v>1.1</x:v>
      </x:c>
      <x:c r="N720" t="str">
        <x:v>simulation</x:v>
      </x:c>
      <x:c r="O720" t="str">
        <x:v>ngspice</x:v>
      </x:c>
      <x:c r="P720" t="str">
        <x:v>397141eb8a813045075ac2be3098d3b136ebaf4d597c08fca627922a75e443b7</x:v>
      </x:c>
      <x:c r="Q720" t="str">
        <x:v>data/raw/ptm45_lp_vds_0p05v_raw.txt</x:v>
      </x:c>
    </x:row>
    <x:row r="721">
      <x:c r="A721" t="str">
        <x:v>PTM</x:v>
      </x:c>
      <x:c r="B721" t="str">
        <x:v>NMOS</x:v>
      </x:c>
      <x:c r="C721" s="97" t="n">
        <x:v>45</x:v>
      </x:c>
      <x:c r="D721" s="97" t="str">
        <x:v>LP</x:v>
      </x:c>
      <x:c r="E721" s="99" t="n">
        <x:v>1</x:v>
      </x:c>
      <x:c r="F721" s="99" t="n">
        <x:v>0.045</x:v>
      </x:c>
      <x:c r="G721" s="99" t="n">
        <x:v>25</x:v>
      </x:c>
      <x:c r="H721" s="99" t="n">
        <x:v>0.05</x:v>
      </x:c>
      <x:c r="I721" s="99" t="n">
        <x:v>0.9850000000000009</x:v>
      </x:c>
      <x:c r="J721" s="98" t="n">
        <x:v>0.00008695114083851103</x:v>
      </x:c>
      <x:c r="K721" t="str">
        <x:v>low_vds</x:v>
      </x:c>
      <x:c r="L721" t="str">
        <x:v>low_drain_bias</x:v>
      </x:c>
      <x:c r="M721" t="n">
        <x:v>1.1</x:v>
      </x:c>
      <x:c r="N721" t="str">
        <x:v>simulation</x:v>
      </x:c>
      <x:c r="O721" t="str">
        <x:v>ngspice</x:v>
      </x:c>
      <x:c r="P721" t="str">
        <x:v>397141eb8a813045075ac2be3098d3b136ebaf4d597c08fca627922a75e443b7</x:v>
      </x:c>
      <x:c r="Q721" t="str">
        <x:v>data/raw/ptm45_lp_vds_0p05v_raw.txt</x:v>
      </x:c>
    </x:row>
    <x:row r="722">
      <x:c r="A722" t="str">
        <x:v>PTM</x:v>
      </x:c>
      <x:c r="B722" t="str">
        <x:v>NMOS</x:v>
      </x:c>
      <x:c r="C722" s="97" t="n">
        <x:v>45</x:v>
      </x:c>
      <x:c r="D722" s="97" t="str">
        <x:v>LP</x:v>
      </x:c>
      <x:c r="E722" s="99" t="n">
        <x:v>1</x:v>
      </x:c>
      <x:c r="F722" s="99" t="n">
        <x:v>0.045</x:v>
      </x:c>
      <x:c r="G722" s="99" t="n">
        <x:v>25</x:v>
      </x:c>
      <x:c r="H722" s="99" t="n">
        <x:v>0.05</x:v>
      </x:c>
      <x:c r="I722" s="99" t="n">
        <x:v>0.9900000000000009</x:v>
      </x:c>
      <x:c r="J722" s="98" t="n">
        <x:v>0.00008763293637353411</x:v>
      </x:c>
      <x:c r="K722" t="str">
        <x:v>low_vds</x:v>
      </x:c>
      <x:c r="L722" t="str">
        <x:v>low_drain_bias</x:v>
      </x:c>
      <x:c r="M722" t="n">
        <x:v>1.1</x:v>
      </x:c>
      <x:c r="N722" t="str">
        <x:v>simulation</x:v>
      </x:c>
      <x:c r="O722" t="str">
        <x:v>ngspice</x:v>
      </x:c>
      <x:c r="P722" t="str">
        <x:v>397141eb8a813045075ac2be3098d3b136ebaf4d597c08fca627922a75e443b7</x:v>
      </x:c>
      <x:c r="Q722" t="str">
        <x:v>data/raw/ptm45_lp_vds_0p05v_raw.txt</x:v>
      </x:c>
    </x:row>
    <x:row r="723">
      <x:c r="A723" t="str">
        <x:v>PTM</x:v>
      </x:c>
      <x:c r="B723" t="str">
        <x:v>NMOS</x:v>
      </x:c>
      <x:c r="C723" s="97" t="n">
        <x:v>45</x:v>
      </x:c>
      <x:c r="D723" s="97" t="str">
        <x:v>LP</x:v>
      </x:c>
      <x:c r="E723" s="99" t="n">
        <x:v>1</x:v>
      </x:c>
      <x:c r="F723" s="99" t="n">
        <x:v>0.045</x:v>
      </x:c>
      <x:c r="G723" s="99" t="n">
        <x:v>25</x:v>
      </x:c>
      <x:c r="H723" s="99" t="n">
        <x:v>0.05</x:v>
      </x:c>
      <x:c r="I723" s="99" t="n">
        <x:v>0.9950000000000009</x:v>
      </x:c>
      <x:c r="J723" s="98" t="n">
        <x:v>0.00008830506836085633</x:v>
      </x:c>
      <x:c r="K723" t="str">
        <x:v>low_vds</x:v>
      </x:c>
      <x:c r="L723" t="str">
        <x:v>low_drain_bias</x:v>
      </x:c>
      <x:c r="M723" t="n">
        <x:v>1.1</x:v>
      </x:c>
      <x:c r="N723" t="str">
        <x:v>simulation</x:v>
      </x:c>
      <x:c r="O723" t="str">
        <x:v>ngspice</x:v>
      </x:c>
      <x:c r="P723" t="str">
        <x:v>397141eb8a813045075ac2be3098d3b136ebaf4d597c08fca627922a75e443b7</x:v>
      </x:c>
      <x:c r="Q723" t="str">
        <x:v>data/raw/ptm45_lp_vds_0p05v_raw.txt</x:v>
      </x:c>
    </x:row>
    <x:row r="724">
      <x:c r="A724" t="str">
        <x:v>PTM</x:v>
      </x:c>
      <x:c r="B724" t="str">
        <x:v>NMOS</x:v>
      </x:c>
      <x:c r="C724" s="97" t="n">
        <x:v>45</x:v>
      </x:c>
      <x:c r="D724" s="97" t="str">
        <x:v>LP</x:v>
      </x:c>
      <x:c r="E724" s="99" t="n">
        <x:v>1</x:v>
      </x:c>
      <x:c r="F724" s="99" t="n">
        <x:v>0.045</x:v>
      </x:c>
      <x:c r="G724" s="99" t="n">
        <x:v>25</x:v>
      </x:c>
      <x:c r="H724" s="99" t="n">
        <x:v>0.05</x:v>
      </x:c>
      <x:c r="I724" s="99" t="n">
        <x:v>1.000000000000001</x:v>
      </x:c>
      <x:c r="J724" s="98" t="n">
        <x:v>0.00008896771398682195</x:v>
      </x:c>
      <x:c r="K724" t="str">
        <x:v>low_vds</x:v>
      </x:c>
      <x:c r="L724" t="str">
        <x:v>low_drain_bias</x:v>
      </x:c>
      <x:c r="M724" t="n">
        <x:v>1.1</x:v>
      </x:c>
      <x:c r="N724" t="str">
        <x:v>simulation</x:v>
      </x:c>
      <x:c r="O724" t="str">
        <x:v>ngspice</x:v>
      </x:c>
      <x:c r="P724" t="str">
        <x:v>397141eb8a813045075ac2be3098d3b136ebaf4d597c08fca627922a75e443b7</x:v>
      </x:c>
      <x:c r="Q724" t="str">
        <x:v>data/raw/ptm45_lp_vds_0p05v_raw.txt</x:v>
      </x:c>
    </x:row>
    <x:row r="725">
      <x:c r="A725" t="str">
        <x:v>PTM</x:v>
      </x:c>
      <x:c r="B725" t="str">
        <x:v>NMOS</x:v>
      </x:c>
      <x:c r="C725" s="97" t="n">
        <x:v>45</x:v>
      </x:c>
      <x:c r="D725" s="97" t="str">
        <x:v>LP</x:v>
      </x:c>
      <x:c r="E725" s="99" t="n">
        <x:v>1</x:v>
      </x:c>
      <x:c r="F725" s="99" t="n">
        <x:v>0.045</x:v>
      </x:c>
      <x:c r="G725" s="99" t="n">
        <x:v>25</x:v>
      </x:c>
      <x:c r="H725" s="99" t="n">
        <x:v>0.05</x:v>
      </x:c>
      <x:c r="I725" s="99" t="n">
        <x:v>1.005000000000001</x:v>
      </x:c>
      <x:c r="J725" s="98" t="n">
        <x:v>0.00008962104731786905</x:v>
      </x:c>
      <x:c r="K725" t="str">
        <x:v>low_vds</x:v>
      </x:c>
      <x:c r="L725" t="str">
        <x:v>low_drain_bias</x:v>
      </x:c>
      <x:c r="M725" t="n">
        <x:v>1.1</x:v>
      </x:c>
      <x:c r="N725" t="str">
        <x:v>simulation</x:v>
      </x:c>
      <x:c r="O725" t="str">
        <x:v>ngspice</x:v>
      </x:c>
      <x:c r="P725" t="str">
        <x:v>397141eb8a813045075ac2be3098d3b136ebaf4d597c08fca627922a75e443b7</x:v>
      </x:c>
      <x:c r="Q725" t="str">
        <x:v>data/raw/ptm45_lp_vds_0p05v_raw.txt</x:v>
      </x:c>
    </x:row>
    <x:row r="726">
      <x:c r="A726" t="str">
        <x:v>PTM</x:v>
      </x:c>
      <x:c r="B726" t="str">
        <x:v>NMOS</x:v>
      </x:c>
      <x:c r="C726" s="97" t="n">
        <x:v>45</x:v>
      </x:c>
      <x:c r="D726" s="97" t="str">
        <x:v>LP</x:v>
      </x:c>
      <x:c r="E726" s="99" t="n">
        <x:v>1</x:v>
      </x:c>
      <x:c r="F726" s="99" t="n">
        <x:v>0.045</x:v>
      </x:c>
      <x:c r="G726" s="99" t="n">
        <x:v>25</x:v>
      </x:c>
      <x:c r="H726" s="99" t="n">
        <x:v>0.05</x:v>
      </x:c>
      <x:c r="I726" s="99" t="n">
        <x:v>1.010000000000001</x:v>
      </x:c>
      <x:c r="J726" s="98" t="n">
        <x:v>0.00009026523925692038</x:v>
      </x:c>
      <x:c r="K726" t="str">
        <x:v>low_vds</x:v>
      </x:c>
      <x:c r="L726" t="str">
        <x:v>low_drain_bias</x:v>
      </x:c>
      <x:c r="M726" t="n">
        <x:v>1.1</x:v>
      </x:c>
      <x:c r="N726" t="str">
        <x:v>simulation</x:v>
      </x:c>
      <x:c r="O726" t="str">
        <x:v>ngspice</x:v>
      </x:c>
      <x:c r="P726" t="str">
        <x:v>397141eb8a813045075ac2be3098d3b136ebaf4d597c08fca627922a75e443b7</x:v>
      </x:c>
      <x:c r="Q726" t="str">
        <x:v>data/raw/ptm45_lp_vds_0p05v_raw.txt</x:v>
      </x:c>
    </x:row>
    <x:row r="727">
      <x:c r="A727" t="str">
        <x:v>PTM</x:v>
      </x:c>
      <x:c r="B727" t="str">
        <x:v>NMOS</x:v>
      </x:c>
      <x:c r="C727" s="97" t="n">
        <x:v>45</x:v>
      </x:c>
      <x:c r="D727" s="97" t="str">
        <x:v>LP</x:v>
      </x:c>
      <x:c r="E727" s="99" t="n">
        <x:v>1</x:v>
      </x:c>
      <x:c r="F727" s="99" t="n">
        <x:v>0.045</x:v>
      </x:c>
      <x:c r="G727" s="99" t="n">
        <x:v>25</x:v>
      </x:c>
      <x:c r="H727" s="99" t="n">
        <x:v>0.05</x:v>
      </x:c>
      <x:c r="I727" s="99" t="n">
        <x:v>1.015000000000001</x:v>
      </x:c>
      <x:c r="J727" s="98" t="n">
        <x:v>0.00009090045751435179</x:v>
      </x:c>
      <x:c r="K727" t="str">
        <x:v>low_vds</x:v>
      </x:c>
      <x:c r="L727" t="str">
        <x:v>low_drain_bias</x:v>
      </x:c>
      <x:c r="M727" t="n">
        <x:v>1.1</x:v>
      </x:c>
      <x:c r="N727" t="str">
        <x:v>simulation</x:v>
      </x:c>
      <x:c r="O727" t="str">
        <x:v>ngspice</x:v>
      </x:c>
      <x:c r="P727" t="str">
        <x:v>397141eb8a813045075ac2be3098d3b136ebaf4d597c08fca627922a75e443b7</x:v>
      </x:c>
      <x:c r="Q727" t="str">
        <x:v>data/raw/ptm45_lp_vds_0p05v_raw.txt</x:v>
      </x:c>
    </x:row>
    <x:row r="728">
      <x:c r="A728" t="str">
        <x:v>PTM</x:v>
      </x:c>
      <x:c r="B728" t="str">
        <x:v>NMOS</x:v>
      </x:c>
      <x:c r="C728" s="97" t="n">
        <x:v>45</x:v>
      </x:c>
      <x:c r="D728" s="97" t="str">
        <x:v>LP</x:v>
      </x:c>
      <x:c r="E728" s="99" t="n">
        <x:v>1</x:v>
      </x:c>
      <x:c r="F728" s="99" t="n">
        <x:v>0.045</x:v>
      </x:c>
      <x:c r="G728" s="99" t="n">
        <x:v>25</x:v>
      </x:c>
      <x:c r="H728" s="99" t="n">
        <x:v>0.05</x:v>
      </x:c>
      <x:c r="I728" s="99" t="n">
        <x:v>1.02</x:v>
      </x:c>
      <x:c r="J728" s="98" t="n">
        <x:v>0.00009152686659182135</x:v>
      </x:c>
      <x:c r="K728" t="str">
        <x:v>low_vds</x:v>
      </x:c>
      <x:c r="L728" t="str">
        <x:v>low_drain_bias</x:v>
      </x:c>
      <x:c r="M728" t="n">
        <x:v>1.1</x:v>
      </x:c>
      <x:c r="N728" t="str">
        <x:v>simulation</x:v>
      </x:c>
      <x:c r="O728" t="str">
        <x:v>ngspice</x:v>
      </x:c>
      <x:c r="P728" t="str">
        <x:v>397141eb8a813045075ac2be3098d3b136ebaf4d597c08fca627922a75e443b7</x:v>
      </x:c>
      <x:c r="Q728" t="str">
        <x:v>data/raw/ptm45_lp_vds_0p05v_raw.txt</x:v>
      </x:c>
    </x:row>
    <x:row r="729">
      <x:c r="A729" t="str">
        <x:v>PTM</x:v>
      </x:c>
      <x:c r="B729" t="str">
        <x:v>NMOS</x:v>
      </x:c>
      <x:c r="C729" s="97" t="n">
        <x:v>45</x:v>
      </x:c>
      <x:c r="D729" s="97" t="str">
        <x:v>LP</x:v>
      </x:c>
      <x:c r="E729" s="99" t="n">
        <x:v>1</x:v>
      </x:c>
      <x:c r="F729" s="99" t="n">
        <x:v>0.045</x:v>
      </x:c>
      <x:c r="G729" s="99" t="n">
        <x:v>25</x:v>
      </x:c>
      <x:c r="H729" s="99" t="n">
        <x:v>0.05</x:v>
      </x:c>
      <x:c r="I729" s="99" t="n">
        <x:v>1.025</x:v>
      </x:c>
      <x:c r="J729" s="98" t="n">
        <x:v>0.00009214462777740115</x:v>
      </x:c>
      <x:c r="K729" t="str">
        <x:v>low_vds</x:v>
      </x:c>
      <x:c r="L729" t="str">
        <x:v>low_drain_bias</x:v>
      </x:c>
      <x:c r="M729" t="n">
        <x:v>1.1</x:v>
      </x:c>
      <x:c r="N729" t="str">
        <x:v>simulation</x:v>
      </x:c>
      <x:c r="O729" t="str">
        <x:v>ngspice</x:v>
      </x:c>
      <x:c r="P729" t="str">
        <x:v>397141eb8a813045075ac2be3098d3b136ebaf4d597c08fca627922a75e443b7</x:v>
      </x:c>
      <x:c r="Q729" t="str">
        <x:v>data/raw/ptm45_lp_vds_0p05v_raw.txt</x:v>
      </x:c>
    </x:row>
    <x:row r="730">
      <x:c r="A730" t="str">
        <x:v>PTM</x:v>
      </x:c>
      <x:c r="B730" t="str">
        <x:v>NMOS</x:v>
      </x:c>
      <x:c r="C730" s="97" t="n">
        <x:v>45</x:v>
      </x:c>
      <x:c r="D730" s="97" t="str">
        <x:v>LP</x:v>
      </x:c>
      <x:c r="E730" s="99" t="n">
        <x:v>1</x:v>
      </x:c>
      <x:c r="F730" s="99" t="n">
        <x:v>0.045</x:v>
      </x:c>
      <x:c r="G730" s="99" t="n">
        <x:v>25</x:v>
      </x:c>
      <x:c r="H730" s="99" t="n">
        <x:v>0.05</x:v>
      </x:c>
      <x:c r="I730" s="99" t="n">
        <x:v>1.03</x:v>
      </x:c>
      <x:c r="J730" s="98" t="n">
        <x:v>0.00009275389915061201</x:v>
      </x:c>
      <x:c r="K730" t="str">
        <x:v>low_vds</x:v>
      </x:c>
      <x:c r="L730" t="str">
        <x:v>low_drain_bias</x:v>
      </x:c>
      <x:c r="M730" t="n">
        <x:v>1.1</x:v>
      </x:c>
      <x:c r="N730" t="str">
        <x:v>simulation</x:v>
      </x:c>
      <x:c r="O730" t="str">
        <x:v>ngspice</x:v>
      </x:c>
      <x:c r="P730" t="str">
        <x:v>397141eb8a813045075ac2be3098d3b136ebaf4d597c08fca627922a75e443b7</x:v>
      </x:c>
      <x:c r="Q730" t="str">
        <x:v>data/raw/ptm45_lp_vds_0p05v_raw.txt</x:v>
      </x:c>
    </x:row>
    <x:row r="731">
      <x:c r="A731" t="str">
        <x:v>PTM</x:v>
      </x:c>
      <x:c r="B731" t="str">
        <x:v>NMOS</x:v>
      </x:c>
      <x:c r="C731" s="97" t="n">
        <x:v>45</x:v>
      </x:c>
      <x:c r="D731" s="97" t="str">
        <x:v>LP</x:v>
      </x:c>
      <x:c r="E731" s="99" t="n">
        <x:v>1</x:v>
      </x:c>
      <x:c r="F731" s="99" t="n">
        <x:v>0.045</x:v>
      </x:c>
      <x:c r="G731" s="99" t="n">
        <x:v>25</x:v>
      </x:c>
      <x:c r="H731" s="99" t="n">
        <x:v>0.05</x:v>
      </x:c>
      <x:c r="I731" s="99" t="n">
        <x:v>1.035</x:v>
      </x:c>
      <x:c r="J731" s="98" t="n">
        <x:v>0.00009335483559610269</x:v>
      </x:c>
      <x:c r="K731" t="str">
        <x:v>low_vds</x:v>
      </x:c>
      <x:c r="L731" t="str">
        <x:v>low_drain_bias</x:v>
      </x:c>
      <x:c r="M731" t="n">
        <x:v>1.1</x:v>
      </x:c>
      <x:c r="N731" t="str">
        <x:v>simulation</x:v>
      </x:c>
      <x:c r="O731" t="str">
        <x:v>ngspice</x:v>
      </x:c>
      <x:c r="P731" t="str">
        <x:v>397141eb8a813045075ac2be3098d3b136ebaf4d597c08fca627922a75e443b7</x:v>
      </x:c>
      <x:c r="Q731" t="str">
        <x:v>data/raw/ptm45_lp_vds_0p05v_raw.txt</x:v>
      </x:c>
    </x:row>
    <x:row r="732">
      <x:c r="A732" t="str">
        <x:v>PTM</x:v>
      </x:c>
      <x:c r="B732" t="str">
        <x:v>NMOS</x:v>
      </x:c>
      <x:c r="C732" s="97" t="n">
        <x:v>45</x:v>
      </x:c>
      <x:c r="D732" s="97" t="str">
        <x:v>LP</x:v>
      </x:c>
      <x:c r="E732" s="99" t="n">
        <x:v>1</x:v>
      </x:c>
      <x:c r="F732" s="99" t="n">
        <x:v>0.045</x:v>
      </x:c>
      <x:c r="G732" s="99" t="n">
        <x:v>25</x:v>
      </x:c>
      <x:c r="H732" s="99" t="n">
        <x:v>0.05</x:v>
      </x:c>
      <x:c r="I732" s="99" t="n">
        <x:v>1.04</x:v>
      </x:c>
      <x:c r="J732" s="98" t="n">
        <x:v>0.00009394758882483985</x:v>
      </x:c>
      <x:c r="K732" t="str">
        <x:v>low_vds</x:v>
      </x:c>
      <x:c r="L732" t="str">
        <x:v>low_drain_bias</x:v>
      </x:c>
      <x:c r="M732" t="n">
        <x:v>1.1</x:v>
      </x:c>
      <x:c r="N732" t="str">
        <x:v>simulation</x:v>
      </x:c>
      <x:c r="O732" t="str">
        <x:v>ngspice</x:v>
      </x:c>
      <x:c r="P732" t="str">
        <x:v>397141eb8a813045075ac2be3098d3b136ebaf4d597c08fca627922a75e443b7</x:v>
      </x:c>
      <x:c r="Q732" t="str">
        <x:v>data/raw/ptm45_lp_vds_0p05v_raw.txt</x:v>
      </x:c>
    </x:row>
    <x:row r="733">
      <x:c r="A733" t="str">
        <x:v>PTM</x:v>
      </x:c>
      <x:c r="B733" t="str">
        <x:v>NMOS</x:v>
      </x:c>
      <x:c r="C733" s="97" t="n">
        <x:v>45</x:v>
      </x:c>
      <x:c r="D733" s="97" t="str">
        <x:v>LP</x:v>
      </x:c>
      <x:c r="E733" s="99" t="n">
        <x:v>1</x:v>
      </x:c>
      <x:c r="F733" s="99" t="n">
        <x:v>0.045</x:v>
      </x:c>
      <x:c r="G733" s="99" t="n">
        <x:v>25</x:v>
      </x:c>
      <x:c r="H733" s="99" t="n">
        <x:v>0.05</x:v>
      </x:c>
      <x:c r="I733" s="99" t="n">
        <x:v>1.045</x:v>
      </x:c>
      <x:c r="J733" s="98" t="n">
        <x:v>0.00009453230740178944</x:v>
      </x:c>
      <x:c r="K733" t="str">
        <x:v>low_vds</x:v>
      </x:c>
      <x:c r="L733" t="str">
        <x:v>low_drain_bias</x:v>
      </x:c>
      <x:c r="M733" t="n">
        <x:v>1.1</x:v>
      </x:c>
      <x:c r="N733" t="str">
        <x:v>simulation</x:v>
      </x:c>
      <x:c r="O733" t="str">
        <x:v>ngspice</x:v>
      </x:c>
      <x:c r="P733" t="str">
        <x:v>397141eb8a813045075ac2be3098d3b136ebaf4d597c08fca627922a75e443b7</x:v>
      </x:c>
      <x:c r="Q733" t="str">
        <x:v>data/raw/ptm45_lp_vds_0p05v_raw.txt</x:v>
      </x:c>
    </x:row>
    <x:row r="734">
      <x:c r="A734" t="str">
        <x:v>PTM</x:v>
      </x:c>
      <x:c r="B734" t="str">
        <x:v>NMOS</x:v>
      </x:c>
      <x:c r="C734" s="97" t="n">
        <x:v>45</x:v>
      </x:c>
      <x:c r="D734" s="97" t="str">
        <x:v>LP</x:v>
      </x:c>
      <x:c r="E734" s="99" t="n">
        <x:v>1</x:v>
      </x:c>
      <x:c r="F734" s="99" t="n">
        <x:v>0.045</x:v>
      </x:c>
      <x:c r="G734" s="99" t="n">
        <x:v>25</x:v>
      </x:c>
      <x:c r="H734" s="99" t="n">
        <x:v>0.05</x:v>
      </x:c>
      <x:c r="I734" s="99" t="n">
        <x:v>1.05</x:v>
      </x:c>
      <x:c r="J734" s="98" t="n">
        <x:v>0.00009510913677918286</x:v>
      </x:c>
      <x:c r="K734" t="str">
        <x:v>low_vds</x:v>
      </x:c>
      <x:c r="L734" t="str">
        <x:v>low_drain_bias</x:v>
      </x:c>
      <x:c r="M734" t="n">
        <x:v>1.1</x:v>
      </x:c>
      <x:c r="N734" t="str">
        <x:v>simulation</x:v>
      </x:c>
      <x:c r="O734" t="str">
        <x:v>ngspice</x:v>
      </x:c>
      <x:c r="P734" t="str">
        <x:v>397141eb8a813045075ac2be3098d3b136ebaf4d597c08fca627922a75e443b7</x:v>
      </x:c>
      <x:c r="Q734" t="str">
        <x:v>data/raw/ptm45_lp_vds_0p05v_raw.txt</x:v>
      </x:c>
    </x:row>
    <x:row r="735">
      <x:c r="A735" t="str">
        <x:v>PTM</x:v>
      </x:c>
      <x:c r="B735" t="str">
        <x:v>NMOS</x:v>
      </x:c>
      <x:c r="C735" s="97" t="n">
        <x:v>45</x:v>
      </x:c>
      <x:c r="D735" s="97" t="str">
        <x:v>LP</x:v>
      </x:c>
      <x:c r="E735" s="99" t="n">
        <x:v>1</x:v>
      </x:c>
      <x:c r="F735" s="99" t="n">
        <x:v>0.045</x:v>
      </x:c>
      <x:c r="G735" s="99" t="n">
        <x:v>25</x:v>
      </x:c>
      <x:c r="H735" s="99" t="n">
        <x:v>0.05</x:v>
      </x:c>
      <x:c r="I735" s="99" t="n">
        <x:v>1.055</x:v>
      </x:c>
      <x:c r="J735" s="98" t="n">
        <x:v>0.00009567821933454751</x:v>
      </x:c>
      <x:c r="K735" t="str">
        <x:v>low_vds</x:v>
      </x:c>
      <x:c r="L735" t="str">
        <x:v>low_drain_bias</x:v>
      </x:c>
      <x:c r="M735" t="n">
        <x:v>1.1</x:v>
      </x:c>
      <x:c r="N735" t="str">
        <x:v>simulation</x:v>
      </x:c>
      <x:c r="O735" t="str">
        <x:v>ngspice</x:v>
      </x:c>
      <x:c r="P735" t="str">
        <x:v>397141eb8a813045075ac2be3098d3b136ebaf4d597c08fca627922a75e443b7</x:v>
      </x:c>
      <x:c r="Q735" t="str">
        <x:v>data/raw/ptm45_lp_vds_0p05v_raw.txt</x:v>
      </x:c>
    </x:row>
    <x:row r="736">
      <x:c r="A736" t="str">
        <x:v>PTM</x:v>
      </x:c>
      <x:c r="B736" t="str">
        <x:v>NMOS</x:v>
      </x:c>
      <x:c r="C736" s="97" t="n">
        <x:v>45</x:v>
      </x:c>
      <x:c r="D736" s="97" t="str">
        <x:v>LP</x:v>
      </x:c>
      <x:c r="E736" s="99" t="n">
        <x:v>1</x:v>
      </x:c>
      <x:c r="F736" s="99" t="n">
        <x:v>0.045</x:v>
      </x:c>
      <x:c r="G736" s="99" t="n">
        <x:v>25</x:v>
      </x:c>
      <x:c r="H736" s="99" t="n">
        <x:v>0.05</x:v>
      </x:c>
      <x:c r="I736" s="99" t="n">
        <x:v>1.06</x:v>
      </x:c>
      <x:c r="J736" s="98" t="n">
        <x:v>0.00009623969441277409</x:v>
      </x:c>
      <x:c r="K736" t="str">
        <x:v>low_vds</x:v>
      </x:c>
      <x:c r="L736" t="str">
        <x:v>low_drain_bias</x:v>
      </x:c>
      <x:c r="M736" t="n">
        <x:v>1.1</x:v>
      </x:c>
      <x:c r="N736" t="str">
        <x:v>simulation</x:v>
      </x:c>
      <x:c r="O736" t="str">
        <x:v>ngspice</x:v>
      </x:c>
      <x:c r="P736" t="str">
        <x:v>397141eb8a813045075ac2be3098d3b136ebaf4d597c08fca627922a75e443b7</x:v>
      </x:c>
      <x:c r="Q736" t="str">
        <x:v>data/raw/ptm45_lp_vds_0p05v_raw.txt</x:v>
      </x:c>
    </x:row>
    <x:row r="737">
      <x:c r="A737" t="str">
        <x:v>PTM</x:v>
      </x:c>
      <x:c r="B737" t="str">
        <x:v>NMOS</x:v>
      </x:c>
      <x:c r="C737" s="97" t="n">
        <x:v>45</x:v>
      </x:c>
      <x:c r="D737" s="97" t="str">
        <x:v>LP</x:v>
      </x:c>
      <x:c r="E737" s="99" t="n">
        <x:v>1</x:v>
      </x:c>
      <x:c r="F737" s="99" t="n">
        <x:v>0.045</x:v>
      </x:c>
      <x:c r="G737" s="99" t="n">
        <x:v>25</x:v>
      </x:c>
      <x:c r="H737" s="99" t="n">
        <x:v>0.05</x:v>
      </x:c>
      <x:c r="I737" s="99" t="n">
        <x:v>1.065</x:v>
      </x:c>
      <x:c r="J737" s="98" t="n">
        <x:v>0.00009679369837157135</x:v>
      </x:c>
      <x:c r="K737" t="str">
        <x:v>low_vds</x:v>
      </x:c>
      <x:c r="L737" t="str">
        <x:v>low_drain_bias</x:v>
      </x:c>
      <x:c r="M737" t="n">
        <x:v>1.1</x:v>
      </x:c>
      <x:c r="N737" t="str">
        <x:v>simulation</x:v>
      </x:c>
      <x:c r="O737" t="str">
        <x:v>ngspice</x:v>
      </x:c>
      <x:c r="P737" t="str">
        <x:v>397141eb8a813045075ac2be3098d3b136ebaf4d597c08fca627922a75e443b7</x:v>
      </x:c>
      <x:c r="Q737" t="str">
        <x:v>data/raw/ptm45_lp_vds_0p05v_raw.txt</x:v>
      </x:c>
    </x:row>
    <x:row r="738">
      <x:c r="A738" t="str">
        <x:v>PTM</x:v>
      </x:c>
      <x:c r="B738" t="str">
        <x:v>NMOS</x:v>
      </x:c>
      <x:c r="C738" s="97" t="n">
        <x:v>45</x:v>
      </x:c>
      <x:c r="D738" s="97" t="str">
        <x:v>LP</x:v>
      </x:c>
      <x:c r="E738" s="99" t="n">
        <x:v>1</x:v>
      </x:c>
      <x:c r="F738" s="99" t="n">
        <x:v>0.045</x:v>
      </x:c>
      <x:c r="G738" s="99" t="n">
        <x:v>25</x:v>
      </x:c>
      <x:c r="H738" s="99" t="n">
        <x:v>0.05</x:v>
      </x:c>
      <x:c r="I738" s="99" t="n">
        <x:v>1.069999999999999</x:v>
      </x:c>
      <x:c r="J738" s="98" t="n">
        <x:v>0.00009734036462972615</x:v>
      </x:c>
      <x:c r="K738" t="str">
        <x:v>low_vds</x:v>
      </x:c>
      <x:c r="L738" t="str">
        <x:v>low_drain_bias</x:v>
      </x:c>
      <x:c r="M738" t="n">
        <x:v>1.1</x:v>
      </x:c>
      <x:c r="N738" t="str">
        <x:v>simulation</x:v>
      </x:c>
      <x:c r="O738" t="str">
        <x:v>ngspice</x:v>
      </x:c>
      <x:c r="P738" t="str">
        <x:v>397141eb8a813045075ac2be3098d3b136ebaf4d597c08fca627922a75e443b7</x:v>
      </x:c>
      <x:c r="Q738" t="str">
        <x:v>data/raw/ptm45_lp_vds_0p05v_raw.txt</x:v>
      </x:c>
    </x:row>
    <x:row r="739">
      <x:c r="A739" t="str">
        <x:v>PTM</x:v>
      </x:c>
      <x:c r="B739" t="str">
        <x:v>NMOS</x:v>
      </x:c>
      <x:c r="C739" s="97" t="n">
        <x:v>45</x:v>
      </x:c>
      <x:c r="D739" s="97" t="str">
        <x:v>LP</x:v>
      </x:c>
      <x:c r="E739" s="99" t="n">
        <x:v>1</x:v>
      </x:c>
      <x:c r="F739" s="99" t="n">
        <x:v>0.045</x:v>
      </x:c>
      <x:c r="G739" s="99" t="n">
        <x:v>25</x:v>
      </x:c>
      <x:c r="H739" s="99" t="n">
        <x:v>0.05</x:v>
      </x:c>
      <x:c r="I739" s="99" t="n">
        <x:v>1.074999999999999</x:v>
      </x:c>
      <x:c r="J739" s="98" t="n">
        <x:v>0.00009787982371765596</x:v>
      </x:c>
      <x:c r="K739" t="str">
        <x:v>low_vds</x:v>
      </x:c>
      <x:c r="L739" t="str">
        <x:v>low_drain_bias</x:v>
      </x:c>
      <x:c r="M739" t="n">
        <x:v>1.1</x:v>
      </x:c>
      <x:c r="N739" t="str">
        <x:v>simulation</x:v>
      </x:c>
      <x:c r="O739" t="str">
        <x:v>ngspice</x:v>
      </x:c>
      <x:c r="P739" t="str">
        <x:v>397141eb8a813045075ac2be3098d3b136ebaf4d597c08fca627922a75e443b7</x:v>
      </x:c>
      <x:c r="Q739" t="str">
        <x:v>data/raw/ptm45_lp_vds_0p05v_raw.txt</x:v>
      </x:c>
    </x:row>
    <x:row r="740">
      <x:c r="A740" t="str">
        <x:v>PTM</x:v>
      </x:c>
      <x:c r="B740" t="str">
        <x:v>NMOS</x:v>
      </x:c>
      <x:c r="C740" s="97" t="n">
        <x:v>45</x:v>
      </x:c>
      <x:c r="D740" s="97" t="str">
        <x:v>LP</x:v>
      </x:c>
      <x:c r="E740" s="99" t="n">
        <x:v>1</x:v>
      </x:c>
      <x:c r="F740" s="99" t="n">
        <x:v>0.045</x:v>
      </x:c>
      <x:c r="G740" s="99" t="n">
        <x:v>25</x:v>
      </x:c>
      <x:c r="H740" s="99" t="n">
        <x:v>0.05</x:v>
      </x:c>
      <x:c r="I740" s="99" t="n">
        <x:v>1.079999999999999</x:v>
      </x:c>
      <x:c r="J740" s="98" t="n">
        <x:v>0.00009841220332979273</x:v>
      </x:c>
      <x:c r="K740" t="str">
        <x:v>low_vds</x:v>
      </x:c>
      <x:c r="L740" t="str">
        <x:v>low_drain_bias</x:v>
      </x:c>
      <x:c r="M740" t="n">
        <x:v>1.1</x:v>
      </x:c>
      <x:c r="N740" t="str">
        <x:v>simulation</x:v>
      </x:c>
      <x:c r="O740" t="str">
        <x:v>ngspice</x:v>
      </x:c>
      <x:c r="P740" t="str">
        <x:v>397141eb8a813045075ac2be3098d3b136ebaf4d597c08fca627922a75e443b7</x:v>
      </x:c>
      <x:c r="Q740" t="str">
        <x:v>data/raw/ptm45_lp_vds_0p05v_raw.txt</x:v>
      </x:c>
    </x:row>
    <x:row r="741">
      <x:c r="A741" t="str">
        <x:v>PTM</x:v>
      </x:c>
      <x:c r="B741" t="str">
        <x:v>NMOS</x:v>
      </x:c>
      <x:c r="C741" s="97" t="n">
        <x:v>45</x:v>
      </x:c>
      <x:c r="D741" s="97" t="str">
        <x:v>LP</x:v>
      </x:c>
      <x:c r="E741" s="99" t="n">
        <x:v>1</x:v>
      </x:c>
      <x:c r="F741" s="99" t="n">
        <x:v>0.045</x:v>
      </x:c>
      <x:c r="G741" s="99" t="n">
        <x:v>25</x:v>
      </x:c>
      <x:c r="H741" s="99" t="n">
        <x:v>0.05</x:v>
      </x:c>
      <x:c r="I741" s="99" t="n">
        <x:v>1.084999999999999</x:v>
      </x:c>
      <x:c r="J741" s="98" t="n">
        <x:v>0.00009893762837839811</x:v>
      </x:c>
      <x:c r="K741" t="str">
        <x:v>low_vds</x:v>
      </x:c>
      <x:c r="L741" t="str">
        <x:v>low_drain_bias</x:v>
      </x:c>
      <x:c r="M741" t="n">
        <x:v>1.1</x:v>
      </x:c>
      <x:c r="N741" t="str">
        <x:v>simulation</x:v>
      </x:c>
      <x:c r="O741" t="str">
        <x:v>ngspice</x:v>
      </x:c>
      <x:c r="P741" t="str">
        <x:v>397141eb8a813045075ac2be3098d3b136ebaf4d597c08fca627922a75e443b7</x:v>
      </x:c>
      <x:c r="Q741" t="str">
        <x:v>data/raw/ptm45_lp_vds_0p05v_raw.txt</x:v>
      </x:c>
    </x:row>
    <x:row r="742">
      <x:c r="A742" t="str">
        <x:v>PTM</x:v>
      </x:c>
      <x:c r="B742" t="str">
        <x:v>NMOS</x:v>
      </x:c>
      <x:c r="C742" s="97" t="n">
        <x:v>45</x:v>
      </x:c>
      <x:c r="D742" s="97" t="str">
        <x:v>LP</x:v>
      </x:c>
      <x:c r="E742" s="99" t="n">
        <x:v>1</x:v>
      </x:c>
      <x:c r="F742" s="99" t="n">
        <x:v>0.045</x:v>
      </x:c>
      <x:c r="G742" s="99" t="n">
        <x:v>25</x:v>
      </x:c>
      <x:c r="H742" s="99" t="n">
        <x:v>0.05</x:v>
      </x:c>
      <x:c r="I742" s="99" t="n">
        <x:v>1.089999999999999</x:v>
      </x:c>
      <x:c r="J742" s="98" t="n">
        <x:v>0.00009945622104844606</x:v>
      </x:c>
      <x:c r="K742" t="str">
        <x:v>low_vds</x:v>
      </x:c>
      <x:c r="L742" t="str">
        <x:v>low_drain_bias</x:v>
      </x:c>
      <x:c r="M742" t="n">
        <x:v>1.1</x:v>
      </x:c>
      <x:c r="N742" t="str">
        <x:v>simulation</x:v>
      </x:c>
      <x:c r="O742" t="str">
        <x:v>ngspice</x:v>
      </x:c>
      <x:c r="P742" t="str">
        <x:v>397141eb8a813045075ac2be3098d3b136ebaf4d597c08fca627922a75e443b7</x:v>
      </x:c>
      <x:c r="Q742" t="str">
        <x:v>data/raw/ptm45_lp_vds_0p05v_raw.txt</x:v>
      </x:c>
    </x:row>
    <x:row r="743">
      <x:c r="A743" t="str">
        <x:v>PTM</x:v>
      </x:c>
      <x:c r="B743" t="str">
        <x:v>NMOS</x:v>
      </x:c>
      <x:c r="C743" s="97" t="n">
        <x:v>45</x:v>
      </x:c>
      <x:c r="D743" s="97" t="str">
        <x:v>LP</x:v>
      </x:c>
      <x:c r="E743" s="99" t="n">
        <x:v>1</x:v>
      </x:c>
      <x:c r="F743" s="99" t="n">
        <x:v>0.045</x:v>
      </x:c>
      <x:c r="G743" s="99" t="n">
        <x:v>25</x:v>
      </x:c>
      <x:c r="H743" s="99" t="n">
        <x:v>0.05</x:v>
      </x:c>
      <x:c r="I743" s="99" t="n">
        <x:v>1.094999999999999</x:v>
      </x:c>
      <x:c r="J743" s="98" t="n">
        <x:v>0.00009996810085326323</x:v>
      </x:c>
      <x:c r="K743" t="str">
        <x:v>low_vds</x:v>
      </x:c>
      <x:c r="L743" t="str">
        <x:v>low_drain_bias</x:v>
      </x:c>
      <x:c r="M743" t="n">
        <x:v>1.1</x:v>
      </x:c>
      <x:c r="N743" t="str">
        <x:v>simulation</x:v>
      </x:c>
      <x:c r="O743" t="str">
        <x:v>ngspice</x:v>
      </x:c>
      <x:c r="P743" t="str">
        <x:v>397141eb8a813045075ac2be3098d3b136ebaf4d597c08fca627922a75e443b7</x:v>
      </x:c>
      <x:c r="Q743" t="str">
        <x:v>data/raw/ptm45_lp_vds_0p05v_raw.txt</x:v>
      </x:c>
    </x:row>
    <x:row r="744">
      <x:c r="A744" t="str">
        <x:v>PTM</x:v>
      </x:c>
      <x:c r="B744" t="str">
        <x:v>NMOS</x:v>
      </x:c>
      <x:c r="C744" s="97" t="n">
        <x:v>45</x:v>
      </x:c>
      <x:c r="D744" s="97" t="str">
        <x:v>LP</x:v>
      </x:c>
      <x:c r="E744" s="99" t="n">
        <x:v>1</x:v>
      </x:c>
      <x:c r="F744" s="99" t="n">
        <x:v>0.045</x:v>
      </x:c>
      <x:c r="G744" s="99" t="n">
        <x:v>25</x:v>
      </x:c>
      <x:c r="H744" s="99" t="n">
        <x:v>0.05</x:v>
      </x:c>
      <x:c r="I744" s="99" t="n">
        <x:v>1.099999999999999</x:v>
      </x:c>
      <x:c r="J744" s="98" t="n">
        <x:v>0.0001004733846906427</x:v>
      </x:c>
      <x:c r="K744" t="str">
        <x:v>low_vds</x:v>
      </x:c>
      <x:c r="L744" t="str">
        <x:v>low_drain_bias</x:v>
      </x:c>
      <x:c r="M744" t="n">
        <x:v>1.1</x:v>
      </x:c>
      <x:c r="N744" t="str">
        <x:v>simulation</x:v>
      </x:c>
      <x:c r="O744" t="str">
        <x:v>ngspice</x:v>
      </x:c>
      <x:c r="P744" t="str">
        <x:v>397141eb8a813045075ac2be3098d3b136ebaf4d597c08fca627922a75e443b7</x:v>
      </x:c>
      <x:c r="Q744" t="str">
        <x:v>data/raw/ptm45_lp_vds_0p05v_raw.txt</x:v>
      </x:c>
    </x:row>
    <x:row r="745">
      <x:c r="A745" t="str">
        <x:v>PTM</x:v>
      </x:c>
      <x:c r="B745" t="str">
        <x:v>NMOS</x:v>
      </x:c>
      <x:c r="C745" s="97" t="n">
        <x:v>45</x:v>
      </x:c>
      <x:c r="D745" s="97" t="str">
        <x:v>LP</x:v>
      </x:c>
      <x:c r="E745" s="99" t="n">
        <x:v>1</x:v>
      </x:c>
      <x:c r="F745" s="99" t="n">
        <x:v>0.045</x:v>
      </x:c>
      <x:c r="G745" s="99" t="n">
        <x:v>25</x:v>
      </x:c>
      <x:c r="H745" s="99" t="n">
        <x:v>1.1</x:v>
      </x:c>
      <x:c r="I745" s="99" t="n">
        <x:v>-0.2</x:v>
      </x:c>
      <x:c r="J745" s="98" t="n">
        <x:v>3.843157657541054e-12</x:v>
      </x:c>
      <x:c r="K745" t="str">
        <x:v>nominal_vdd</x:v>
      </x:c>
      <x:c r="L745" t="str">
        <x:v>model_nominal_vdd</x:v>
      </x:c>
      <x:c r="M745" t="n">
        <x:v>1.1</x:v>
      </x:c>
      <x:c r="N745" t="str">
        <x:v>simulation</x:v>
      </x:c>
      <x:c r="O745" t="str">
        <x:v>ngspice</x:v>
      </x:c>
      <x:c r="P745" t="str">
        <x:v>397141eb8a813045075ac2be3098d3b136ebaf4d597c08fca627922a75e443b7</x:v>
      </x:c>
      <x:c r="Q745" t="str">
        <x:v>data/raw/ptm45_lp_vds_1p1v_raw.txt</x:v>
      </x:c>
    </x:row>
    <x:row r="746">
      <x:c r="A746" t="str">
        <x:v>PTM</x:v>
      </x:c>
      <x:c r="B746" t="str">
        <x:v>NMOS</x:v>
      </x:c>
      <x:c r="C746" s="97" t="n">
        <x:v>45</x:v>
      </x:c>
      <x:c r="D746" s="97" t="str">
        <x:v>LP</x:v>
      </x:c>
      <x:c r="E746" s="99" t="n">
        <x:v>1</x:v>
      </x:c>
      <x:c r="F746" s="99" t="n">
        <x:v>0.045</x:v>
      </x:c>
      <x:c r="G746" s="99" t="n">
        <x:v>25</x:v>
      </x:c>
      <x:c r="H746" s="99" t="n">
        <x:v>1.1</x:v>
      </x:c>
      <x:c r="I746" s="99" t="n">
        <x:v>-0.195</x:v>
      </x:c>
      <x:c r="J746" s="98" t="n">
        <x:v>3.239107945031578e-12</x:v>
      </x:c>
      <x:c r="K746" t="str">
        <x:v>nominal_vdd</x:v>
      </x:c>
      <x:c r="L746" t="str">
        <x:v>model_nominal_vdd</x:v>
      </x:c>
      <x:c r="M746" t="n">
        <x:v>1.1</x:v>
      </x:c>
      <x:c r="N746" t="str">
        <x:v>simulation</x:v>
      </x:c>
      <x:c r="O746" t="str">
        <x:v>ngspice</x:v>
      </x:c>
      <x:c r="P746" t="str">
        <x:v>397141eb8a813045075ac2be3098d3b136ebaf4d597c08fca627922a75e443b7</x:v>
      </x:c>
      <x:c r="Q746" t="str">
        <x:v>data/raw/ptm45_lp_vds_1p1v_raw.txt</x:v>
      </x:c>
    </x:row>
    <x:row r="747">
      <x:c r="A747" t="str">
        <x:v>PTM</x:v>
      </x:c>
      <x:c r="B747" t="str">
        <x:v>NMOS</x:v>
      </x:c>
      <x:c r="C747" s="97" t="n">
        <x:v>45</x:v>
      </x:c>
      <x:c r="D747" s="97" t="str">
        <x:v>LP</x:v>
      </x:c>
      <x:c r="E747" s="99" t="n">
        <x:v>1</x:v>
      </x:c>
      <x:c r="F747" s="99" t="n">
        <x:v>0.045</x:v>
      </x:c>
      <x:c r="G747" s="99" t="n">
        <x:v>25</x:v>
      </x:c>
      <x:c r="H747" s="99" t="n">
        <x:v>1.1</x:v>
      </x:c>
      <x:c r="I747" s="99" t="n">
        <x:v>-0.19</x:v>
      </x:c>
      <x:c r="J747" s="98" t="n">
        <x:v>2.823537168074477e-12</x:v>
      </x:c>
      <x:c r="K747" t="str">
        <x:v>nominal_vdd</x:v>
      </x:c>
      <x:c r="L747" t="str">
        <x:v>model_nominal_vdd</x:v>
      </x:c>
      <x:c r="M747" t="n">
        <x:v>1.1</x:v>
      </x:c>
      <x:c r="N747" t="str">
        <x:v>simulation</x:v>
      </x:c>
      <x:c r="O747" t="str">
        <x:v>ngspice</x:v>
      </x:c>
      <x:c r="P747" t="str">
        <x:v>397141eb8a813045075ac2be3098d3b136ebaf4d597c08fca627922a75e443b7</x:v>
      </x:c>
      <x:c r="Q747" t="str">
        <x:v>data/raw/ptm45_lp_vds_1p1v_raw.txt</x:v>
      </x:c>
    </x:row>
    <x:row r="748">
      <x:c r="A748" t="str">
        <x:v>PTM</x:v>
      </x:c>
      <x:c r="B748" t="str">
        <x:v>NMOS</x:v>
      </x:c>
      <x:c r="C748" s="97" t="n">
        <x:v>45</x:v>
      </x:c>
      <x:c r="D748" s="97" t="str">
        <x:v>LP</x:v>
      </x:c>
      <x:c r="E748" s="99" t="n">
        <x:v>1</x:v>
      </x:c>
      <x:c r="F748" s="99" t="n">
        <x:v>0.045</x:v>
      </x:c>
      <x:c r="G748" s="99" t="n">
        <x:v>25</x:v>
      </x:c>
      <x:c r="H748" s="99" t="n">
        <x:v>1.1</x:v>
      </x:c>
      <x:c r="I748" s="99" t="n">
        <x:v>-0.185</x:v>
      </x:c>
      <x:c r="J748" s="98" t="n">
        <x:v>2.499074399119393e-12</x:v>
      </x:c>
      <x:c r="K748" t="str">
        <x:v>nominal_vdd</x:v>
      </x:c>
      <x:c r="L748" t="str">
        <x:v>model_nominal_vdd</x:v>
      </x:c>
      <x:c r="M748" t="n">
        <x:v>1.1</x:v>
      </x:c>
      <x:c r="N748" t="str">
        <x:v>simulation</x:v>
      </x:c>
      <x:c r="O748" t="str">
        <x:v>ngspice</x:v>
      </x:c>
      <x:c r="P748" t="str">
        <x:v>397141eb8a813045075ac2be3098d3b136ebaf4d597c08fca627922a75e443b7</x:v>
      </x:c>
      <x:c r="Q748" t="str">
        <x:v>data/raw/ptm45_lp_vds_1p1v_raw.txt</x:v>
      </x:c>
    </x:row>
    <x:row r="749">
      <x:c r="A749" t="str">
        <x:v>PTM</x:v>
      </x:c>
      <x:c r="B749" t="str">
        <x:v>NMOS</x:v>
      </x:c>
      <x:c r="C749" s="97" t="n">
        <x:v>45</x:v>
      </x:c>
      <x:c r="D749" s="97" t="str">
        <x:v>LP</x:v>
      </x:c>
      <x:c r="E749" s="99" t="n">
        <x:v>1</x:v>
      </x:c>
      <x:c r="F749" s="99" t="n">
        <x:v>0.045</x:v>
      </x:c>
      <x:c r="G749" s="99" t="n">
        <x:v>25</x:v>
      </x:c>
      <x:c r="H749" s="99" t="n">
        <x:v>1.1</x:v>
      </x:c>
      <x:c r="I749" s="99" t="n">
        <x:v>-0.18</x:v>
      </x:c>
      <x:c r="J749" s="98" t="n">
        <x:v>2.249450196503867e-12</x:v>
      </x:c>
      <x:c r="K749" t="str">
        <x:v>nominal_vdd</x:v>
      </x:c>
      <x:c r="L749" t="str">
        <x:v>model_nominal_vdd</x:v>
      </x:c>
      <x:c r="M749" t="n">
        <x:v>1.1</x:v>
      </x:c>
      <x:c r="N749" t="str">
        <x:v>simulation</x:v>
      </x:c>
      <x:c r="O749" t="str">
        <x:v>ngspice</x:v>
      </x:c>
      <x:c r="P749" t="str">
        <x:v>397141eb8a813045075ac2be3098d3b136ebaf4d597c08fca627922a75e443b7</x:v>
      </x:c>
      <x:c r="Q749" t="str">
        <x:v>data/raw/ptm45_lp_vds_1p1v_raw.txt</x:v>
      </x:c>
    </x:row>
    <x:row r="750">
      <x:c r="A750" t="str">
        <x:v>PTM</x:v>
      </x:c>
      <x:c r="B750" t="str">
        <x:v>NMOS</x:v>
      </x:c>
      <x:c r="C750" s="97" t="n">
        <x:v>45</x:v>
      </x:c>
      <x:c r="D750" s="97" t="str">
        <x:v>LP</x:v>
      </x:c>
      <x:c r="E750" s="99" t="n">
        <x:v>1</x:v>
      </x:c>
      <x:c r="F750" s="99" t="n">
        <x:v>0.045</x:v>
      </x:c>
      <x:c r="G750" s="99" t="n">
        <x:v>25</x:v>
      </x:c>
      <x:c r="H750" s="99" t="n">
        <x:v>1.1</x:v>
      </x:c>
      <x:c r="I750" s="99" t="n">
        <x:v>-0.175</x:v>
      </x:c>
      <x:c r="J750" s="98" t="n">
        <x:v>2.061314211635574e-12</x:v>
      </x:c>
      <x:c r="K750" t="str">
        <x:v>nominal_vdd</x:v>
      </x:c>
      <x:c r="L750" t="str">
        <x:v>model_nominal_vdd</x:v>
      </x:c>
      <x:c r="M750" t="n">
        <x:v>1.1</x:v>
      </x:c>
      <x:c r="N750" t="str">
        <x:v>simulation</x:v>
      </x:c>
      <x:c r="O750" t="str">
        <x:v>ngspice</x:v>
      </x:c>
      <x:c r="P750" t="str">
        <x:v>397141eb8a813045075ac2be3098d3b136ebaf4d597c08fca627922a75e443b7</x:v>
      </x:c>
      <x:c r="Q750" t="str">
        <x:v>data/raw/ptm45_lp_vds_1p1v_raw.txt</x:v>
      </x:c>
    </x:row>
    <x:row r="751">
      <x:c r="A751" t="str">
        <x:v>PTM</x:v>
      </x:c>
      <x:c r="B751" t="str">
        <x:v>NMOS</x:v>
      </x:c>
      <x:c r="C751" s="97" t="n">
        <x:v>45</x:v>
      </x:c>
      <x:c r="D751" s="97" t="str">
        <x:v>LP</x:v>
      </x:c>
      <x:c r="E751" s="99" t="n">
        <x:v>1</x:v>
      </x:c>
      <x:c r="F751" s="99" t="n">
        <x:v>0.045</x:v>
      </x:c>
      <x:c r="G751" s="99" t="n">
        <x:v>25</x:v>
      </x:c>
      <x:c r="H751" s="99" t="n">
        <x:v>1.1</x:v>
      </x:c>
      <x:c r="I751" s="99" t="n">
        <x:v>-0.17</x:v>
      </x:c>
      <x:c r="J751" s="98" t="n">
        <x:v>1.923802525103569e-12</x:v>
      </x:c>
      <x:c r="K751" t="str">
        <x:v>nominal_vdd</x:v>
      </x:c>
      <x:c r="L751" t="str">
        <x:v>model_nominal_vdd</x:v>
      </x:c>
      <x:c r="M751" t="n">
        <x:v>1.1</x:v>
      </x:c>
      <x:c r="N751" t="str">
        <x:v>simulation</x:v>
      </x:c>
      <x:c r="O751" t="str">
        <x:v>ngspice</x:v>
      </x:c>
      <x:c r="P751" t="str">
        <x:v>397141eb8a813045075ac2be3098d3b136ebaf4d597c08fca627922a75e443b7</x:v>
      </x:c>
      <x:c r="Q751" t="str">
        <x:v>data/raw/ptm45_lp_vds_1p1v_raw.txt</x:v>
      </x:c>
    </x:row>
    <x:row r="752">
      <x:c r="A752" t="str">
        <x:v>PTM</x:v>
      </x:c>
      <x:c r="B752" t="str">
        <x:v>NMOS</x:v>
      </x:c>
      <x:c r="C752" s="97" t="n">
        <x:v>45</x:v>
      </x:c>
      <x:c r="D752" s="97" t="str">
        <x:v>LP</x:v>
      </x:c>
      <x:c r="E752" s="99" t="n">
        <x:v>1</x:v>
      </x:c>
      <x:c r="F752" s="99" t="n">
        <x:v>0.045</x:v>
      </x:c>
      <x:c r="G752" s="99" t="n">
        <x:v>25</x:v>
      </x:c>
      <x:c r="H752" s="99" t="n">
        <x:v>1.1</x:v>
      </x:c>
      <x:c r="I752" s="99" t="n">
        <x:v>-0.165</x:v>
      </x:c>
      <x:c r="J752" s="98" t="n">
        <x:v>1.82816483061093e-12</x:v>
      </x:c>
      <x:c r="K752" t="str">
        <x:v>nominal_vdd</x:v>
      </x:c>
      <x:c r="L752" t="str">
        <x:v>model_nominal_vdd</x:v>
      </x:c>
      <x:c r="M752" t="n">
        <x:v>1.1</x:v>
      </x:c>
      <x:c r="N752" t="str">
        <x:v>simulation</x:v>
      </x:c>
      <x:c r="O752" t="str">
        <x:v>ngspice</x:v>
      </x:c>
      <x:c r="P752" t="str">
        <x:v>397141eb8a813045075ac2be3098d3b136ebaf4d597c08fca627922a75e443b7</x:v>
      </x:c>
      <x:c r="Q752" t="str">
        <x:v>data/raw/ptm45_lp_vds_1p1v_raw.txt</x:v>
      </x:c>
    </x:row>
    <x:row r="753">
      <x:c r="A753" t="str">
        <x:v>PTM</x:v>
      </x:c>
      <x:c r="B753" t="str">
        <x:v>NMOS</x:v>
      </x:c>
      <x:c r="C753" s="97" t="n">
        <x:v>45</x:v>
      </x:c>
      <x:c r="D753" s="97" t="str">
        <x:v>LP</x:v>
      </x:c>
      <x:c r="E753" s="99" t="n">
        <x:v>1</x:v>
      </x:c>
      <x:c r="F753" s="99" t="n">
        <x:v>0.045</x:v>
      </x:c>
      <x:c r="G753" s="99" t="n">
        <x:v>25</x:v>
      </x:c>
      <x:c r="H753" s="99" t="n">
        <x:v>1.1</x:v>
      </x:c>
      <x:c r="I753" s="99" t="n">
        <x:v>-0.16</x:v>
      </x:c>
      <x:c r="J753" s="98" t="n">
        <x:v>1.767445218589546e-12</x:v>
      </x:c>
      <x:c r="K753" t="str">
        <x:v>nominal_vdd</x:v>
      </x:c>
      <x:c r="L753" t="str">
        <x:v>model_nominal_vdd</x:v>
      </x:c>
      <x:c r="M753" t="n">
        <x:v>1.1</x:v>
      </x:c>
      <x:c r="N753" t="str">
        <x:v>simulation</x:v>
      </x:c>
      <x:c r="O753" t="str">
        <x:v>ngspice</x:v>
      </x:c>
      <x:c r="P753" t="str">
        <x:v>397141eb8a813045075ac2be3098d3b136ebaf4d597c08fca627922a75e443b7</x:v>
      </x:c>
      <x:c r="Q753" t="str">
        <x:v>data/raw/ptm45_lp_vds_1p1v_raw.txt</x:v>
      </x:c>
    </x:row>
    <x:row r="754">
      <x:c r="A754" t="str">
        <x:v>PTM</x:v>
      </x:c>
      <x:c r="B754" t="str">
        <x:v>NMOS</x:v>
      </x:c>
      <x:c r="C754" s="97" t="n">
        <x:v>45</x:v>
      </x:c>
      <x:c r="D754" s="97" t="str">
        <x:v>LP</x:v>
      </x:c>
      <x:c r="E754" s="99" t="n">
        <x:v>1</x:v>
      </x:c>
      <x:c r="F754" s="99" t="n">
        <x:v>0.045</x:v>
      </x:c>
      <x:c r="G754" s="99" t="n">
        <x:v>25</x:v>
      </x:c>
      <x:c r="H754" s="99" t="n">
        <x:v>1.1</x:v>
      </x:c>
      <x:c r="I754" s="99" t="n">
        <x:v>-0.155</x:v>
      </x:c>
      <x:c r="J754" s="98" t="n">
        <x:v>1.7362108361767e-12</x:v>
      </x:c>
      <x:c r="K754" t="str">
        <x:v>nominal_vdd</x:v>
      </x:c>
      <x:c r="L754" t="str">
        <x:v>model_nominal_vdd</x:v>
      </x:c>
      <x:c r="M754" t="n">
        <x:v>1.1</x:v>
      </x:c>
      <x:c r="N754" t="str">
        <x:v>simulation</x:v>
      </x:c>
      <x:c r="O754" t="str">
        <x:v>ngspice</x:v>
      </x:c>
      <x:c r="P754" t="str">
        <x:v>397141eb8a813045075ac2be3098d3b136ebaf4d597c08fca627922a75e443b7</x:v>
      </x:c>
      <x:c r="Q754" t="str">
        <x:v>data/raw/ptm45_lp_vds_1p1v_raw.txt</x:v>
      </x:c>
    </x:row>
    <x:row r="755">
      <x:c r="A755" t="str">
        <x:v>PTM</x:v>
      </x:c>
      <x:c r="B755" t="str">
        <x:v>NMOS</x:v>
      </x:c>
      <x:c r="C755" s="97" t="n">
        <x:v>45</x:v>
      </x:c>
      <x:c r="D755" s="97" t="str">
        <x:v>LP</x:v>
      </x:c>
      <x:c r="E755" s="99" t="n">
        <x:v>1</x:v>
      </x:c>
      <x:c r="F755" s="99" t="n">
        <x:v>0.045</x:v>
      </x:c>
      <x:c r="G755" s="99" t="n">
        <x:v>25</x:v>
      </x:c>
      <x:c r="H755" s="99" t="n">
        <x:v>1.1</x:v>
      </x:c>
      <x:c r="I755" s="99" t="n">
        <x:v>-0.15</x:v>
      </x:c>
      <x:c r="J755" s="98" t="n">
        <x:v>1.730323212993311e-12</x:v>
      </x:c>
      <x:c r="K755" t="str">
        <x:v>nominal_vdd</x:v>
      </x:c>
      <x:c r="L755" t="str">
        <x:v>model_nominal_vdd</x:v>
      </x:c>
      <x:c r="M755" t="n">
        <x:v>1.1</x:v>
      </x:c>
      <x:c r="N755" t="str">
        <x:v>simulation</x:v>
      </x:c>
      <x:c r="O755" t="str">
        <x:v>ngspice</x:v>
      </x:c>
      <x:c r="P755" t="str">
        <x:v>397141eb8a813045075ac2be3098d3b136ebaf4d597c08fca627922a75e443b7</x:v>
      </x:c>
      <x:c r="Q755" t="str">
        <x:v>data/raw/ptm45_lp_vds_1p1v_raw.txt</x:v>
      </x:c>
    </x:row>
    <x:row r="756">
      <x:c r="A756" t="str">
        <x:v>PTM</x:v>
      </x:c>
      <x:c r="B756" t="str">
        <x:v>NMOS</x:v>
      </x:c>
      <x:c r="C756" s="97" t="n">
        <x:v>45</x:v>
      </x:c>
      <x:c r="D756" s="97" t="str">
        <x:v>LP</x:v>
      </x:c>
      <x:c r="E756" s="99" t="n">
        <x:v>1</x:v>
      </x:c>
      <x:c r="F756" s="99" t="n">
        <x:v>0.045</x:v>
      </x:c>
      <x:c r="G756" s="99" t="n">
        <x:v>25</x:v>
      </x:c>
      <x:c r="H756" s="99" t="n">
        <x:v>1.1</x:v>
      </x:c>
      <x:c r="I756" s="99" t="n">
        <x:v>-0.145</x:v>
      </x:c>
      <x:c r="J756" s="98" t="n">
        <x:v>1.746747541110623e-12</x:v>
      </x:c>
      <x:c r="K756" t="str">
        <x:v>nominal_vdd</x:v>
      </x:c>
      <x:c r="L756" t="str">
        <x:v>model_nominal_vdd</x:v>
      </x:c>
      <x:c r="M756" t="n">
        <x:v>1.1</x:v>
      </x:c>
      <x:c r="N756" t="str">
        <x:v>simulation</x:v>
      </x:c>
      <x:c r="O756" t="str">
        <x:v>ngspice</x:v>
      </x:c>
      <x:c r="P756" t="str">
        <x:v>397141eb8a813045075ac2be3098d3b136ebaf4d597c08fca627922a75e443b7</x:v>
      </x:c>
      <x:c r="Q756" t="str">
        <x:v>data/raw/ptm45_lp_vds_1p1v_raw.txt</x:v>
      </x:c>
    </x:row>
    <x:row r="757">
      <x:c r="A757" t="str">
        <x:v>PTM</x:v>
      </x:c>
      <x:c r="B757" t="str">
        <x:v>NMOS</x:v>
      </x:c>
      <x:c r="C757" s="97" t="n">
        <x:v>45</x:v>
      </x:c>
      <x:c r="D757" s="97" t="str">
        <x:v>LP</x:v>
      </x:c>
      <x:c r="E757" s="99" t="n">
        <x:v>1</x:v>
      </x:c>
      <x:c r="F757" s="99" t="n">
        <x:v>0.045</x:v>
      </x:c>
      <x:c r="G757" s="99" t="n">
        <x:v>25</x:v>
      </x:c>
      <x:c r="H757" s="99" t="n">
        <x:v>1.1</x:v>
      </x:c>
      <x:c r="I757" s="99" t="n">
        <x:v>-0.14</x:v>
      </x:c>
      <x:c r="J757" s="98" t="n">
        <x:v>1.783395681303645e-12</x:v>
      </x:c>
      <x:c r="K757" t="str">
        <x:v>nominal_vdd</x:v>
      </x:c>
      <x:c r="L757" t="str">
        <x:v>model_nominal_vdd</x:v>
      </x:c>
      <x:c r="M757" t="n">
        <x:v>1.1</x:v>
      </x:c>
      <x:c r="N757" t="str">
        <x:v>simulation</x:v>
      </x:c>
      <x:c r="O757" t="str">
        <x:v>ngspice</x:v>
      </x:c>
      <x:c r="P757" t="str">
        <x:v>397141eb8a813045075ac2be3098d3b136ebaf4d597c08fca627922a75e443b7</x:v>
      </x:c>
      <x:c r="Q757" t="str">
        <x:v>data/raw/ptm45_lp_vds_1p1v_raw.txt</x:v>
      </x:c>
    </x:row>
    <x:row r="758">
      <x:c r="A758" t="str">
        <x:v>PTM</x:v>
      </x:c>
      <x:c r="B758" t="str">
        <x:v>NMOS</x:v>
      </x:c>
      <x:c r="C758" s="97" t="n">
        <x:v>45</x:v>
      </x:c>
      <x:c r="D758" s="97" t="str">
        <x:v>LP</x:v>
      </x:c>
      <x:c r="E758" s="99" t="n">
        <x:v>1</x:v>
      </x:c>
      <x:c r="F758" s="99" t="n">
        <x:v>0.045</x:v>
      </x:c>
      <x:c r="G758" s="99" t="n">
        <x:v>25</x:v>
      </x:c>
      <x:c r="H758" s="99" t="n">
        <x:v>1.1</x:v>
      </x:c>
      <x:c r="I758" s="99" t="n">
        <x:v>-0.135</x:v>
      </x:c>
      <x:c r="J758" s="98" t="n">
        <x:v>1.838999135065929e-12</x:v>
      </x:c>
      <x:c r="K758" t="str">
        <x:v>nominal_vdd</x:v>
      </x:c>
      <x:c r="L758" t="str">
        <x:v>model_nominal_vdd</x:v>
      </x:c>
      <x:c r="M758" t="n">
        <x:v>1.1</x:v>
      </x:c>
      <x:c r="N758" t="str">
        <x:v>simulation</x:v>
      </x:c>
      <x:c r="O758" t="str">
        <x:v>ngspice</x:v>
      </x:c>
      <x:c r="P758" t="str">
        <x:v>397141eb8a813045075ac2be3098d3b136ebaf4d597c08fca627922a75e443b7</x:v>
      </x:c>
      <x:c r="Q758" t="str">
        <x:v>data/raw/ptm45_lp_vds_1p1v_raw.txt</x:v>
      </x:c>
    </x:row>
    <x:row r="759">
      <x:c r="A759" t="str">
        <x:v>PTM</x:v>
      </x:c>
      <x:c r="B759" t="str">
        <x:v>NMOS</x:v>
      </x:c>
      <x:c r="C759" s="97" t="n">
        <x:v>45</x:v>
      </x:c>
      <x:c r="D759" s="97" t="str">
        <x:v>LP</x:v>
      </x:c>
      <x:c r="E759" s="99" t="n">
        <x:v>1</x:v>
      </x:c>
      <x:c r="F759" s="99" t="n">
        <x:v>0.045</x:v>
      </x:c>
      <x:c r="G759" s="99" t="n">
        <x:v>25</x:v>
      </x:c>
      <x:c r="H759" s="99" t="n">
        <x:v>1.1</x:v>
      </x:c>
      <x:c r="I759" s="99" t="n">
        <x:v>-0.1299999999999999</x:v>
      </x:c>
      <x:c r="J759" s="98" t="n">
        <x:v>1.913008672374398e-12</x:v>
      </x:c>
      <x:c r="K759" t="str">
        <x:v>nominal_vdd</x:v>
      </x:c>
      <x:c r="L759" t="str">
        <x:v>model_nominal_vdd</x:v>
      </x:c>
      <x:c r="M759" t="n">
        <x:v>1.1</x:v>
      </x:c>
      <x:c r="N759" t="str">
        <x:v>simulation</x:v>
      </x:c>
      <x:c r="O759" t="str">
        <x:v>ngspice</x:v>
      </x:c>
      <x:c r="P759" t="str">
        <x:v>397141eb8a813045075ac2be3098d3b136ebaf4d597c08fca627922a75e443b7</x:v>
      </x:c>
      <x:c r="Q759" t="str">
        <x:v>data/raw/ptm45_lp_vds_1p1v_raw.txt</x:v>
      </x:c>
    </x:row>
    <x:row r="760">
      <x:c r="A760" t="str">
        <x:v>PTM</x:v>
      </x:c>
      <x:c r="B760" t="str">
        <x:v>NMOS</x:v>
      </x:c>
      <x:c r="C760" s="97" t="n">
        <x:v>45</x:v>
      </x:c>
      <x:c r="D760" s="97" t="str">
        <x:v>LP</x:v>
      </x:c>
      <x:c r="E760" s="99" t="n">
        <x:v>1</x:v>
      </x:c>
      <x:c r="F760" s="99" t="n">
        <x:v>0.045</x:v>
      </x:c>
      <x:c r="G760" s="99" t="n">
        <x:v>25</x:v>
      </x:c>
      <x:c r="H760" s="99" t="n">
        <x:v>1.1</x:v>
      </x:c>
      <x:c r="I760" s="99" t="n">
        <x:v>-0.1249999999999999</x:v>
      </x:c>
      <x:c r="J760" s="98" t="n">
        <x:v>2.005517738374246e-12</x:v>
      </x:c>
      <x:c r="K760" t="str">
        <x:v>nominal_vdd</x:v>
      </x:c>
      <x:c r="L760" t="str">
        <x:v>model_nominal_vdd</x:v>
      </x:c>
      <x:c r="M760" t="n">
        <x:v>1.1</x:v>
      </x:c>
      <x:c r="N760" t="str">
        <x:v>simulation</x:v>
      </x:c>
      <x:c r="O760" t="str">
        <x:v>ngspice</x:v>
      </x:c>
      <x:c r="P760" t="str">
        <x:v>397141eb8a813045075ac2be3098d3b136ebaf4d597c08fca627922a75e443b7</x:v>
      </x:c>
      <x:c r="Q760" t="str">
        <x:v>data/raw/ptm45_lp_vds_1p1v_raw.txt</x:v>
      </x:c>
    </x:row>
    <x:row r="761">
      <x:c r="A761" t="str">
        <x:v>PTM</x:v>
      </x:c>
      <x:c r="B761" t="str">
        <x:v>NMOS</x:v>
      </x:c>
      <x:c r="C761" s="97" t="n">
        <x:v>45</x:v>
      </x:c>
      <x:c r="D761" s="97" t="str">
        <x:v>LP</x:v>
      </x:c>
      <x:c r="E761" s="99" t="n">
        <x:v>1</x:v>
      </x:c>
      <x:c r="F761" s="99" t="n">
        <x:v>0.045</x:v>
      </x:c>
      <x:c r="G761" s="99" t="n">
        <x:v>25</x:v>
      </x:c>
      <x:c r="H761" s="99" t="n">
        <x:v>1.1</x:v>
      </x:c>
      <x:c r="I761" s="99" t="n">
        <x:v>-0.1199999999999999</x:v>
      </x:c>
      <x:c r="J761" s="98" t="n">
        <x:v>2.117207178314939e-12</x:v>
      </x:c>
      <x:c r="K761" t="str">
        <x:v>nominal_vdd</x:v>
      </x:c>
      <x:c r="L761" t="str">
        <x:v>model_nominal_vdd</x:v>
      </x:c>
      <x:c r="M761" t="n">
        <x:v>1.1</x:v>
      </x:c>
      <x:c r="N761" t="str">
        <x:v>simulation</x:v>
      </x:c>
      <x:c r="O761" t="str">
        <x:v>ngspice</x:v>
      </x:c>
      <x:c r="P761" t="str">
        <x:v>397141eb8a813045075ac2be3098d3b136ebaf4d597c08fca627922a75e443b7</x:v>
      </x:c>
      <x:c r="Q761" t="str">
        <x:v>data/raw/ptm45_lp_vds_1p1v_raw.txt</x:v>
      </x:c>
    </x:row>
    <x:row r="762">
      <x:c r="A762" t="str">
        <x:v>PTM</x:v>
      </x:c>
      <x:c r="B762" t="str">
        <x:v>NMOS</x:v>
      </x:c>
      <x:c r="C762" s="97" t="n">
        <x:v>45</x:v>
      </x:c>
      <x:c r="D762" s="97" t="str">
        <x:v>LP</x:v>
      </x:c>
      <x:c r="E762" s="99" t="n">
        <x:v>1</x:v>
      </x:c>
      <x:c r="F762" s="99" t="n">
        <x:v>0.045</x:v>
      </x:c>
      <x:c r="G762" s="99" t="n">
        <x:v>25</x:v>
      </x:c>
      <x:c r="H762" s="99" t="n">
        <x:v>1.1</x:v>
      </x:c>
      <x:c r="I762" s="99" t="n">
        <x:v>-0.1149999999999999</x:v>
      </x:c>
      <x:c r="J762" s="98" t="n">
        <x:v>2.249309219672026e-12</x:v>
      </x:c>
      <x:c r="K762" t="str">
        <x:v>nominal_vdd</x:v>
      </x:c>
      <x:c r="L762" t="str">
        <x:v>model_nominal_vdd</x:v>
      </x:c>
      <x:c r="M762" t="n">
        <x:v>1.1</x:v>
      </x:c>
      <x:c r="N762" t="str">
        <x:v>simulation</x:v>
      </x:c>
      <x:c r="O762" t="str">
        <x:v>ngspice</x:v>
      </x:c>
      <x:c r="P762" t="str">
        <x:v>397141eb8a813045075ac2be3098d3b136ebaf4d597c08fca627922a75e443b7</x:v>
      </x:c>
      <x:c r="Q762" t="str">
        <x:v>data/raw/ptm45_lp_vds_1p1v_raw.txt</x:v>
      </x:c>
    </x:row>
    <x:row r="763">
      <x:c r="A763" t="str">
        <x:v>PTM</x:v>
      </x:c>
      <x:c r="B763" t="str">
        <x:v>NMOS</x:v>
      </x:c>
      <x:c r="C763" s="97" t="n">
        <x:v>45</x:v>
      </x:c>
      <x:c r="D763" s="97" t="str">
        <x:v>LP</x:v>
      </x:c>
      <x:c r="E763" s="99" t="n">
        <x:v>1</x:v>
      </x:c>
      <x:c r="F763" s="99" t="n">
        <x:v>0.045</x:v>
      </x:c>
      <x:c r="G763" s="99" t="n">
        <x:v>25</x:v>
      </x:c>
      <x:c r="H763" s="99" t="n">
        <x:v>1.1</x:v>
      </x:c>
      <x:c r="I763" s="99" t="n">
        <x:v>-0.1099999999999999</x:v>
      </x:c>
      <x:c r="J763" s="98" t="n">
        <x:v>2.403589034480301e-12</x:v>
      </x:c>
      <x:c r="K763" t="str">
        <x:v>nominal_vdd</x:v>
      </x:c>
      <x:c r="L763" t="str">
        <x:v>model_nominal_vdd</x:v>
      </x:c>
      <x:c r="M763" t="n">
        <x:v>1.1</x:v>
      </x:c>
      <x:c r="N763" t="str">
        <x:v>simulation</x:v>
      </x:c>
      <x:c r="O763" t="str">
        <x:v>ngspice</x:v>
      </x:c>
      <x:c r="P763" t="str">
        <x:v>397141eb8a813045075ac2be3098d3b136ebaf4d597c08fca627922a75e443b7</x:v>
      </x:c>
      <x:c r="Q763" t="str">
        <x:v>data/raw/ptm45_lp_vds_1p1v_raw.txt</x:v>
      </x:c>
    </x:row>
    <x:row r="764">
      <x:c r="A764" t="str">
        <x:v>PTM</x:v>
      </x:c>
      <x:c r="B764" t="str">
        <x:v>NMOS</x:v>
      </x:c>
      <x:c r="C764" s="97" t="n">
        <x:v>45</x:v>
      </x:c>
      <x:c r="D764" s="97" t="str">
        <x:v>LP</x:v>
      </x:c>
      <x:c r="E764" s="99" t="n">
        <x:v>1</x:v>
      </x:c>
      <x:c r="F764" s="99" t="n">
        <x:v>0.045</x:v>
      </x:c>
      <x:c r="G764" s="99" t="n">
        <x:v>25</x:v>
      </x:c>
      <x:c r="H764" s="99" t="n">
        <x:v>1.1</x:v>
      </x:c>
      <x:c r="I764" s="99" t="n">
        <x:v>-0.1049999999999999</x:v>
      </x:c>
      <x:c r="J764" s="98" t="n">
        <x:v>2.582342574834395e-12</x:v>
      </x:c>
      <x:c r="K764" t="str">
        <x:v>nominal_vdd</x:v>
      </x:c>
      <x:c r="L764" t="str">
        <x:v>model_nominal_vdd</x:v>
      </x:c>
      <x:c r="M764" t="n">
        <x:v>1.1</x:v>
      </x:c>
      <x:c r="N764" t="str">
        <x:v>simulation</x:v>
      </x:c>
      <x:c r="O764" t="str">
        <x:v>ngspice</x:v>
      </x:c>
      <x:c r="P764" t="str">
        <x:v>397141eb8a813045075ac2be3098d3b136ebaf4d597c08fca627922a75e443b7</x:v>
      </x:c>
      <x:c r="Q764" t="str">
        <x:v>data/raw/ptm45_lp_vds_1p1v_raw.txt</x:v>
      </x:c>
    </x:row>
    <x:row r="765">
      <x:c r="A765" t="str">
        <x:v>PTM</x:v>
      </x:c>
      <x:c r="B765" t="str">
        <x:v>NMOS</x:v>
      </x:c>
      <x:c r="C765" s="97" t="n">
        <x:v>45</x:v>
      </x:c>
      <x:c r="D765" s="97" t="str">
        <x:v>LP</x:v>
      </x:c>
      <x:c r="E765" s="99" t="n">
        <x:v>1</x:v>
      </x:c>
      <x:c r="F765" s="99" t="n">
        <x:v>0.045</x:v>
      </x:c>
      <x:c r="G765" s="99" t="n">
        <x:v>25</x:v>
      </x:c>
      <x:c r="H765" s="99" t="n">
        <x:v>1.1</x:v>
      </x:c>
      <x:c r="I765" s="99" t="n">
        <x:v>-0.09999999999999992</x:v>
      </x:c>
      <x:c r="J765" s="98" t="n">
        <x:v>2.788409732228717e-12</x:v>
      </x:c>
      <x:c r="K765" t="str">
        <x:v>nominal_vdd</x:v>
      </x:c>
      <x:c r="L765" t="str">
        <x:v>model_nominal_vdd</x:v>
      </x:c>
      <x:c r="M765" t="n">
        <x:v>1.1</x:v>
      </x:c>
      <x:c r="N765" t="str">
        <x:v>simulation</x:v>
      </x:c>
      <x:c r="O765" t="str">
        <x:v>ngspice</x:v>
      </x:c>
      <x:c r="P765" t="str">
        <x:v>397141eb8a813045075ac2be3098d3b136ebaf4d597c08fca627922a75e443b7</x:v>
      </x:c>
      <x:c r="Q765" t="str">
        <x:v>data/raw/ptm45_lp_vds_1p1v_raw.txt</x:v>
      </x:c>
    </x:row>
    <x:row r="766">
      <x:c r="A766" t="str">
        <x:v>PTM</x:v>
      </x:c>
      <x:c r="B766" t="str">
        <x:v>NMOS</x:v>
      </x:c>
      <x:c r="C766" s="97" t="n">
        <x:v>45</x:v>
      </x:c>
      <x:c r="D766" s="97" t="str">
        <x:v>LP</x:v>
      </x:c>
      <x:c r="E766" s="99" t="n">
        <x:v>1</x:v>
      </x:c>
      <x:c r="F766" s="99" t="n">
        <x:v>0.045</x:v>
      </x:c>
      <x:c r="G766" s="99" t="n">
        <x:v>25</x:v>
      </x:c>
      <x:c r="H766" s="99" t="n">
        <x:v>1.1</x:v>
      </x:c>
      <x:c r="I766" s="99" t="n">
        <x:v>-0.09499999999999992</x:v>
      </x:c>
      <x:c r="J766" s="98" t="n">
        <x:v>3.025202219214049e-12</x:v>
      </x:c>
      <x:c r="K766" t="str">
        <x:v>nominal_vdd</x:v>
      </x:c>
      <x:c r="L766" t="str">
        <x:v>model_nominal_vdd</x:v>
      </x:c>
      <x:c r="M766" t="n">
        <x:v>1.1</x:v>
      </x:c>
      <x:c r="N766" t="str">
        <x:v>simulation</x:v>
      </x:c>
      <x:c r="O766" t="str">
        <x:v>ngspice</x:v>
      </x:c>
      <x:c r="P766" t="str">
        <x:v>397141eb8a813045075ac2be3098d3b136ebaf4d597c08fca627922a75e443b7</x:v>
      </x:c>
      <x:c r="Q766" t="str">
        <x:v>data/raw/ptm45_lp_vds_1p1v_raw.txt</x:v>
      </x:c>
    </x:row>
    <x:row r="767">
      <x:c r="A767" t="str">
        <x:v>PTM</x:v>
      </x:c>
      <x:c r="B767" t="str">
        <x:v>NMOS</x:v>
      </x:c>
      <x:c r="C767" s="97" t="n">
        <x:v>45</x:v>
      </x:c>
      <x:c r="D767" s="97" t="str">
        <x:v>LP</x:v>
      </x:c>
      <x:c r="E767" s="99" t="n">
        <x:v>1</x:v>
      </x:c>
      <x:c r="F767" s="99" t="n">
        <x:v>0.045</x:v>
      </x:c>
      <x:c r="G767" s="99" t="n">
        <x:v>25</x:v>
      </x:c>
      <x:c r="H767" s="99" t="n">
        <x:v>1.1</x:v>
      </x:c>
      <x:c r="I767" s="99" t="n">
        <x:v>-0.08999999999999991</x:v>
      </x:c>
      <x:c r="J767" s="98" t="n">
        <x:v>3.296745912414954e-12</x:v>
      </x:c>
      <x:c r="K767" t="str">
        <x:v>nominal_vdd</x:v>
      </x:c>
      <x:c r="L767" t="str">
        <x:v>model_nominal_vdd</x:v>
      </x:c>
      <x:c r="M767" t="n">
        <x:v>1.1</x:v>
      </x:c>
      <x:c r="N767" t="str">
        <x:v>simulation</x:v>
      </x:c>
      <x:c r="O767" t="str">
        <x:v>ngspice</x:v>
      </x:c>
      <x:c r="P767" t="str">
        <x:v>397141eb8a813045075ac2be3098d3b136ebaf4d597c08fca627922a75e443b7</x:v>
      </x:c>
      <x:c r="Q767" t="str">
        <x:v>data/raw/ptm45_lp_vds_1p1v_raw.txt</x:v>
      </x:c>
    </x:row>
    <x:row r="768">
      <x:c r="A768" t="str">
        <x:v>PTM</x:v>
      </x:c>
      <x:c r="B768" t="str">
        <x:v>NMOS</x:v>
      </x:c>
      <x:c r="C768" s="97" t="n">
        <x:v>45</x:v>
      </x:c>
      <x:c r="D768" s="97" t="str">
        <x:v>LP</x:v>
      </x:c>
      <x:c r="E768" s="99" t="n">
        <x:v>1</x:v>
      </x:c>
      <x:c r="F768" s="99" t="n">
        <x:v>0.045</x:v>
      </x:c>
      <x:c r="G768" s="99" t="n">
        <x:v>25</x:v>
      </x:c>
      <x:c r="H768" s="99" t="n">
        <x:v>1.1</x:v>
      </x:c>
      <x:c r="I768" s="99" t="n">
        <x:v>-0.08499999999999991</x:v>
      </x:c>
      <x:c r="J768" s="98" t="n">
        <x:v>3.607737732628669e-12</x:v>
      </x:c>
      <x:c r="K768" t="str">
        <x:v>nominal_vdd</x:v>
      </x:c>
      <x:c r="L768" t="str">
        <x:v>model_nominal_vdd</x:v>
      </x:c>
      <x:c r="M768" t="n">
        <x:v>1.1</x:v>
      </x:c>
      <x:c r="N768" t="str">
        <x:v>simulation</x:v>
      </x:c>
      <x:c r="O768" t="str">
        <x:v>ngspice</x:v>
      </x:c>
      <x:c r="P768" t="str">
        <x:v>397141eb8a813045075ac2be3098d3b136ebaf4d597c08fca627922a75e443b7</x:v>
      </x:c>
      <x:c r="Q768" t="str">
        <x:v>data/raw/ptm45_lp_vds_1p1v_raw.txt</x:v>
      </x:c>
    </x:row>
    <x:row r="769">
      <x:c r="A769" t="str">
        <x:v>PTM</x:v>
      </x:c>
      <x:c r="B769" t="str">
        <x:v>NMOS</x:v>
      </x:c>
      <x:c r="C769" s="97" t="n">
        <x:v>45</x:v>
      </x:c>
      <x:c r="D769" s="97" t="str">
        <x:v>LP</x:v>
      </x:c>
      <x:c r="E769" s="99" t="n">
        <x:v>1</x:v>
      </x:c>
      <x:c r="F769" s="99" t="n">
        <x:v>0.045</x:v>
      </x:c>
      <x:c r="G769" s="99" t="n">
        <x:v>25</x:v>
      </x:c>
      <x:c r="H769" s="99" t="n">
        <x:v>1.1</x:v>
      </x:c>
      <x:c r="I769" s="99" t="n">
        <x:v>-0.0799999999999999</x:v>
      </x:c>
      <x:c r="J769" s="98" t="n">
        <x:v>3.96361747410582e-12</x:v>
      </x:c>
      <x:c r="K769" t="str">
        <x:v>nominal_vdd</x:v>
      </x:c>
      <x:c r="L769" t="str">
        <x:v>model_nominal_vdd</x:v>
      </x:c>
      <x:c r="M769" t="n">
        <x:v>1.1</x:v>
      </x:c>
      <x:c r="N769" t="str">
        <x:v>simulation</x:v>
      </x:c>
      <x:c r="O769" t="str">
        <x:v>ngspice</x:v>
      </x:c>
      <x:c r="P769" t="str">
        <x:v>397141eb8a813045075ac2be3098d3b136ebaf4d597c08fca627922a75e443b7</x:v>
      </x:c>
      <x:c r="Q769" t="str">
        <x:v>data/raw/ptm45_lp_vds_1p1v_raw.txt</x:v>
      </x:c>
    </x:row>
    <x:row r="770">
      <x:c r="A770" t="str">
        <x:v>PTM</x:v>
      </x:c>
      <x:c r="B770" t="str">
        <x:v>NMOS</x:v>
      </x:c>
      <x:c r="C770" s="97" t="n">
        <x:v>45</x:v>
      </x:c>
      <x:c r="D770" s="97" t="str">
        <x:v>LP</x:v>
      </x:c>
      <x:c r="E770" s="99" t="n">
        <x:v>1</x:v>
      </x:c>
      <x:c r="F770" s="99" t="n">
        <x:v>0.045</x:v>
      </x:c>
      <x:c r="G770" s="99" t="n">
        <x:v>25</x:v>
      </x:c>
      <x:c r="H770" s="99" t="n">
        <x:v>1.1</x:v>
      </x:c>
      <x:c r="I770" s="99" t="n">
        <x:v>-0.0749999999999999</x:v>
      </x:c>
      <x:c r="J770" s="98" t="n">
        <x:v>4.370655335506483e-12</x:v>
      </x:c>
      <x:c r="K770" t="str">
        <x:v>nominal_vdd</x:v>
      </x:c>
      <x:c r="L770" t="str">
        <x:v>model_nominal_vdd</x:v>
      </x:c>
      <x:c r="M770" t="n">
        <x:v>1.1</x:v>
      </x:c>
      <x:c r="N770" t="str">
        <x:v>simulation</x:v>
      </x:c>
      <x:c r="O770" t="str">
        <x:v>ngspice</x:v>
      </x:c>
      <x:c r="P770" t="str">
        <x:v>397141eb8a813045075ac2be3098d3b136ebaf4d597c08fca627922a75e443b7</x:v>
      </x:c>
      <x:c r="Q770" t="str">
        <x:v>data/raw/ptm45_lp_vds_1p1v_raw.txt</x:v>
      </x:c>
    </x:row>
    <x:row r="771">
      <x:c r="A771" t="str">
        <x:v>PTM</x:v>
      </x:c>
      <x:c r="B771" t="str">
        <x:v>NMOS</x:v>
      </x:c>
      <x:c r="C771" s="97" t="n">
        <x:v>45</x:v>
      </x:c>
      <x:c r="D771" s="97" t="str">
        <x:v>LP</x:v>
      </x:c>
      <x:c r="E771" s="99" t="n">
        <x:v>1</x:v>
      </x:c>
      <x:c r="F771" s="99" t="n">
        <x:v>0.045</x:v>
      </x:c>
      <x:c r="G771" s="99" t="n">
        <x:v>25</x:v>
      </x:c>
      <x:c r="H771" s="99" t="n">
        <x:v>1.1</x:v>
      </x:c>
      <x:c r="I771" s="99" t="n">
        <x:v>-0.0699999999999999</x:v>
      </x:c>
      <x:c r="J771" s="98" t="n">
        <x:v>4.836056253937878e-12</x:v>
      </x:c>
      <x:c r="K771" t="str">
        <x:v>nominal_vdd</x:v>
      </x:c>
      <x:c r="L771" t="str">
        <x:v>model_nominal_vdd</x:v>
      </x:c>
      <x:c r="M771" t="n">
        <x:v>1.1</x:v>
      </x:c>
      <x:c r="N771" t="str">
        <x:v>simulation</x:v>
      </x:c>
      <x:c r="O771" t="str">
        <x:v>ngspice</x:v>
      </x:c>
      <x:c r="P771" t="str">
        <x:v>397141eb8a813045075ac2be3098d3b136ebaf4d597c08fca627922a75e443b7</x:v>
      </x:c>
      <x:c r="Q771" t="str">
        <x:v>data/raw/ptm45_lp_vds_1p1v_raw.txt</x:v>
      </x:c>
    </x:row>
    <x:row r="772">
      <x:c r="A772" t="str">
        <x:v>PTM</x:v>
      </x:c>
      <x:c r="B772" t="str">
        <x:v>NMOS</x:v>
      </x:c>
      <x:c r="C772" s="97" t="n">
        <x:v>45</x:v>
      </x:c>
      <x:c r="D772" s="97" t="str">
        <x:v>LP</x:v>
      </x:c>
      <x:c r="E772" s="99" t="n">
        <x:v>1</x:v>
      </x:c>
      <x:c r="F772" s="99" t="n">
        <x:v>0.045</x:v>
      </x:c>
      <x:c r="G772" s="99" t="n">
        <x:v>25</x:v>
      </x:c>
      <x:c r="H772" s="99" t="n">
        <x:v>1.1</x:v>
      </x:c>
      <x:c r="I772" s="99" t="n">
        <x:v>-0.06499999999999989</x:v>
      </x:c>
      <x:c r="J772" s="98" t="n">
        <x:v>5.368082506314197e-12</x:v>
      </x:c>
      <x:c r="K772" t="str">
        <x:v>nominal_vdd</x:v>
      </x:c>
      <x:c r="L772" t="str">
        <x:v>model_nominal_vdd</x:v>
      </x:c>
      <x:c r="M772" t="n">
        <x:v>1.1</x:v>
      </x:c>
      <x:c r="N772" t="str">
        <x:v>simulation</x:v>
      </x:c>
      <x:c r="O772" t="str">
        <x:v>ngspice</x:v>
      </x:c>
      <x:c r="P772" t="str">
        <x:v>397141eb8a813045075ac2be3098d3b136ebaf4d597c08fca627922a75e443b7</x:v>
      </x:c>
      <x:c r="Q772" t="str">
        <x:v>data/raw/ptm45_lp_vds_1p1v_raw.txt</x:v>
      </x:c>
    </x:row>
    <x:row r="773">
      <x:c r="A773" t="str">
        <x:v>PTM</x:v>
      </x:c>
      <x:c r="B773" t="str">
        <x:v>NMOS</x:v>
      </x:c>
      <x:c r="C773" s="97" t="n">
        <x:v>45</x:v>
      </x:c>
      <x:c r="D773" s="97" t="str">
        <x:v>LP</x:v>
      </x:c>
      <x:c r="E773" s="99" t="n">
        <x:v>1</x:v>
      </x:c>
      <x:c r="F773" s="99" t="n">
        <x:v>0.045</x:v>
      </x:c>
      <x:c r="G773" s="99" t="n">
        <x:v>25</x:v>
      </x:c>
      <x:c r="H773" s="99" t="n">
        <x:v>1.1</x:v>
      </x:c>
      <x:c r="I773" s="99" t="n">
        <x:v>-0.05999999999999989</x:v>
      </x:c>
      <x:c r="J773" s="98" t="n">
        <x:v>5.976196424746568e-12</x:v>
      </x:c>
      <x:c r="K773" t="str">
        <x:v>nominal_vdd</x:v>
      </x:c>
      <x:c r="L773" t="str">
        <x:v>model_nominal_vdd</x:v>
      </x:c>
      <x:c r="M773" t="n">
        <x:v>1.1</x:v>
      </x:c>
      <x:c r="N773" t="str">
        <x:v>simulation</x:v>
      </x:c>
      <x:c r="O773" t="str">
        <x:v>ngspice</x:v>
      </x:c>
      <x:c r="P773" t="str">
        <x:v>397141eb8a813045075ac2be3098d3b136ebaf4d597c08fca627922a75e443b7</x:v>
      </x:c>
      <x:c r="Q773" t="str">
        <x:v>data/raw/ptm45_lp_vds_1p1v_raw.txt</x:v>
      </x:c>
    </x:row>
    <x:row r="774">
      <x:c r="A774" t="str">
        <x:v>PTM</x:v>
      </x:c>
      <x:c r="B774" t="str">
        <x:v>NMOS</x:v>
      </x:c>
      <x:c r="C774" s="97" t="n">
        <x:v>45</x:v>
      </x:c>
      <x:c r="D774" s="97" t="str">
        <x:v>LP</x:v>
      </x:c>
      <x:c r="E774" s="99" t="n">
        <x:v>1</x:v>
      </x:c>
      <x:c r="F774" s="99" t="n">
        <x:v>0.045</x:v>
      </x:c>
      <x:c r="G774" s="99" t="n">
        <x:v>25</x:v>
      </x:c>
      <x:c r="H774" s="99" t="n">
        <x:v>1.1</x:v>
      </x:c>
      <x:c r="I774" s="99" t="n">
        <x:v>-0.0549999999999999</x:v>
      </x:c>
      <x:c r="J774" s="98" t="n">
        <x:v>6.671225481172963e-12</x:v>
      </x:c>
      <x:c r="K774" t="str">
        <x:v>nominal_vdd</x:v>
      </x:c>
      <x:c r="L774" t="str">
        <x:v>model_nominal_vdd</x:v>
      </x:c>
      <x:c r="M774" t="n">
        <x:v>1.1</x:v>
      </x:c>
      <x:c r="N774" t="str">
        <x:v>simulation</x:v>
      </x:c>
      <x:c r="O774" t="str">
        <x:v>ngspice</x:v>
      </x:c>
      <x:c r="P774" t="str">
        <x:v>397141eb8a813045075ac2be3098d3b136ebaf4d597c08fca627922a75e443b7</x:v>
      </x:c>
      <x:c r="Q774" t="str">
        <x:v>data/raw/ptm45_lp_vds_1p1v_raw.txt</x:v>
      </x:c>
    </x:row>
    <x:row r="775">
      <x:c r="A775" t="str">
        <x:v>PTM</x:v>
      </x:c>
      <x:c r="B775" t="str">
        <x:v>NMOS</x:v>
      </x:c>
      <x:c r="C775" s="97" t="n">
        <x:v>45</x:v>
      </x:c>
      <x:c r="D775" s="97" t="str">
        <x:v>LP</x:v>
      </x:c>
      <x:c r="E775" s="99" t="n">
        <x:v>1</x:v>
      </x:c>
      <x:c r="F775" s="99" t="n">
        <x:v>0.045</x:v>
      </x:c>
      <x:c r="G775" s="99" t="n">
        <x:v>25</x:v>
      </x:c>
      <x:c r="H775" s="99" t="n">
        <x:v>1.1</x:v>
      </x:c>
      <x:c r="I775" s="99" t="n">
        <x:v>-0.0499999999999999</x:v>
      </x:c>
      <x:c r="J775" s="98" t="n">
        <x:v>7.465552438123434e-12</x:v>
      </x:c>
      <x:c r="K775" t="str">
        <x:v>nominal_vdd</x:v>
      </x:c>
      <x:c r="L775" t="str">
        <x:v>model_nominal_vdd</x:v>
      </x:c>
      <x:c r="M775" t="n">
        <x:v>1.1</x:v>
      </x:c>
      <x:c r="N775" t="str">
        <x:v>simulation</x:v>
      </x:c>
      <x:c r="O775" t="str">
        <x:v>ngspice</x:v>
      </x:c>
      <x:c r="P775" t="str">
        <x:v>397141eb8a813045075ac2be3098d3b136ebaf4d597c08fca627922a75e443b7</x:v>
      </x:c>
      <x:c r="Q775" t="str">
        <x:v>data/raw/ptm45_lp_vds_1p1v_raw.txt</x:v>
      </x:c>
    </x:row>
    <x:row r="776">
      <x:c r="A776" t="str">
        <x:v>PTM</x:v>
      </x:c>
      <x:c r="B776" t="str">
        <x:v>NMOS</x:v>
      </x:c>
      <x:c r="C776" s="97" t="n">
        <x:v>45</x:v>
      </x:c>
      <x:c r="D776" s="97" t="str">
        <x:v>LP</x:v>
      </x:c>
      <x:c r="E776" s="99" t="n">
        <x:v>1</x:v>
      </x:c>
      <x:c r="F776" s="99" t="n">
        <x:v>0.045</x:v>
      </x:c>
      <x:c r="G776" s="99" t="n">
        <x:v>25</x:v>
      </x:c>
      <x:c r="H776" s="99" t="n">
        <x:v>1.1</x:v>
      </x:c>
      <x:c r="I776" s="99" t="n">
        <x:v>-0.0449999999999999</x:v>
      </x:c>
      <x:c r="J776" s="98" t="n">
        <x:v>8.373333745087742e-12</x:v>
      </x:c>
      <x:c r="K776" t="str">
        <x:v>nominal_vdd</x:v>
      </x:c>
      <x:c r="L776" t="str">
        <x:v>model_nominal_vdd</x:v>
      </x:c>
      <x:c r="M776" t="n">
        <x:v>1.1</x:v>
      </x:c>
      <x:c r="N776" t="str">
        <x:v>simulation</x:v>
      </x:c>
      <x:c r="O776" t="str">
        <x:v>ngspice</x:v>
      </x:c>
      <x:c r="P776" t="str">
        <x:v>397141eb8a813045075ac2be3098d3b136ebaf4d597c08fca627922a75e443b7</x:v>
      </x:c>
      <x:c r="Q776" t="str">
        <x:v>data/raw/ptm45_lp_vds_1p1v_raw.txt</x:v>
      </x:c>
    </x:row>
    <x:row r="777">
      <x:c r="A777" t="str">
        <x:v>PTM</x:v>
      </x:c>
      <x:c r="B777" t="str">
        <x:v>NMOS</x:v>
      </x:c>
      <x:c r="C777" s="97" t="n">
        <x:v>45</x:v>
      </x:c>
      <x:c r="D777" s="97" t="str">
        <x:v>LP</x:v>
      </x:c>
      <x:c r="E777" s="99" t="n">
        <x:v>1</x:v>
      </x:c>
      <x:c r="F777" s="99" t="n">
        <x:v>0.045</x:v>
      </x:c>
      <x:c r="G777" s="99" t="n">
        <x:v>25</x:v>
      </x:c>
      <x:c r="H777" s="99" t="n">
        <x:v>1.1</x:v>
      </x:c>
      <x:c r="I777" s="99" t="n">
        <x:v>-0.0399999999999999</x:v>
      </x:c>
      <x:c r="J777" s="98" t="n">
        <x:v>9.41074989241523e-12</x:v>
      </x:c>
      <x:c r="K777" t="str">
        <x:v>nominal_vdd</x:v>
      </x:c>
      <x:c r="L777" t="str">
        <x:v>model_nominal_vdd</x:v>
      </x:c>
      <x:c r="M777" t="n">
        <x:v>1.1</x:v>
      </x:c>
      <x:c r="N777" t="str">
        <x:v>simulation</x:v>
      </x:c>
      <x:c r="O777" t="str">
        <x:v>ngspice</x:v>
      </x:c>
      <x:c r="P777" t="str">
        <x:v>397141eb8a813045075ac2be3098d3b136ebaf4d597c08fca627922a75e443b7</x:v>
      </x:c>
      <x:c r="Q777" t="str">
        <x:v>data/raw/ptm45_lp_vds_1p1v_raw.txt</x:v>
      </x:c>
    </x:row>
    <x:row r="778">
      <x:c r="A778" t="str">
        <x:v>PTM</x:v>
      </x:c>
      <x:c r="B778" t="str">
        <x:v>NMOS</x:v>
      </x:c>
      <x:c r="C778" s="97" t="n">
        <x:v>45</x:v>
      </x:c>
      <x:c r="D778" s="97" t="str">
        <x:v>LP</x:v>
      </x:c>
      <x:c r="E778" s="99" t="n">
        <x:v>1</x:v>
      </x:c>
      <x:c r="F778" s="99" t="n">
        <x:v>0.045</x:v>
      </x:c>
      <x:c r="G778" s="99" t="n">
        <x:v>25</x:v>
      </x:c>
      <x:c r="H778" s="99" t="n">
        <x:v>1.1</x:v>
      </x:c>
      <x:c r="I778" s="99" t="n">
        <x:v>-0.03499999999999991</x:v>
      </x:c>
      <x:c r="J778" s="98" t="n">
        <x:v>1.059629202610623e-11</x:v>
      </x:c>
      <x:c r="K778" t="str">
        <x:v>nominal_vdd</x:v>
      </x:c>
      <x:c r="L778" t="str">
        <x:v>model_nominal_vdd</x:v>
      </x:c>
      <x:c r="M778" t="n">
        <x:v>1.1</x:v>
      </x:c>
      <x:c r="N778" t="str">
        <x:v>simulation</x:v>
      </x:c>
      <x:c r="O778" t="str">
        <x:v>ngspice</x:v>
      </x:c>
      <x:c r="P778" t="str">
        <x:v>397141eb8a813045075ac2be3098d3b136ebaf4d597c08fca627922a75e443b7</x:v>
      </x:c>
      <x:c r="Q778" t="str">
        <x:v>data/raw/ptm45_lp_vds_1p1v_raw.txt</x:v>
      </x:c>
    </x:row>
    <x:row r="779">
      <x:c r="A779" t="str">
        <x:v>PTM</x:v>
      </x:c>
      <x:c r="B779" t="str">
        <x:v>NMOS</x:v>
      </x:c>
      <x:c r="C779" s="97" t="n">
        <x:v>45</x:v>
      </x:c>
      <x:c r="D779" s="97" t="str">
        <x:v>LP</x:v>
      </x:c>
      <x:c r="E779" s="99" t="n">
        <x:v>1</x:v>
      </x:c>
      <x:c r="F779" s="99" t="n">
        <x:v>0.045</x:v>
      </x:c>
      <x:c r="G779" s="99" t="n">
        <x:v>25</x:v>
      </x:c>
      <x:c r="H779" s="99" t="n">
        <x:v>1.1</x:v>
      </x:c>
      <x:c r="I779" s="99" t="n">
        <x:v>-0.02999999999999991</x:v>
      </x:c>
      <x:c r="J779" s="98" t="n">
        <x:v>1.195108978834799e-11</x:v>
      </x:c>
      <x:c r="K779" t="str">
        <x:v>nominal_vdd</x:v>
      </x:c>
      <x:c r="L779" t="str">
        <x:v>model_nominal_vdd</x:v>
      </x:c>
      <x:c r="M779" t="n">
        <x:v>1.1</x:v>
      </x:c>
      <x:c r="N779" t="str">
        <x:v>simulation</x:v>
      </x:c>
      <x:c r="O779" t="str">
        <x:v>ngspice</x:v>
      </x:c>
      <x:c r="P779" t="str">
        <x:v>397141eb8a813045075ac2be3098d3b136ebaf4d597c08fca627922a75e443b7</x:v>
      </x:c>
      <x:c r="Q779" t="str">
        <x:v>data/raw/ptm45_lp_vds_1p1v_raw.txt</x:v>
      </x:c>
    </x:row>
    <x:row r="780">
      <x:c r="A780" t="str">
        <x:v>PTM</x:v>
      </x:c>
      <x:c r="B780" t="str">
        <x:v>NMOS</x:v>
      </x:c>
      <x:c r="C780" s="97" t="n">
        <x:v>45</x:v>
      </x:c>
      <x:c r="D780" s="97" t="str">
        <x:v>LP</x:v>
      </x:c>
      <x:c r="E780" s="99" t="n">
        <x:v>1</x:v>
      </x:c>
      <x:c r="F780" s="99" t="n">
        <x:v>0.045</x:v>
      </x:c>
      <x:c r="G780" s="99" t="n">
        <x:v>25</x:v>
      </x:c>
      <x:c r="H780" s="99" t="n">
        <x:v>1.1</x:v>
      </x:c>
      <x:c r="I780" s="99" t="n">
        <x:v>-0.0249999999999999</x:v>
      </x:c>
      <x:c r="J780" s="98" t="n">
        <x:v>1.349928609217955e-11</x:v>
      </x:c>
      <x:c r="K780" t="str">
        <x:v>nominal_vdd</x:v>
      </x:c>
      <x:c r="L780" t="str">
        <x:v>model_nominal_vdd</x:v>
      </x:c>
      <x:c r="M780" t="n">
        <x:v>1.1</x:v>
      </x:c>
      <x:c r="N780" t="str">
        <x:v>simulation</x:v>
      </x:c>
      <x:c r="O780" t="str">
        <x:v>ngspice</x:v>
      </x:c>
      <x:c r="P780" t="str">
        <x:v>397141eb8a813045075ac2be3098d3b136ebaf4d597c08fca627922a75e443b7</x:v>
      </x:c>
      <x:c r="Q780" t="str">
        <x:v>data/raw/ptm45_lp_vds_1p1v_raw.txt</x:v>
      </x:c>
    </x:row>
    <x:row r="781">
      <x:c r="A781" t="str">
        <x:v>PTM</x:v>
      </x:c>
      <x:c r="B781" t="str">
        <x:v>NMOS</x:v>
      </x:c>
      <x:c r="C781" s="97" t="n">
        <x:v>45</x:v>
      </x:c>
      <x:c r="D781" s="97" t="str">
        <x:v>LP</x:v>
      </x:c>
      <x:c r="E781" s="99" t="n">
        <x:v>1</x:v>
      </x:c>
      <x:c r="F781" s="99" t="n">
        <x:v>0.045</x:v>
      </x:c>
      <x:c r="G781" s="99" t="n">
        <x:v>25</x:v>
      </x:c>
      <x:c r="H781" s="99" t="n">
        <x:v>1.1</x:v>
      </x:c>
      <x:c r="I781" s="99" t="n">
        <x:v>-0.0199999999999999</x:v>
      </x:c>
      <x:c r="J781" s="98" t="n">
        <x:v>1.526846537685952e-11</x:v>
      </x:c>
      <x:c r="K781" t="str">
        <x:v>nominal_vdd</x:v>
      </x:c>
      <x:c r="L781" t="str">
        <x:v>model_nominal_vdd</x:v>
      </x:c>
      <x:c r="M781" t="n">
        <x:v>1.1</x:v>
      </x:c>
      <x:c r="N781" t="str">
        <x:v>simulation</x:v>
      </x:c>
      <x:c r="O781" t="str">
        <x:v>ngspice</x:v>
      </x:c>
      <x:c r="P781" t="str">
        <x:v>397141eb8a813045075ac2be3098d3b136ebaf4d597c08fca627922a75e443b7</x:v>
      </x:c>
      <x:c r="Q781" t="str">
        <x:v>data/raw/ptm45_lp_vds_1p1v_raw.txt</x:v>
      </x:c>
    </x:row>
    <x:row r="782">
      <x:c r="A782" t="str">
        <x:v>PTM</x:v>
      </x:c>
      <x:c r="B782" t="str">
        <x:v>NMOS</x:v>
      </x:c>
      <x:c r="C782" s="97" t="n">
        <x:v>45</x:v>
      </x:c>
      <x:c r="D782" s="97" t="str">
        <x:v>LP</x:v>
      </x:c>
      <x:c r="E782" s="99" t="n">
        <x:v>1</x:v>
      </x:c>
      <x:c r="F782" s="99" t="n">
        <x:v>0.045</x:v>
      </x:c>
      <x:c r="G782" s="99" t="n">
        <x:v>25</x:v>
      </x:c>
      <x:c r="H782" s="99" t="n">
        <x:v>1.1</x:v>
      </x:c>
      <x:c r="I782" s="99" t="n">
        <x:v>-0.0149999999999999</x:v>
      </x:c>
      <x:c r="J782" s="98" t="n">
        <x:v>1.729014283899696e-11</x:v>
      </x:c>
      <x:c r="K782" t="str">
        <x:v>nominal_vdd</x:v>
      </x:c>
      <x:c r="L782" t="str">
        <x:v>model_nominal_vdd</x:v>
      </x:c>
      <x:c r="M782" t="n">
        <x:v>1.1</x:v>
      </x:c>
      <x:c r="N782" t="str">
        <x:v>simulation</x:v>
      </x:c>
      <x:c r="O782" t="str">
        <x:v>ngspice</x:v>
      </x:c>
      <x:c r="P782" t="str">
        <x:v>397141eb8a813045075ac2be3098d3b136ebaf4d597c08fca627922a75e443b7</x:v>
      </x:c>
      <x:c r="Q782" t="str">
        <x:v>data/raw/ptm45_lp_vds_1p1v_raw.txt</x:v>
      </x:c>
    </x:row>
    <x:row r="783">
      <x:c r="A783" t="str">
        <x:v>PTM</x:v>
      </x:c>
      <x:c r="B783" t="str">
        <x:v>NMOS</x:v>
      </x:c>
      <x:c r="C783" s="97" t="n">
        <x:v>45</x:v>
      </x:c>
      <x:c r="D783" s="97" t="str">
        <x:v>LP</x:v>
      </x:c>
      <x:c r="E783" s="99" t="n">
        <x:v>1</x:v>
      </x:c>
      <x:c r="F783" s="99" t="n">
        <x:v>0.045</x:v>
      </x:c>
      <x:c r="G783" s="99" t="n">
        <x:v>25</x:v>
      </x:c>
      <x:c r="H783" s="99" t="n">
        <x:v>1.1</x:v>
      </x:c>
      <x:c r="I783" s="99" t="n">
        <x:v>-0.009999999999999901</x:v>
      </x:c>
      <x:c r="J783" s="98" t="n">
        <x:v>1.960032320926043e-11</x:v>
      </x:c>
      <x:c r="K783" t="str">
        <x:v>nominal_vdd</x:v>
      </x:c>
      <x:c r="L783" t="str">
        <x:v>model_nominal_vdd</x:v>
      </x:c>
      <x:c r="M783" t="n">
        <x:v>1.1</x:v>
      </x:c>
      <x:c r="N783" t="str">
        <x:v>simulation</x:v>
      </x:c>
      <x:c r="O783" t="str">
        <x:v>ngspice</x:v>
      </x:c>
      <x:c r="P783" t="str">
        <x:v>397141eb8a813045075ac2be3098d3b136ebaf4d597c08fca627922a75e443b7</x:v>
      </x:c>
      <x:c r="Q783" t="str">
        <x:v>data/raw/ptm45_lp_vds_1p1v_raw.txt</x:v>
      </x:c>
    </x:row>
    <x:row r="784">
      <x:c r="A784" t="str">
        <x:v>PTM</x:v>
      </x:c>
      <x:c r="B784" t="str">
        <x:v>NMOS</x:v>
      </x:c>
      <x:c r="C784" s="97" t="n">
        <x:v>45</x:v>
      </x:c>
      <x:c r="D784" s="97" t="str">
        <x:v>LP</x:v>
      </x:c>
      <x:c r="E784" s="99" t="n">
        <x:v>1</x:v>
      </x:c>
      <x:c r="F784" s="99" t="n">
        <x:v>0.045</x:v>
      </x:c>
      <x:c r="G784" s="99" t="n">
        <x:v>25</x:v>
      </x:c>
      <x:c r="H784" s="99" t="n">
        <x:v>1.1</x:v>
      </x:c>
      <x:c r="I784" s="99" t="n">
        <x:v>-0.004999999999999901</x:v>
      </x:c>
      <x:c r="J784" s="98" t="n">
        <x:v>2.224013886466606e-11</x:v>
      </x:c>
      <x:c r="K784" t="str">
        <x:v>nominal_vdd</x:v>
      </x:c>
      <x:c r="L784" t="str">
        <x:v>model_nominal_vdd</x:v>
      </x:c>
      <x:c r="M784" t="n">
        <x:v>1.1</x:v>
      </x:c>
      <x:c r="N784" t="str">
        <x:v>simulation</x:v>
      </x:c>
      <x:c r="O784" t="str">
        <x:v>ngspice</x:v>
      </x:c>
      <x:c r="P784" t="str">
        <x:v>397141eb8a813045075ac2be3098d3b136ebaf4d597c08fca627922a75e443b7</x:v>
      </x:c>
      <x:c r="Q784" t="str">
        <x:v>data/raw/ptm45_lp_vds_1p1v_raw.txt</x:v>
      </x:c>
    </x:row>
    <x:row r="785">
      <x:c r="A785" t="str">
        <x:v>PTM</x:v>
      </x:c>
      <x:c r="B785" t="str">
        <x:v>NMOS</x:v>
      </x:c>
      <x:c r="C785" s="97" t="n">
        <x:v>45</x:v>
      </x:c>
      <x:c r="D785" s="97" t="str">
        <x:v>LP</x:v>
      </x:c>
      <x:c r="E785" s="99" t="n">
        <x:v>1</x:v>
      </x:c>
      <x:c r="F785" s="99" t="n">
        <x:v>0.045</x:v>
      </x:c>
      <x:c r="G785" s="99" t="n">
        <x:v>25</x:v>
      </x:c>
      <x:c r="H785" s="99" t="n">
        <x:v>1.1</x:v>
      </x:c>
      <x:c r="I785" s="99" t="n">
        <x:v>9.8879238130678e-17</x:v>
      </x:c>
      <x:c r="J785" s="98" t="n">
        <x:v>2.525657845269592e-11</x:v>
      </x:c>
      <x:c r="K785" t="str">
        <x:v>nominal_vdd</x:v>
      </x:c>
      <x:c r="L785" t="str">
        <x:v>model_nominal_vdd</x:v>
      </x:c>
      <x:c r="M785" t="n">
        <x:v>1.1</x:v>
      </x:c>
      <x:c r="N785" t="str">
        <x:v>simulation</x:v>
      </x:c>
      <x:c r="O785" t="str">
        <x:v>ngspice</x:v>
      </x:c>
      <x:c r="P785" t="str">
        <x:v>397141eb8a813045075ac2be3098d3b136ebaf4d597c08fca627922a75e443b7</x:v>
      </x:c>
      <x:c r="Q785" t="str">
        <x:v>data/raw/ptm45_lp_vds_1p1v_raw.txt</x:v>
      </x:c>
    </x:row>
    <x:row r="786">
      <x:c r="A786" t="str">
        <x:v>PTM</x:v>
      </x:c>
      <x:c r="B786" t="str">
        <x:v>NMOS</x:v>
      </x:c>
      <x:c r="C786" s="97" t="n">
        <x:v>45</x:v>
      </x:c>
      <x:c r="D786" s="97" t="str">
        <x:v>LP</x:v>
      </x:c>
      <x:c r="E786" s="99" t="n">
        <x:v>1</x:v>
      </x:c>
      <x:c r="F786" s="99" t="n">
        <x:v>0.045</x:v>
      </x:c>
      <x:c r="G786" s="99" t="n">
        <x:v>25</x:v>
      </x:c>
      <x:c r="H786" s="99" t="n">
        <x:v>1.1</x:v>
      </x:c>
      <x:c r="I786" s="99" t="n">
        <x:v>0.005000000000000099</x:v>
      </x:c>
      <x:c r="J786" s="98" t="n">
        <x:v>2.870331877956923e-11</x:v>
      </x:c>
      <x:c r="K786" t="str">
        <x:v>nominal_vdd</x:v>
      </x:c>
      <x:c r="L786" t="str">
        <x:v>model_nominal_vdd</x:v>
      </x:c>
      <x:c r="M786" t="n">
        <x:v>1.1</x:v>
      </x:c>
      <x:c r="N786" t="str">
        <x:v>simulation</x:v>
      </x:c>
      <x:c r="O786" t="str">
        <x:v>ngspice</x:v>
      </x:c>
      <x:c r="P786" t="str">
        <x:v>397141eb8a813045075ac2be3098d3b136ebaf4d597c08fca627922a75e443b7</x:v>
      </x:c>
      <x:c r="Q786" t="str">
        <x:v>data/raw/ptm45_lp_vds_1p1v_raw.txt</x:v>
      </x:c>
    </x:row>
    <x:row r="787">
      <x:c r="A787" t="str">
        <x:v>PTM</x:v>
      </x:c>
      <x:c r="B787" t="str">
        <x:v>NMOS</x:v>
      </x:c>
      <x:c r="C787" s="97" t="n">
        <x:v>45</x:v>
      </x:c>
      <x:c r="D787" s="97" t="str">
        <x:v>LP</x:v>
      </x:c>
      <x:c r="E787" s="99" t="n">
        <x:v>1</x:v>
      </x:c>
      <x:c r="F787" s="99" t="n">
        <x:v>0.045</x:v>
      </x:c>
      <x:c r="G787" s="99" t="n">
        <x:v>25</x:v>
      </x:c>
      <x:c r="H787" s="99" t="n">
        <x:v>1.1</x:v>
      </x:c>
      <x:c r="I787" s="99" t="n">
        <x:v>0.0100000000000001</x:v>
      </x:c>
      <x:c r="J787" s="98" t="n">
        <x:v>3.26416745078129e-11</x:v>
      </x:c>
      <x:c r="K787" t="str">
        <x:v>nominal_vdd</x:v>
      </x:c>
      <x:c r="L787" t="str">
        <x:v>model_nominal_vdd</x:v>
      </x:c>
      <x:c r="M787" t="n">
        <x:v>1.1</x:v>
      </x:c>
      <x:c r="N787" t="str">
        <x:v>simulation</x:v>
      </x:c>
      <x:c r="O787" t="str">
        <x:v>ngspice</x:v>
      </x:c>
      <x:c r="P787" t="str">
        <x:v>397141eb8a813045075ac2be3098d3b136ebaf4d597c08fca627922a75e443b7</x:v>
      </x:c>
      <x:c r="Q787" t="str">
        <x:v>data/raw/ptm45_lp_vds_1p1v_raw.txt</x:v>
      </x:c>
    </x:row>
    <x:row r="788">
      <x:c r="A788" t="str">
        <x:v>PTM</x:v>
      </x:c>
      <x:c r="B788" t="str">
        <x:v>NMOS</x:v>
      </x:c>
      <x:c r="C788" s="97" t="n">
        <x:v>45</x:v>
      </x:c>
      <x:c r="D788" s="97" t="str">
        <x:v>LP</x:v>
      </x:c>
      <x:c r="E788" s="99" t="n">
        <x:v>1</x:v>
      </x:c>
      <x:c r="F788" s="99" t="n">
        <x:v>0.045</x:v>
      </x:c>
      <x:c r="G788" s="99" t="n">
        <x:v>25</x:v>
      </x:c>
      <x:c r="H788" s="99" t="n">
        <x:v>1.1</x:v>
      </x:c>
      <x:c r="I788" s="99" t="n">
        <x:v>0.0150000000000001</x:v>
      </x:c>
      <x:c r="J788" s="98" t="n">
        <x:v>3.714168224776992e-11</x:v>
      </x:c>
      <x:c r="K788" t="str">
        <x:v>nominal_vdd</x:v>
      </x:c>
      <x:c r="L788" t="str">
        <x:v>model_nominal_vdd</x:v>
      </x:c>
      <x:c r="M788" t="n">
        <x:v>1.1</x:v>
      </x:c>
      <x:c r="N788" t="str">
        <x:v>simulation</x:v>
      </x:c>
      <x:c r="O788" t="str">
        <x:v>ngspice</x:v>
      </x:c>
      <x:c r="P788" t="str">
        <x:v>397141eb8a813045075ac2be3098d3b136ebaf4d597c08fca627922a75e443b7</x:v>
      </x:c>
      <x:c r="Q788" t="str">
        <x:v>data/raw/ptm45_lp_vds_1p1v_raw.txt</x:v>
      </x:c>
    </x:row>
    <x:row r="789">
      <x:c r="A789" t="str">
        <x:v>PTM</x:v>
      </x:c>
      <x:c r="B789" t="str">
        <x:v>NMOS</x:v>
      </x:c>
      <x:c r="C789" s="97" t="n">
        <x:v>45</x:v>
      </x:c>
      <x:c r="D789" s="97" t="str">
        <x:v>LP</x:v>
      </x:c>
      <x:c r="E789" s="99" t="n">
        <x:v>1</x:v>
      </x:c>
      <x:c r="F789" s="99" t="n">
        <x:v>0.045</x:v>
      </x:c>
      <x:c r="G789" s="99" t="n">
        <x:v>25</x:v>
      </x:c>
      <x:c r="H789" s="99" t="n">
        <x:v>1.1</x:v>
      </x:c>
      <x:c r="I789" s="99" t="n">
        <x:v>0.0200000000000001</x:v>
      </x:c>
      <x:c r="J789" s="98" t="n">
        <x:v>4.228333794754982e-11</x:v>
      </x:c>
      <x:c r="K789" t="str">
        <x:v>nominal_vdd</x:v>
      </x:c>
      <x:c r="L789" t="str">
        <x:v>model_nominal_vdd</x:v>
      </x:c>
      <x:c r="M789" t="n">
        <x:v>1.1</x:v>
      </x:c>
      <x:c r="N789" t="str">
        <x:v>simulation</x:v>
      </x:c>
      <x:c r="O789" t="str">
        <x:v>ngspice</x:v>
      </x:c>
      <x:c r="P789" t="str">
        <x:v>397141eb8a813045075ac2be3098d3b136ebaf4d597c08fca627922a75e443b7</x:v>
      </x:c>
      <x:c r="Q789" t="str">
        <x:v>data/raw/ptm45_lp_vds_1p1v_raw.txt</x:v>
      </x:c>
    </x:row>
    <x:row r="790">
      <x:c r="A790" t="str">
        <x:v>PTM</x:v>
      </x:c>
      <x:c r="B790" t="str">
        <x:v>NMOS</x:v>
      </x:c>
      <x:c r="C790" s="97" t="n">
        <x:v>45</x:v>
      </x:c>
      <x:c r="D790" s="97" t="str">
        <x:v>LP</x:v>
      </x:c>
      <x:c r="E790" s="99" t="n">
        <x:v>1</x:v>
      </x:c>
      <x:c r="F790" s="99" t="n">
        <x:v>0.045</x:v>
      </x:c>
      <x:c r="G790" s="99" t="n">
        <x:v>25</x:v>
      </x:c>
      <x:c r="H790" s="99" t="n">
        <x:v>1.1</x:v>
      </x:c>
      <x:c r="I790" s="99" t="n">
        <x:v>0.0250000000000001</x:v>
      </x:c>
      <x:c r="J790" s="98" t="n">
        <x:v>4.815800912533127e-11</x:v>
      </x:c>
      <x:c r="K790" t="str">
        <x:v>nominal_vdd</x:v>
      </x:c>
      <x:c r="L790" t="str">
        <x:v>model_nominal_vdd</x:v>
      </x:c>
      <x:c r="M790" t="n">
        <x:v>1.1</x:v>
      </x:c>
      <x:c r="N790" t="str">
        <x:v>simulation</x:v>
      </x:c>
      <x:c r="O790" t="str">
        <x:v>ngspice</x:v>
      </x:c>
      <x:c r="P790" t="str">
        <x:v>397141eb8a813045075ac2be3098d3b136ebaf4d597c08fca627922a75e443b7</x:v>
      </x:c>
      <x:c r="Q790" t="str">
        <x:v>data/raw/ptm45_lp_vds_1p1v_raw.txt</x:v>
      </x:c>
    </x:row>
    <x:row r="791">
      <x:c r="A791" t="str">
        <x:v>PTM</x:v>
      </x:c>
      <x:c r="B791" t="str">
        <x:v>NMOS</x:v>
      </x:c>
      <x:c r="C791" s="97" t="n">
        <x:v>45</x:v>
      </x:c>
      <x:c r="D791" s="97" t="str">
        <x:v>LP</x:v>
      </x:c>
      <x:c r="E791" s="99" t="n">
        <x:v>1</x:v>
      </x:c>
      <x:c r="F791" s="99" t="n">
        <x:v>0.045</x:v>
      </x:c>
      <x:c r="G791" s="99" t="n">
        <x:v>25</x:v>
      </x:c>
      <x:c r="H791" s="99" t="n">
        <x:v>1.1</x:v>
      </x:c>
      <x:c r="I791" s="99" t="n">
        <x:v>0.0300000000000001</x:v>
      </x:c>
      <x:c r="J791" s="98" t="n">
        <x:v>5.487004648969664e-11</x:v>
      </x:c>
      <x:c r="K791" t="str">
        <x:v>nominal_vdd</x:v>
      </x:c>
      <x:c r="L791" t="str">
        <x:v>model_nominal_vdd</x:v>
      </x:c>
      <x:c r="M791" t="n">
        <x:v>1.1</x:v>
      </x:c>
      <x:c r="N791" t="str">
        <x:v>simulation</x:v>
      </x:c>
      <x:c r="O791" t="str">
        <x:v>ngspice</x:v>
      </x:c>
      <x:c r="P791" t="str">
        <x:v>397141eb8a813045075ac2be3098d3b136ebaf4d597c08fca627922a75e443b7</x:v>
      </x:c>
      <x:c r="Q791" t="str">
        <x:v>data/raw/ptm45_lp_vds_1p1v_raw.txt</x:v>
      </x:c>
    </x:row>
    <x:row r="792">
      <x:c r="A792" t="str">
        <x:v>PTM</x:v>
      </x:c>
      <x:c r="B792" t="str">
        <x:v>NMOS</x:v>
      </x:c>
      <x:c r="C792" s="97" t="n">
        <x:v>45</x:v>
      </x:c>
      <x:c r="D792" s="97" t="str">
        <x:v>LP</x:v>
      </x:c>
      <x:c r="E792" s="99" t="n">
        <x:v>1</x:v>
      </x:c>
      <x:c r="F792" s="99" t="n">
        <x:v>0.045</x:v>
      </x:c>
      <x:c r="G792" s="99" t="n">
        <x:v>25</x:v>
      </x:c>
      <x:c r="H792" s="99" t="n">
        <x:v>1.1</x:v>
      </x:c>
      <x:c r="I792" s="99" t="n">
        <x:v>0.0350000000000001</x:v>
      </x:c>
      <x:c r="J792" s="98" t="n">
        <x:v>6.253862290649033e-11</x:v>
      </x:c>
      <x:c r="K792" t="str">
        <x:v>nominal_vdd</x:v>
      </x:c>
      <x:c r="L792" t="str">
        <x:v>model_nominal_vdd</x:v>
      </x:c>
      <x:c r="M792" t="n">
        <x:v>1.1</x:v>
      </x:c>
      <x:c r="N792" t="str">
        <x:v>simulation</x:v>
      </x:c>
      <x:c r="O792" t="str">
        <x:v>ngspice</x:v>
      </x:c>
      <x:c r="P792" t="str">
        <x:v>397141eb8a813045075ac2be3098d3b136ebaf4d597c08fca627922a75e443b7</x:v>
      </x:c>
      <x:c r="Q792" t="str">
        <x:v>data/raw/ptm45_lp_vds_1p1v_raw.txt</x:v>
      </x:c>
    </x:row>
    <x:row r="793">
      <x:c r="A793" t="str">
        <x:v>PTM</x:v>
      </x:c>
      <x:c r="B793" t="str">
        <x:v>NMOS</x:v>
      </x:c>
      <x:c r="C793" s="97" t="n">
        <x:v>45</x:v>
      </x:c>
      <x:c r="D793" s="97" t="str">
        <x:v>LP</x:v>
      </x:c>
      <x:c r="E793" s="99" t="n">
        <x:v>1</x:v>
      </x:c>
      <x:c r="F793" s="99" t="n">
        <x:v>0.045</x:v>
      </x:c>
      <x:c r="G793" s="99" t="n">
        <x:v>25</x:v>
      </x:c>
      <x:c r="H793" s="99" t="n">
        <x:v>1.1</x:v>
      </x:c>
      <x:c r="I793" s="99" t="n">
        <x:v>0.0400000000000001</x:v>
      </x:c>
      <x:c r="J793" s="98" t="n">
        <x:v>7.129983155135615e-11</x:v>
      </x:c>
      <x:c r="K793" t="str">
        <x:v>nominal_vdd</x:v>
      </x:c>
      <x:c r="L793" t="str">
        <x:v>model_nominal_vdd</x:v>
      </x:c>
      <x:c r="M793" t="n">
        <x:v>1.1</x:v>
      </x:c>
      <x:c r="N793" t="str">
        <x:v>simulation</x:v>
      </x:c>
      <x:c r="O793" t="str">
        <x:v>ngspice</x:v>
      </x:c>
      <x:c r="P793" t="str">
        <x:v>397141eb8a813045075ac2be3098d3b136ebaf4d597c08fca627922a75e443b7</x:v>
      </x:c>
      <x:c r="Q793" t="str">
        <x:v>data/raw/ptm45_lp_vds_1p1v_raw.txt</x:v>
      </x:c>
    </x:row>
    <x:row r="794">
      <x:c r="A794" t="str">
        <x:v>PTM</x:v>
      </x:c>
      <x:c r="B794" t="str">
        <x:v>NMOS</x:v>
      </x:c>
      <x:c r="C794" s="97" t="n">
        <x:v>45</x:v>
      </x:c>
      <x:c r="D794" s="97" t="str">
        <x:v>LP</x:v>
      </x:c>
      <x:c r="E794" s="99" t="n">
        <x:v>1</x:v>
      </x:c>
      <x:c r="F794" s="99" t="n">
        <x:v>0.045</x:v>
      </x:c>
      <x:c r="G794" s="99" t="n">
        <x:v>25</x:v>
      </x:c>
      <x:c r="H794" s="99" t="n">
        <x:v>1.1</x:v>
      </x:c>
      <x:c r="I794" s="99" t="n">
        <x:v>0.0450000000000001</x:v>
      </x:c>
      <x:c r="J794" s="98" t="n">
        <x:v>8.130907949548519e-11</x:v>
      </x:c>
      <x:c r="K794" t="str">
        <x:v>nominal_vdd</x:v>
      </x:c>
      <x:c r="L794" t="str">
        <x:v>model_nominal_vdd</x:v>
      </x:c>
      <x:c r="M794" t="n">
        <x:v>1.1</x:v>
      </x:c>
      <x:c r="N794" t="str">
        <x:v>simulation</x:v>
      </x:c>
      <x:c r="O794" t="str">
        <x:v>ngspice</x:v>
      </x:c>
      <x:c r="P794" t="str">
        <x:v>397141eb8a813045075ac2be3098d3b136ebaf4d597c08fca627922a75e443b7</x:v>
      </x:c>
      <x:c r="Q794" t="str">
        <x:v>data/raw/ptm45_lp_vds_1p1v_raw.txt</x:v>
      </x:c>
    </x:row>
    <x:row r="795">
      <x:c r="A795" t="str">
        <x:v>PTM</x:v>
      </x:c>
      <x:c r="B795" t="str">
        <x:v>NMOS</x:v>
      </x:c>
      <x:c r="C795" s="97" t="n">
        <x:v>45</x:v>
      </x:c>
      <x:c r="D795" s="97" t="str">
        <x:v>LP</x:v>
      </x:c>
      <x:c r="E795" s="99" t="n">
        <x:v>1</x:v>
      </x:c>
      <x:c r="F795" s="99" t="n">
        <x:v>0.045</x:v>
      </x:c>
      <x:c r="G795" s="99" t="n">
        <x:v>25</x:v>
      </x:c>
      <x:c r="H795" s="99" t="n">
        <x:v>1.1</x:v>
      </x:c>
      <x:c r="I795" s="99" t="n">
        <x:v>0.05000000000000009</x:v>
      </x:c>
      <x:c r="J795" s="98" t="n">
        <x:v>9.274381798127062e-11</x:v>
      </x:c>
      <x:c r="K795" t="str">
        <x:v>nominal_vdd</x:v>
      </x:c>
      <x:c r="L795" t="str">
        <x:v>model_nominal_vdd</x:v>
      </x:c>
      <x:c r="M795" t="n">
        <x:v>1.1</x:v>
      </x:c>
      <x:c r="N795" t="str">
        <x:v>simulation</x:v>
      </x:c>
      <x:c r="O795" t="str">
        <x:v>ngspice</x:v>
      </x:c>
      <x:c r="P795" t="str">
        <x:v>397141eb8a813045075ac2be3098d3b136ebaf4d597c08fca627922a75e443b7</x:v>
      </x:c>
      <x:c r="Q795" t="str">
        <x:v>data/raw/ptm45_lp_vds_1p1v_raw.txt</x:v>
      </x:c>
    </x:row>
    <x:row r="796">
      <x:c r="A796" t="str">
        <x:v>PTM</x:v>
      </x:c>
      <x:c r="B796" t="str">
        <x:v>NMOS</x:v>
      </x:c>
      <x:c r="C796" s="97" t="n">
        <x:v>45</x:v>
      </x:c>
      <x:c r="D796" s="97" t="str">
        <x:v>LP</x:v>
      </x:c>
      <x:c r="E796" s="99" t="n">
        <x:v>1</x:v>
      </x:c>
      <x:c r="F796" s="99" t="n">
        <x:v>0.045</x:v>
      </x:c>
      <x:c r="G796" s="99" t="n">
        <x:v>25</x:v>
      </x:c>
      <x:c r="H796" s="99" t="n">
        <x:v>1.1</x:v>
      </x:c>
      <x:c r="I796" s="99" t="n">
        <x:v>0.05500000000000009</x:v>
      </x:c>
      <x:c r="J796" s="98" t="n">
        <x:v>1.0580665633197e-10</x:v>
      </x:c>
      <x:c r="K796" t="str">
        <x:v>nominal_vdd</x:v>
      </x:c>
      <x:c r="L796" t="str">
        <x:v>model_nominal_vdd</x:v>
      </x:c>
      <x:c r="M796" t="n">
        <x:v>1.1</x:v>
      </x:c>
      <x:c r="N796" t="str">
        <x:v>simulation</x:v>
      </x:c>
      <x:c r="O796" t="str">
        <x:v>ngspice</x:v>
      </x:c>
      <x:c r="P796" t="str">
        <x:v>397141eb8a813045075ac2be3098d3b136ebaf4d597c08fca627922a75e443b7</x:v>
      </x:c>
      <x:c r="Q796" t="str">
        <x:v>data/raw/ptm45_lp_vds_1p1v_raw.txt</x:v>
      </x:c>
    </x:row>
    <x:row r="797">
      <x:c r="A797" t="str">
        <x:v>PTM</x:v>
      </x:c>
      <x:c r="B797" t="str">
        <x:v>NMOS</x:v>
      </x:c>
      <x:c r="C797" s="97" t="n">
        <x:v>45</x:v>
      </x:c>
      <x:c r="D797" s="97" t="str">
        <x:v>LP</x:v>
      </x:c>
      <x:c r="E797" s="99" t="n">
        <x:v>1</x:v>
      </x:c>
      <x:c r="F797" s="99" t="n">
        <x:v>0.045</x:v>
      </x:c>
      <x:c r="G797" s="99" t="n">
        <x:v>25</x:v>
      </x:c>
      <x:c r="H797" s="99" t="n">
        <x:v>1.1</x:v>
      </x:c>
      <x:c r="I797" s="99" t="n">
        <x:v>0.06000000000000009</x:v>
      </x:c>
      <x:c r="J797" s="98" t="n">
        <x:v>1.207289128942808e-10</x:v>
      </x:c>
      <x:c r="K797" t="str">
        <x:v>nominal_vdd</x:v>
      </x:c>
      <x:c r="L797" t="str">
        <x:v>model_nominal_vdd</x:v>
      </x:c>
      <x:c r="M797" t="n">
        <x:v>1.1</x:v>
      </x:c>
      <x:c r="N797" t="str">
        <x:v>simulation</x:v>
      </x:c>
      <x:c r="O797" t="str">
        <x:v>ngspice</x:v>
      </x:c>
      <x:c r="P797" t="str">
        <x:v>397141eb8a813045075ac2be3098d3b136ebaf4d597c08fca627922a75e443b7</x:v>
      </x:c>
      <x:c r="Q797" t="str">
        <x:v>data/raw/ptm45_lp_vds_1p1v_raw.txt</x:v>
      </x:c>
    </x:row>
    <x:row r="798">
      <x:c r="A798" t="str">
        <x:v>PTM</x:v>
      </x:c>
      <x:c r="B798" t="str">
        <x:v>NMOS</x:v>
      </x:c>
      <x:c r="C798" s="97" t="n">
        <x:v>45</x:v>
      </x:c>
      <x:c r="D798" s="97" t="str">
        <x:v>LP</x:v>
      </x:c>
      <x:c r="E798" s="99" t="n">
        <x:v>1</x:v>
      </x:c>
      <x:c r="F798" s="99" t="n">
        <x:v>0.045</x:v>
      </x:c>
      <x:c r="G798" s="99" t="n">
        <x:v>25</x:v>
      </x:c>
      <x:c r="H798" s="99" t="n">
        <x:v>1.1</x:v>
      </x:c>
      <x:c r="I798" s="99" t="n">
        <x:v>0.06500000000000009</x:v>
      </x:c>
      <x:c r="J798" s="98" t="n">
        <x:v>1.37774663736592e-10</x:v>
      </x:c>
      <x:c r="K798" t="str">
        <x:v>nominal_vdd</x:v>
      </x:c>
      <x:c r="L798" t="str">
        <x:v>model_nominal_vdd</x:v>
      </x:c>
      <x:c r="M798" t="n">
        <x:v>1.1</x:v>
      </x:c>
      <x:c r="N798" t="str">
        <x:v>simulation</x:v>
      </x:c>
      <x:c r="O798" t="str">
        <x:v>ngspice</x:v>
      </x:c>
      <x:c r="P798" t="str">
        <x:v>397141eb8a813045075ac2be3098d3b136ebaf4d597c08fca627922a75e443b7</x:v>
      </x:c>
      <x:c r="Q798" t="str">
        <x:v>data/raw/ptm45_lp_vds_1p1v_raw.txt</x:v>
      </x:c>
    </x:row>
    <x:row r="799">
      <x:c r="A799" t="str">
        <x:v>PTM</x:v>
      </x:c>
      <x:c r="B799" t="str">
        <x:v>NMOS</x:v>
      </x:c>
      <x:c r="C799" s="97" t="n">
        <x:v>45</x:v>
      </x:c>
      <x:c r="D799" s="97" t="str">
        <x:v>LP</x:v>
      </x:c>
      <x:c r="E799" s="99" t="n">
        <x:v>1</x:v>
      </x:c>
      <x:c r="F799" s="99" t="n">
        <x:v>0.045</x:v>
      </x:c>
      <x:c r="G799" s="99" t="n">
        <x:v>25</x:v>
      </x:c>
      <x:c r="H799" s="99" t="n">
        <x:v>1.1</x:v>
      </x:c>
      <x:c r="I799" s="99" t="n">
        <x:v>0.07000000000000009</x:v>
      </x:c>
      <x:c r="J799" s="98" t="n">
        <x:v>1.585216998157635e-10</x:v>
      </x:c>
      <x:c r="K799" t="str">
        <x:v>nominal_vdd</x:v>
      </x:c>
      <x:c r="L799" t="str">
        <x:v>model_nominal_vdd</x:v>
      </x:c>
      <x:c r="M799" t="n">
        <x:v>1.1</x:v>
      </x:c>
      <x:c r="N799" t="str">
        <x:v>simulation</x:v>
      </x:c>
      <x:c r="O799" t="str">
        <x:v>ngspice</x:v>
      </x:c>
      <x:c r="P799" t="str">
        <x:v>397141eb8a813045075ac2be3098d3b136ebaf4d597c08fca627922a75e443b7</x:v>
      </x:c>
      <x:c r="Q799" t="str">
        <x:v>data/raw/ptm45_lp_vds_1p1v_raw.txt</x:v>
      </x:c>
    </x:row>
    <x:row r="800">
      <x:c r="A800" t="str">
        <x:v>PTM</x:v>
      </x:c>
      <x:c r="B800" t="str">
        <x:v>NMOS</x:v>
      </x:c>
      <x:c r="C800" s="97" t="n">
        <x:v>45</x:v>
      </x:c>
      <x:c r="D800" s="97" t="str">
        <x:v>LP</x:v>
      </x:c>
      <x:c r="E800" s="99" t="n">
        <x:v>1</x:v>
      </x:c>
      <x:c r="F800" s="99" t="n">
        <x:v>0.045</x:v>
      </x:c>
      <x:c r="G800" s="99" t="n">
        <x:v>25</x:v>
      </x:c>
      <x:c r="H800" s="99" t="n">
        <x:v>1.1</x:v>
      </x:c>
      <x:c r="I800" s="99" t="n">
        <x:v>0.0750000000000001</x:v>
      </x:c>
      <x:c r="J800" s="98" t="n">
        <x:v>1.809424851015831e-10</x:v>
      </x:c>
      <x:c r="K800" t="str">
        <x:v>nominal_vdd</x:v>
      </x:c>
      <x:c r="L800" t="str">
        <x:v>model_nominal_vdd</x:v>
      </x:c>
      <x:c r="M800" t="n">
        <x:v>1.1</x:v>
      </x:c>
      <x:c r="N800" t="str">
        <x:v>simulation</x:v>
      </x:c>
      <x:c r="O800" t="str">
        <x:v>ngspice</x:v>
      </x:c>
      <x:c r="P800" t="str">
        <x:v>397141eb8a813045075ac2be3098d3b136ebaf4d597c08fca627922a75e443b7</x:v>
      </x:c>
      <x:c r="Q800" t="str">
        <x:v>data/raw/ptm45_lp_vds_1p1v_raw.txt</x:v>
      </x:c>
    </x:row>
    <x:row r="801">
      <x:c r="A801" t="str">
        <x:v>PTM</x:v>
      </x:c>
      <x:c r="B801" t="str">
        <x:v>NMOS</x:v>
      </x:c>
      <x:c r="C801" s="97" t="n">
        <x:v>45</x:v>
      </x:c>
      <x:c r="D801" s="97" t="str">
        <x:v>LP</x:v>
      </x:c>
      <x:c r="E801" s="99" t="n">
        <x:v>1</x:v>
      </x:c>
      <x:c r="F801" s="99" t="n">
        <x:v>0.045</x:v>
      </x:c>
      <x:c r="G801" s="99" t="n">
        <x:v>25</x:v>
      </x:c>
      <x:c r="H801" s="99" t="n">
        <x:v>1.1</x:v>
      </x:c>
      <x:c r="I801" s="99" t="n">
        <x:v>0.0800000000000001</x:v>
      </x:c>
      <x:c r="J801" s="98" t="n">
        <x:v>2.065505901062768e-10</x:v>
      </x:c>
      <x:c r="K801" t="str">
        <x:v>nominal_vdd</x:v>
      </x:c>
      <x:c r="L801" t="str">
        <x:v>model_nominal_vdd</x:v>
      </x:c>
      <x:c r="M801" t="n">
        <x:v>1.1</x:v>
      </x:c>
      <x:c r="N801" t="str">
        <x:v>simulation</x:v>
      </x:c>
      <x:c r="O801" t="str">
        <x:v>ngspice</x:v>
      </x:c>
      <x:c r="P801" t="str">
        <x:v>397141eb8a813045075ac2be3098d3b136ebaf4d597c08fca627922a75e443b7</x:v>
      </x:c>
      <x:c r="Q801" t="str">
        <x:v>data/raw/ptm45_lp_vds_1p1v_raw.txt</x:v>
      </x:c>
    </x:row>
    <x:row r="802">
      <x:c r="A802" t="str">
        <x:v>PTM</x:v>
      </x:c>
      <x:c r="B802" t="str">
        <x:v>NMOS</x:v>
      </x:c>
      <x:c r="C802" s="97" t="n">
        <x:v>45</x:v>
      </x:c>
      <x:c r="D802" s="97" t="str">
        <x:v>LP</x:v>
      </x:c>
      <x:c r="E802" s="99" t="n">
        <x:v>1</x:v>
      </x:c>
      <x:c r="F802" s="99" t="n">
        <x:v>0.045</x:v>
      </x:c>
      <x:c r="G802" s="99" t="n">
        <x:v>25</x:v>
      </x:c>
      <x:c r="H802" s="99" t="n">
        <x:v>1.1</x:v>
      </x:c>
      <x:c r="I802" s="99" t="n">
        <x:v>0.0850000000000001</x:v>
      </x:c>
      <x:c r="J802" s="98" t="n">
        <x:v>2.357977775928182e-10</x:v>
      </x:c>
      <x:c r="K802" t="str">
        <x:v>nominal_vdd</x:v>
      </x:c>
      <x:c r="L802" t="str">
        <x:v>model_nominal_vdd</x:v>
      </x:c>
      <x:c r="M802" t="n">
        <x:v>1.1</x:v>
      </x:c>
      <x:c r="N802" t="str">
        <x:v>simulation</x:v>
      </x:c>
      <x:c r="O802" t="str">
        <x:v>ngspice</x:v>
      </x:c>
      <x:c r="P802" t="str">
        <x:v>397141eb8a813045075ac2be3098d3b136ebaf4d597c08fca627922a75e443b7</x:v>
      </x:c>
      <x:c r="Q802" t="str">
        <x:v>data/raw/ptm45_lp_vds_1p1v_raw.txt</x:v>
      </x:c>
    </x:row>
    <x:row r="803">
      <x:c r="A803" t="str">
        <x:v>PTM</x:v>
      </x:c>
      <x:c r="B803" t="str">
        <x:v>NMOS</x:v>
      </x:c>
      <x:c r="C803" s="97" t="n">
        <x:v>45</x:v>
      </x:c>
      <x:c r="D803" s="97" t="str">
        <x:v>LP</x:v>
      </x:c>
      <x:c r="E803" s="99" t="n">
        <x:v>1</x:v>
      </x:c>
      <x:c r="F803" s="99" t="n">
        <x:v>0.045</x:v>
      </x:c>
      <x:c r="G803" s="99" t="n">
        <x:v>25</x:v>
      </x:c>
      <x:c r="H803" s="99" t="n">
        <x:v>1.1</x:v>
      </x:c>
      <x:c r="I803" s="99" t="n">
        <x:v>0.09000000000000011</x:v>
      </x:c>
      <x:c r="J803" s="98" t="n">
        <x:v>2.691995497575157e-10</x:v>
      </x:c>
      <x:c r="K803" t="str">
        <x:v>nominal_vdd</x:v>
      </x:c>
      <x:c r="L803" t="str">
        <x:v>model_nominal_vdd</x:v>
      </x:c>
      <x:c r="M803" t="n">
        <x:v>1.1</x:v>
      </x:c>
      <x:c r="N803" t="str">
        <x:v>simulation</x:v>
      </x:c>
      <x:c r="O803" t="str">
        <x:v>ngspice</x:v>
      </x:c>
      <x:c r="P803" t="str">
        <x:v>397141eb8a813045075ac2be3098d3b136ebaf4d597c08fca627922a75e443b7</x:v>
      </x:c>
      <x:c r="Q803" t="str">
        <x:v>data/raw/ptm45_lp_vds_1p1v_raw.txt</x:v>
      </x:c>
    </x:row>
    <x:row r="804">
      <x:c r="A804" t="str">
        <x:v>PTM</x:v>
      </x:c>
      <x:c r="B804" t="str">
        <x:v>NMOS</x:v>
      </x:c>
      <x:c r="C804" s="97" t="n">
        <x:v>45</x:v>
      </x:c>
      <x:c r="D804" s="97" t="str">
        <x:v>LP</x:v>
      </x:c>
      <x:c r="E804" s="99" t="n">
        <x:v>1</x:v>
      </x:c>
      <x:c r="F804" s="99" t="n">
        <x:v>0.045</x:v>
      </x:c>
      <x:c r="G804" s="99" t="n">
        <x:v>25</x:v>
      </x:c>
      <x:c r="H804" s="99" t="n">
        <x:v>1.1</x:v>
      </x:c>
      <x:c r="I804" s="99" t="n">
        <x:v>0.09500000000000011</x:v>
      </x:c>
      <x:c r="J804" s="98" t="n">
        <x:v>3.073440778839492e-10</x:v>
      </x:c>
      <x:c r="K804" t="str">
        <x:v>nominal_vdd</x:v>
      </x:c>
      <x:c r="L804" t="str">
        <x:v>model_nominal_vdd</x:v>
      </x:c>
      <x:c r="M804" t="n">
        <x:v>1.1</x:v>
      </x:c>
      <x:c r="N804" t="str">
        <x:v>simulation</x:v>
      </x:c>
      <x:c r="O804" t="str">
        <x:v>ngspice</x:v>
      </x:c>
      <x:c r="P804" t="str">
        <x:v>397141eb8a813045075ac2be3098d3b136ebaf4d597c08fca627922a75e443b7</x:v>
      </x:c>
      <x:c r="Q804" t="str">
        <x:v>data/raw/ptm45_lp_vds_1p1v_raw.txt</x:v>
      </x:c>
    </x:row>
    <x:row r="805">
      <x:c r="A805" t="str">
        <x:v>PTM</x:v>
      </x:c>
      <x:c r="B805" t="str">
        <x:v>NMOS</x:v>
      </x:c>
      <x:c r="C805" s="97" t="n">
        <x:v>45</x:v>
      </x:c>
      <x:c r="D805" s="97" t="str">
        <x:v>LP</x:v>
      </x:c>
      <x:c r="E805" s="99" t="n">
        <x:v>1</x:v>
      </x:c>
      <x:c r="F805" s="99" t="n">
        <x:v>0.045</x:v>
      </x:c>
      <x:c r="G805" s="99" t="n">
        <x:v>25</x:v>
      </x:c>
      <x:c r="H805" s="99" t="n">
        <x:v>1.1</x:v>
      </x:c>
      <x:c r="I805" s="99" t="n">
        <x:v>0.1000000000000001</x:v>
      </x:c>
      <x:c r="J805" s="98" t="n">
        <x:v>3.509023693204519e-10</x:v>
      </x:c>
      <x:c r="K805" t="str">
        <x:v>nominal_vdd</x:v>
      </x:c>
      <x:c r="L805" t="str">
        <x:v>model_nominal_vdd</x:v>
      </x:c>
      <x:c r="M805" t="n">
        <x:v>1.1</x:v>
      </x:c>
      <x:c r="N805" t="str">
        <x:v>simulation</x:v>
      </x:c>
      <x:c r="O805" t="str">
        <x:v>ngspice</x:v>
      </x:c>
      <x:c r="P805" t="str">
        <x:v>397141eb8a813045075ac2be3098d3b136ebaf4d597c08fca627922a75e443b7</x:v>
      </x:c>
      <x:c r="Q805" t="str">
        <x:v>data/raw/ptm45_lp_vds_1p1v_raw.txt</x:v>
      </x:c>
    </x:row>
    <x:row r="806">
      <x:c r="A806" t="str">
        <x:v>PTM</x:v>
      </x:c>
      <x:c r="B806" t="str">
        <x:v>NMOS</x:v>
      </x:c>
      <x:c r="C806" s="97" t="n">
        <x:v>45</x:v>
      </x:c>
      <x:c r="D806" s="97" t="str">
        <x:v>LP</x:v>
      </x:c>
      <x:c r="E806" s="99" t="n">
        <x:v>1</x:v>
      </x:c>
      <x:c r="F806" s="99" t="n">
        <x:v>0.045</x:v>
      </x:c>
      <x:c r="G806" s="99" t="n">
        <x:v>25</x:v>
      </x:c>
      <x:c r="H806" s="99" t="n">
        <x:v>1.1</x:v>
      </x:c>
      <x:c r="I806" s="99" t="n">
        <x:v>0.1050000000000001</x:v>
      </x:c>
      <x:c r="J806" s="98" t="n">
        <x:v>4.006398402871378e-10</x:v>
      </x:c>
      <x:c r="K806" t="str">
        <x:v>nominal_vdd</x:v>
      </x:c>
      <x:c r="L806" t="str">
        <x:v>model_nominal_vdd</x:v>
      </x:c>
      <x:c r="M806" t="n">
        <x:v>1.1</x:v>
      </x:c>
      <x:c r="N806" t="str">
        <x:v>simulation</x:v>
      </x:c>
      <x:c r="O806" t="str">
        <x:v>ngspice</x:v>
      </x:c>
      <x:c r="P806" t="str">
        <x:v>397141eb8a813045075ac2be3098d3b136ebaf4d597c08fca627922a75e443b7</x:v>
      </x:c>
      <x:c r="Q806" t="str">
        <x:v>data/raw/ptm45_lp_vds_1p1v_raw.txt</x:v>
      </x:c>
    </x:row>
    <x:row r="807">
      <x:c r="A807" t="str">
        <x:v>PTM</x:v>
      </x:c>
      <x:c r="B807" t="str">
        <x:v>NMOS</x:v>
      </x:c>
      <x:c r="C807" s="97" t="n">
        <x:v>45</x:v>
      </x:c>
      <x:c r="D807" s="97" t="str">
        <x:v>LP</x:v>
      </x:c>
      <x:c r="E807" s="99" t="n">
        <x:v>1</x:v>
      </x:c>
      <x:c r="F807" s="99" t="n">
        <x:v>0.045</x:v>
      </x:c>
      <x:c r="G807" s="99" t="n">
        <x:v>25</x:v>
      </x:c>
      <x:c r="H807" s="99" t="n">
        <x:v>1.1</x:v>
      </x:c>
      <x:c r="I807" s="99" t="n">
        <x:v>0.1100000000000001</x:v>
      </x:c>
      <x:c r="J807" s="98" t="n">
        <x:v>4.57429485336704e-10</x:v>
      </x:c>
      <x:c r="K807" t="str">
        <x:v>nominal_vdd</x:v>
      </x:c>
      <x:c r="L807" t="str">
        <x:v>model_nominal_vdd</x:v>
      </x:c>
      <x:c r="M807" t="n">
        <x:v>1.1</x:v>
      </x:c>
      <x:c r="N807" t="str">
        <x:v>simulation</x:v>
      </x:c>
      <x:c r="O807" t="str">
        <x:v>ngspice</x:v>
      </x:c>
      <x:c r="P807" t="str">
        <x:v>397141eb8a813045075ac2be3098d3b136ebaf4d597c08fca627922a75e443b7</x:v>
      </x:c>
      <x:c r="Q807" t="str">
        <x:v>data/raw/ptm45_lp_vds_1p1v_raw.txt</x:v>
      </x:c>
    </x:row>
    <x:row r="808">
      <x:c r="A808" t="str">
        <x:v>PTM</x:v>
      </x:c>
      <x:c r="B808" t="str">
        <x:v>NMOS</x:v>
      </x:c>
      <x:c r="C808" s="97" t="n">
        <x:v>45</x:v>
      </x:c>
      <x:c r="D808" s="97" t="str">
        <x:v>LP</x:v>
      </x:c>
      <x:c r="E808" s="99" t="n">
        <x:v>1</x:v>
      </x:c>
      <x:c r="F808" s="99" t="n">
        <x:v>0.045</x:v>
      </x:c>
      <x:c r="G808" s="99" t="n">
        <x:v>25</x:v>
      </x:c>
      <x:c r="H808" s="99" t="n">
        <x:v>1.1</x:v>
      </x:c>
      <x:c r="I808" s="99" t="n">
        <x:v>0.1150000000000001</x:v>
      </x:c>
      <x:c r="J808" s="98" t="n">
        <x:v>5.222668594351717e-10</x:v>
      </x:c>
      <x:c r="K808" t="str">
        <x:v>nominal_vdd</x:v>
      </x:c>
      <x:c r="L808" t="str">
        <x:v>model_nominal_vdd</x:v>
      </x:c>
      <x:c r="M808" t="n">
        <x:v>1.1</x:v>
      </x:c>
      <x:c r="N808" t="str">
        <x:v>simulation</x:v>
      </x:c>
      <x:c r="O808" t="str">
        <x:v>ngspice</x:v>
      </x:c>
      <x:c r="P808" t="str">
        <x:v>397141eb8a813045075ac2be3098d3b136ebaf4d597c08fca627922a75e443b7</x:v>
      </x:c>
      <x:c r="Q808" t="str">
        <x:v>data/raw/ptm45_lp_vds_1p1v_raw.txt</x:v>
      </x:c>
    </x:row>
    <x:row r="809">
      <x:c r="A809" t="str">
        <x:v>PTM</x:v>
      </x:c>
      <x:c r="B809" t="str">
        <x:v>NMOS</x:v>
      </x:c>
      <x:c r="C809" s="97" t="n">
        <x:v>45</x:v>
      </x:c>
      <x:c r="D809" s="97" t="str">
        <x:v>LP</x:v>
      </x:c>
      <x:c r="E809" s="99" t="n">
        <x:v>1</x:v>
      </x:c>
      <x:c r="F809" s="99" t="n">
        <x:v>0.045</x:v>
      </x:c>
      <x:c r="G809" s="99" t="n">
        <x:v>25</x:v>
      </x:c>
      <x:c r="H809" s="99" t="n">
        <x:v>1.1</x:v>
      </x:c>
      <x:c r="I809" s="99" t="n">
        <x:v>0.1200000000000001</x:v>
      </x:c>
      <x:c r="J809" s="98" t="n">
        <x:v>5.962871169211643e-10</x:v>
      </x:c>
      <x:c r="K809" t="str">
        <x:v>nominal_vdd</x:v>
      </x:c>
      <x:c r="L809" t="str">
        <x:v>model_nominal_vdd</x:v>
      </x:c>
      <x:c r="M809" t="n">
        <x:v>1.1</x:v>
      </x:c>
      <x:c r="N809" t="str">
        <x:v>simulation</x:v>
      </x:c>
      <x:c r="O809" t="str">
        <x:v>ngspice</x:v>
      </x:c>
      <x:c r="P809" t="str">
        <x:v>397141eb8a813045075ac2be3098d3b136ebaf4d597c08fca627922a75e443b7</x:v>
      </x:c>
      <x:c r="Q809" t="str">
        <x:v>data/raw/ptm45_lp_vds_1p1v_raw.txt</x:v>
      </x:c>
    </x:row>
    <x:row r="810">
      <x:c r="A810" t="str">
        <x:v>PTM</x:v>
      </x:c>
      <x:c r="B810" t="str">
        <x:v>NMOS</x:v>
      </x:c>
      <x:c r="C810" s="97" t="n">
        <x:v>45</x:v>
      </x:c>
      <x:c r="D810" s="97" t="str">
        <x:v>LP</x:v>
      </x:c>
      <x:c r="E810" s="99" t="n">
        <x:v>1</x:v>
      </x:c>
      <x:c r="F810" s="99" t="n">
        <x:v>0.045</x:v>
      </x:c>
      <x:c r="G810" s="99" t="n">
        <x:v>25</x:v>
      </x:c>
      <x:c r="H810" s="99" t="n">
        <x:v>1.1</x:v>
      </x:c>
      <x:c r="I810" s="99" t="n">
        <x:v>0.1250000000000001</x:v>
      </x:c>
      <x:c r="J810" s="98" t="n">
        <x:v>6.807843834058545e-10</x:v>
      </x:c>
      <x:c r="K810" t="str">
        <x:v>nominal_vdd</x:v>
      </x:c>
      <x:c r="L810" t="str">
        <x:v>model_nominal_vdd</x:v>
      </x:c>
      <x:c r="M810" t="n">
        <x:v>1.1</x:v>
      </x:c>
      <x:c r="N810" t="str">
        <x:v>simulation</x:v>
      </x:c>
      <x:c r="O810" t="str">
        <x:v>ngspice</x:v>
      </x:c>
      <x:c r="P810" t="str">
        <x:v>397141eb8a813045075ac2be3098d3b136ebaf4d597c08fca627922a75e443b7</x:v>
      </x:c>
      <x:c r="Q810" t="str">
        <x:v>data/raw/ptm45_lp_vds_1p1v_raw.txt</x:v>
      </x:c>
    </x:row>
    <x:row r="811">
      <x:c r="A811" t="str">
        <x:v>PTM</x:v>
      </x:c>
      <x:c r="B811" t="str">
        <x:v>NMOS</x:v>
      </x:c>
      <x:c r="C811" s="97" t="n">
        <x:v>45</x:v>
      </x:c>
      <x:c r="D811" s="97" t="str">
        <x:v>LP</x:v>
      </x:c>
      <x:c r="E811" s="99" t="n">
        <x:v>1</x:v>
      </x:c>
      <x:c r="F811" s="99" t="n">
        <x:v>0.045</x:v>
      </x:c>
      <x:c r="G811" s="99" t="n">
        <x:v>25</x:v>
      </x:c>
      <x:c r="H811" s="99" t="n">
        <x:v>1.1</x:v>
      </x:c>
      <x:c r="I811" s="99" t="n">
        <x:v>0.1300000000000001</x:v>
      </x:c>
      <x:c r="J811" s="98" t="n">
        <x:v>7.772337723879825e-10</x:v>
      </x:c>
      <x:c r="K811" t="str">
        <x:v>nominal_vdd</x:v>
      </x:c>
      <x:c r="L811" t="str">
        <x:v>model_nominal_vdd</x:v>
      </x:c>
      <x:c r="M811" t="n">
        <x:v>1.1</x:v>
      </x:c>
      <x:c r="N811" t="str">
        <x:v>simulation</x:v>
      </x:c>
      <x:c r="O811" t="str">
        <x:v>ngspice</x:v>
      </x:c>
      <x:c r="P811" t="str">
        <x:v>397141eb8a813045075ac2be3098d3b136ebaf4d597c08fca627922a75e443b7</x:v>
      </x:c>
      <x:c r="Q811" t="str">
        <x:v>data/raw/ptm45_lp_vds_1p1v_raw.txt</x:v>
      </x:c>
    </x:row>
    <x:row r="812">
      <x:c r="A812" t="str">
        <x:v>PTM</x:v>
      </x:c>
      <x:c r="B812" t="str">
        <x:v>NMOS</x:v>
      </x:c>
      <x:c r="C812" s="97" t="n">
        <x:v>45</x:v>
      </x:c>
      <x:c r="D812" s="97" t="str">
        <x:v>LP</x:v>
      </x:c>
      <x:c r="E812" s="99" t="n">
        <x:v>1</x:v>
      </x:c>
      <x:c r="F812" s="99" t="n">
        <x:v>0.045</x:v>
      </x:c>
      <x:c r="G812" s="99" t="n">
        <x:v>25</x:v>
      </x:c>
      <x:c r="H812" s="99" t="n">
        <x:v>1.1</x:v>
      </x:c>
      <x:c r="I812" s="99" t="n">
        <x:v>0.1350000000000001</x:v>
      </x:c>
      <x:c r="J812" s="98" t="n">
        <x:v>8.873163984055151e-10</x:v>
      </x:c>
      <x:c r="K812" t="str">
        <x:v>nominal_vdd</x:v>
      </x:c>
      <x:c r="L812" t="str">
        <x:v>model_nominal_vdd</x:v>
      </x:c>
      <x:c r="M812" t="n">
        <x:v>1.1</x:v>
      </x:c>
      <x:c r="N812" t="str">
        <x:v>simulation</x:v>
      </x:c>
      <x:c r="O812" t="str">
        <x:v>ngspice</x:v>
      </x:c>
      <x:c r="P812" t="str">
        <x:v>397141eb8a813045075ac2be3098d3b136ebaf4d597c08fca627922a75e443b7</x:v>
      </x:c>
      <x:c r="Q812" t="str">
        <x:v>data/raw/ptm45_lp_vds_1p1v_raw.txt</x:v>
      </x:c>
    </x:row>
    <x:row r="813">
      <x:c r="A813" t="str">
        <x:v>PTM</x:v>
      </x:c>
      <x:c r="B813" t="str">
        <x:v>NMOS</x:v>
      </x:c>
      <x:c r="C813" s="97" t="n">
        <x:v>45</x:v>
      </x:c>
      <x:c r="D813" s="97" t="str">
        <x:v>LP</x:v>
      </x:c>
      <x:c r="E813" s="99" t="n">
        <x:v>1</x:v>
      </x:c>
      <x:c r="F813" s="99" t="n">
        <x:v>0.045</x:v>
      </x:c>
      <x:c r="G813" s="99" t="n">
        <x:v>25</x:v>
      </x:c>
      <x:c r="H813" s="99" t="n">
        <x:v>1.1</x:v>
      </x:c>
      <x:c r="I813" s="99" t="n">
        <x:v>0.1400000000000002</x:v>
      </x:c>
      <x:c r="J813" s="98" t="n">
        <x:v>1.012947783400383e-9</x:v>
      </x:c>
      <x:c r="K813" t="str">
        <x:v>nominal_vdd</x:v>
      </x:c>
      <x:c r="L813" t="str">
        <x:v>model_nominal_vdd</x:v>
      </x:c>
      <x:c r="M813" t="n">
        <x:v>1.1</x:v>
      </x:c>
      <x:c r="N813" t="str">
        <x:v>simulation</x:v>
      </x:c>
      <x:c r="O813" t="str">
        <x:v>ngspice</x:v>
      </x:c>
      <x:c r="P813" t="str">
        <x:v>397141eb8a813045075ac2be3098d3b136ebaf4d597c08fca627922a75e443b7</x:v>
      </x:c>
      <x:c r="Q813" t="str">
        <x:v>data/raw/ptm45_lp_vds_1p1v_raw.txt</x:v>
      </x:c>
    </x:row>
    <x:row r="814">
      <x:c r="A814" t="str">
        <x:v>PTM</x:v>
      </x:c>
      <x:c r="B814" t="str">
        <x:v>NMOS</x:v>
      </x:c>
      <x:c r="C814" s="97" t="n">
        <x:v>45</x:v>
      </x:c>
      <x:c r="D814" s="97" t="str">
        <x:v>LP</x:v>
      </x:c>
      <x:c r="E814" s="99" t="n">
        <x:v>1</x:v>
      </x:c>
      <x:c r="F814" s="99" t="n">
        <x:v>0.045</x:v>
      </x:c>
      <x:c r="G814" s="99" t="n">
        <x:v>25</x:v>
      </x:c>
      <x:c r="H814" s="99" t="n">
        <x:v>1.1</x:v>
      </x:c>
      <x:c r="I814" s="99" t="n">
        <x:v>0.1450000000000002</x:v>
      </x:c>
      <x:c r="J814" s="98" t="n">
        <x:v>1.156310103137022e-9</x:v>
      </x:c>
      <x:c r="K814" t="str">
        <x:v>nominal_vdd</x:v>
      </x:c>
      <x:c r="L814" t="str">
        <x:v>model_nominal_vdd</x:v>
      </x:c>
      <x:c r="M814" t="n">
        <x:v>1.1</x:v>
      </x:c>
      <x:c r="N814" t="str">
        <x:v>simulation</x:v>
      </x:c>
      <x:c r="O814" t="str">
        <x:v>ngspice</x:v>
      </x:c>
      <x:c r="P814" t="str">
        <x:v>397141eb8a813045075ac2be3098d3b136ebaf4d597c08fca627922a75e443b7</x:v>
      </x:c>
      <x:c r="Q814" t="str">
        <x:v>data/raw/ptm45_lp_vds_1p1v_raw.txt</x:v>
      </x:c>
    </x:row>
    <x:row r="815">
      <x:c r="A815" t="str">
        <x:v>PTM</x:v>
      </x:c>
      <x:c r="B815" t="str">
        <x:v>NMOS</x:v>
      </x:c>
      <x:c r="C815" s="97" t="n">
        <x:v>45</x:v>
      </x:c>
      <x:c r="D815" s="97" t="str">
        <x:v>LP</x:v>
      </x:c>
      <x:c r="E815" s="99" t="n">
        <x:v>1</x:v>
      </x:c>
      <x:c r="F815" s="99" t="n">
        <x:v>0.045</x:v>
      </x:c>
      <x:c r="G815" s="99" t="n">
        <x:v>25</x:v>
      </x:c>
      <x:c r="H815" s="99" t="n">
        <x:v>1.1</x:v>
      </x:c>
      <x:c r="I815" s="99" t="n">
        <x:v>0.1500000000000002</x:v>
      </x:c>
      <x:c r="J815" s="98" t="n">
        <x:v>1.319888776535494e-9</x:v>
      </x:c>
      <x:c r="K815" t="str">
        <x:v>nominal_vdd</x:v>
      </x:c>
      <x:c r="L815" t="str">
        <x:v>model_nominal_vdd</x:v>
      </x:c>
      <x:c r="M815" t="n">
        <x:v>1.1</x:v>
      </x:c>
      <x:c r="N815" t="str">
        <x:v>simulation</x:v>
      </x:c>
      <x:c r="O815" t="str">
        <x:v>ngspice</x:v>
      </x:c>
      <x:c r="P815" t="str">
        <x:v>397141eb8a813045075ac2be3098d3b136ebaf4d597c08fca627922a75e443b7</x:v>
      </x:c>
      <x:c r="Q815" t="str">
        <x:v>data/raw/ptm45_lp_vds_1p1v_raw.txt</x:v>
      </x:c>
    </x:row>
    <x:row r="816">
      <x:c r="A816" t="str">
        <x:v>PTM</x:v>
      </x:c>
      <x:c r="B816" t="str">
        <x:v>NMOS</x:v>
      </x:c>
      <x:c r="C816" s="97" t="n">
        <x:v>45</x:v>
      </x:c>
      <x:c r="D816" s="97" t="str">
        <x:v>LP</x:v>
      </x:c>
      <x:c r="E816" s="99" t="n">
        <x:v>1</x:v>
      </x:c>
      <x:c r="F816" s="99" t="n">
        <x:v>0.045</x:v>
      </x:c>
      <x:c r="G816" s="99" t="n">
        <x:v>25</x:v>
      </x:c>
      <x:c r="H816" s="99" t="n">
        <x:v>1.1</x:v>
      </x:c>
      <x:c r="I816" s="99" t="n">
        <x:v>0.1550000000000002</x:v>
      </x:c>
      <x:c r="J816" s="98" t="n">
        <x:v>1.506513963238775e-9</x:v>
      </x:c>
      <x:c r="K816" t="str">
        <x:v>nominal_vdd</x:v>
      </x:c>
      <x:c r="L816" t="str">
        <x:v>model_nominal_vdd</x:v>
      </x:c>
      <x:c r="M816" t="n">
        <x:v>1.1</x:v>
      </x:c>
      <x:c r="N816" t="str">
        <x:v>simulation</x:v>
      </x:c>
      <x:c r="O816" t="str">
        <x:v>ngspice</x:v>
      </x:c>
      <x:c r="P816" t="str">
        <x:v>397141eb8a813045075ac2be3098d3b136ebaf4d597c08fca627922a75e443b7</x:v>
      </x:c>
      <x:c r="Q816" t="str">
        <x:v>data/raw/ptm45_lp_vds_1p1v_raw.txt</x:v>
      </x:c>
    </x:row>
    <x:row r="817">
      <x:c r="A817" t="str">
        <x:v>PTM</x:v>
      </x:c>
      <x:c r="B817" t="str">
        <x:v>NMOS</x:v>
      </x:c>
      <x:c r="C817" s="97" t="n">
        <x:v>45</x:v>
      </x:c>
      <x:c r="D817" s="97" t="str">
        <x:v>LP</x:v>
      </x:c>
      <x:c r="E817" s="99" t="n">
        <x:v>1</x:v>
      </x:c>
      <x:c r="F817" s="99" t="n">
        <x:v>0.045</x:v>
      </x:c>
      <x:c r="G817" s="99" t="n">
        <x:v>25</x:v>
      </x:c>
      <x:c r="H817" s="99" t="n">
        <x:v>1.1</x:v>
      </x:c>
      <x:c r="I817" s="99" t="n">
        <x:v>0.1600000000000002</x:v>
      </x:c>
      <x:c r="J817" s="98" t="n">
        <x:v>1.719407604246529e-9</x:v>
      </x:c>
      <x:c r="K817" t="str">
        <x:v>nominal_vdd</x:v>
      </x:c>
      <x:c r="L817" t="str">
        <x:v>model_nominal_vdd</x:v>
      </x:c>
      <x:c r="M817" t="n">
        <x:v>1.1</x:v>
      </x:c>
      <x:c r="N817" t="str">
        <x:v>simulation</x:v>
      </x:c>
      <x:c r="O817" t="str">
        <x:v>ngspice</x:v>
      </x:c>
      <x:c r="P817" t="str">
        <x:v>397141eb8a813045075ac2be3098d3b136ebaf4d597c08fca627922a75e443b7</x:v>
      </x:c>
      <x:c r="Q817" t="str">
        <x:v>data/raw/ptm45_lp_vds_1p1v_raw.txt</x:v>
      </x:c>
    </x:row>
    <x:row r="818">
      <x:c r="A818" t="str">
        <x:v>PTM</x:v>
      </x:c>
      <x:c r="B818" t="str">
        <x:v>NMOS</x:v>
      </x:c>
      <x:c r="C818" s="97" t="n">
        <x:v>45</x:v>
      </x:c>
      <x:c r="D818" s="97" t="str">
        <x:v>LP</x:v>
      </x:c>
      <x:c r="E818" s="99" t="n">
        <x:v>1</x:v>
      </x:c>
      <x:c r="F818" s="99" t="n">
        <x:v>0.045</x:v>
      </x:c>
      <x:c r="G818" s="99" t="n">
        <x:v>25</x:v>
      </x:c>
      <x:c r="H818" s="99" t="n">
        <x:v>1.1</x:v>
      </x:c>
      <x:c r="I818" s="99" t="n">
        <x:v>0.1650000000000002</x:v>
      </x:c>
      <x:c r="J818" s="98" t="n">
        <x:v>1.962236717675959e-9</x:v>
      </x:c>
      <x:c r="K818" t="str">
        <x:v>nominal_vdd</x:v>
      </x:c>
      <x:c r="L818" t="str">
        <x:v>model_nominal_vdd</x:v>
      </x:c>
      <x:c r="M818" t="n">
        <x:v>1.1</x:v>
      </x:c>
      <x:c r="N818" t="str">
        <x:v>simulation</x:v>
      </x:c>
      <x:c r="O818" t="str">
        <x:v>ngspice</x:v>
      </x:c>
      <x:c r="P818" t="str">
        <x:v>397141eb8a813045075ac2be3098d3b136ebaf4d597c08fca627922a75e443b7</x:v>
      </x:c>
      <x:c r="Q818" t="str">
        <x:v>data/raw/ptm45_lp_vds_1p1v_raw.txt</x:v>
      </x:c>
    </x:row>
    <x:row r="819">
      <x:c r="A819" t="str">
        <x:v>PTM</x:v>
      </x:c>
      <x:c r="B819" t="str">
        <x:v>NMOS</x:v>
      </x:c>
      <x:c r="C819" s="97" t="n">
        <x:v>45</x:v>
      </x:c>
      <x:c r="D819" s="97" t="str">
        <x:v>LP</x:v>
      </x:c>
      <x:c r="E819" s="99" t="n">
        <x:v>1</x:v>
      </x:c>
      <x:c r="F819" s="99" t="n">
        <x:v>0.045</x:v>
      </x:c>
      <x:c r="G819" s="99" t="n">
        <x:v>25</x:v>
      </x:c>
      <x:c r="H819" s="99" t="n">
        <x:v>1.1</x:v>
      </x:c>
      <x:c r="I819" s="99" t="n">
        <x:v>0.1700000000000002</x:v>
      </x:c>
      <x:c r="J819" s="98" t="n">
        <x:v>2.23917374732487e-9</x:v>
      </x:c>
      <x:c r="K819" t="str">
        <x:v>nominal_vdd</x:v>
      </x:c>
      <x:c r="L819" t="str">
        <x:v>model_nominal_vdd</x:v>
      </x:c>
      <x:c r="M819" t="n">
        <x:v>1.1</x:v>
      </x:c>
      <x:c r="N819" t="str">
        <x:v>simulation</x:v>
      </x:c>
      <x:c r="O819" t="str">
        <x:v>ngspice</x:v>
      </x:c>
      <x:c r="P819" t="str">
        <x:v>397141eb8a813045075ac2be3098d3b136ebaf4d597c08fca627922a75e443b7</x:v>
      </x:c>
      <x:c r="Q819" t="str">
        <x:v>data/raw/ptm45_lp_vds_1p1v_raw.txt</x:v>
      </x:c>
    </x:row>
    <x:row r="820">
      <x:c r="A820" t="str">
        <x:v>PTM</x:v>
      </x:c>
      <x:c r="B820" t="str">
        <x:v>NMOS</x:v>
      </x:c>
      <x:c r="C820" s="97" t="n">
        <x:v>45</x:v>
      </x:c>
      <x:c r="D820" s="97" t="str">
        <x:v>LP</x:v>
      </x:c>
      <x:c r="E820" s="99" t="n">
        <x:v>1</x:v>
      </x:c>
      <x:c r="F820" s="99" t="n">
        <x:v>0.045</x:v>
      </x:c>
      <x:c r="G820" s="99" t="n">
        <x:v>25</x:v>
      </x:c>
      <x:c r="H820" s="99" t="n">
        <x:v>1.1</x:v>
      </x:c>
      <x:c r="I820" s="99" t="n">
        <x:v>0.1750000000000002</x:v>
      </x:c>
      <x:c r="J820" s="98" t="n">
        <x:v>2.554964856443207e-9</x:v>
      </x:c>
      <x:c r="K820" t="str">
        <x:v>nominal_vdd</x:v>
      </x:c>
      <x:c r="L820" t="str">
        <x:v>model_nominal_vdd</x:v>
      </x:c>
      <x:c r="M820" t="n">
        <x:v>1.1</x:v>
      </x:c>
      <x:c r="N820" t="str">
        <x:v>simulation</x:v>
      </x:c>
      <x:c r="O820" t="str">
        <x:v>ngspice</x:v>
      </x:c>
      <x:c r="P820" t="str">
        <x:v>397141eb8a813045075ac2be3098d3b136ebaf4d597c08fca627922a75e443b7</x:v>
      </x:c>
      <x:c r="Q820" t="str">
        <x:v>data/raw/ptm45_lp_vds_1p1v_raw.txt</x:v>
      </x:c>
    </x:row>
    <x:row r="821">
      <x:c r="A821" t="str">
        <x:v>PTM</x:v>
      </x:c>
      <x:c r="B821" t="str">
        <x:v>NMOS</x:v>
      </x:c>
      <x:c r="C821" s="97" t="n">
        <x:v>45</x:v>
      </x:c>
      <x:c r="D821" s="97" t="str">
        <x:v>LP</x:v>
      </x:c>
      <x:c r="E821" s="99" t="n">
        <x:v>1</x:v>
      </x:c>
      <x:c r="F821" s="99" t="n">
        <x:v>0.045</x:v>
      </x:c>
      <x:c r="G821" s="99" t="n">
        <x:v>25</x:v>
      </x:c>
      <x:c r="H821" s="99" t="n">
        <x:v>1.1</x:v>
      </x:c>
      <x:c r="I821" s="99" t="n">
        <x:v>0.1800000000000002</x:v>
      </x:c>
      <x:c r="J821" s="98" t="n">
        <x:v>2.91500716366909e-9</x:v>
      </x:c>
      <x:c r="K821" t="str">
        <x:v>nominal_vdd</x:v>
      </x:c>
      <x:c r="L821" t="str">
        <x:v>model_nominal_vdd</x:v>
      </x:c>
      <x:c r="M821" t="n">
        <x:v>1.1</x:v>
      </x:c>
      <x:c r="N821" t="str">
        <x:v>simulation</x:v>
      </x:c>
      <x:c r="O821" t="str">
        <x:v>ngspice</x:v>
      </x:c>
      <x:c r="P821" t="str">
        <x:v>397141eb8a813045075ac2be3098d3b136ebaf4d597c08fca627922a75e443b7</x:v>
      </x:c>
      <x:c r="Q821" t="str">
        <x:v>data/raw/ptm45_lp_vds_1p1v_raw.txt</x:v>
      </x:c>
    </x:row>
    <x:row r="822">
      <x:c r="A822" t="str">
        <x:v>PTM</x:v>
      </x:c>
      <x:c r="B822" t="str">
        <x:v>NMOS</x:v>
      </x:c>
      <x:c r="C822" s="97" t="n">
        <x:v>45</x:v>
      </x:c>
      <x:c r="D822" s="97" t="str">
        <x:v>LP</x:v>
      </x:c>
      <x:c r="E822" s="99" t="n">
        <x:v>1</x:v>
      </x:c>
      <x:c r="F822" s="99" t="n">
        <x:v>0.045</x:v>
      </x:c>
      <x:c r="G822" s="99" t="n">
        <x:v>25</x:v>
      </x:c>
      <x:c r="H822" s="99" t="n">
        <x:v>1.1</x:v>
      </x:c>
      <x:c r="I822" s="99" t="n">
        <x:v>0.1850000000000002</x:v>
      </x:c>
      <x:c r="J822" s="98" t="n">
        <x:v>3.325436033215461e-9</x:v>
      </x:c>
      <x:c r="K822" t="str">
        <x:v>nominal_vdd</x:v>
      </x:c>
      <x:c r="L822" t="str">
        <x:v>model_nominal_vdd</x:v>
      </x:c>
      <x:c r="M822" t="n">
        <x:v>1.1</x:v>
      </x:c>
      <x:c r="N822" t="str">
        <x:v>simulation</x:v>
      </x:c>
      <x:c r="O822" t="str">
        <x:v>ngspice</x:v>
      </x:c>
      <x:c r="P822" t="str">
        <x:v>397141eb8a813045075ac2be3098d3b136ebaf4d597c08fca627922a75e443b7</x:v>
      </x:c>
      <x:c r="Q822" t="str">
        <x:v>data/raw/ptm45_lp_vds_1p1v_raw.txt</x:v>
      </x:c>
    </x:row>
    <x:row r="823">
      <x:c r="A823" t="str">
        <x:v>PTM</x:v>
      </x:c>
      <x:c r="B823" t="str">
        <x:v>NMOS</x:v>
      </x:c>
      <x:c r="C823" s="97" t="n">
        <x:v>45</x:v>
      </x:c>
      <x:c r="D823" s="97" t="str">
        <x:v>LP</x:v>
      </x:c>
      <x:c r="E823" s="99" t="n">
        <x:v>1</x:v>
      </x:c>
      <x:c r="F823" s="99" t="n">
        <x:v>0.045</x:v>
      </x:c>
      <x:c r="G823" s="99" t="n">
        <x:v>25</x:v>
      </x:c>
      <x:c r="H823" s="99" t="n">
        <x:v>1.1</x:v>
      </x:c>
      <x:c r="I823" s="99" t="n">
        <x:v>0.1900000000000002</x:v>
      </x:c>
      <x:c r="J823" s="98" t="n">
        <x:v>3.793223657822332e-9</x:v>
      </x:c>
      <x:c r="K823" t="str">
        <x:v>nominal_vdd</x:v>
      </x:c>
      <x:c r="L823" t="str">
        <x:v>model_nominal_vdd</x:v>
      </x:c>
      <x:c r="M823" t="n">
        <x:v>1.1</x:v>
      </x:c>
      <x:c r="N823" t="str">
        <x:v>simulation</x:v>
      </x:c>
      <x:c r="O823" t="str">
        <x:v>ngspice</x:v>
      </x:c>
      <x:c r="P823" t="str">
        <x:v>397141eb8a813045075ac2be3098d3b136ebaf4d597c08fca627922a75e443b7</x:v>
      </x:c>
      <x:c r="Q823" t="str">
        <x:v>data/raw/ptm45_lp_vds_1p1v_raw.txt</x:v>
      </x:c>
    </x:row>
    <x:row r="824">
      <x:c r="A824" t="str">
        <x:v>PTM</x:v>
      </x:c>
      <x:c r="B824" t="str">
        <x:v>NMOS</x:v>
      </x:c>
      <x:c r="C824" s="97" t="n">
        <x:v>45</x:v>
      </x:c>
      <x:c r="D824" s="97" t="str">
        <x:v>LP</x:v>
      </x:c>
      <x:c r="E824" s="99" t="n">
        <x:v>1</x:v>
      </x:c>
      <x:c r="F824" s="99" t="n">
        <x:v>0.045</x:v>
      </x:c>
      <x:c r="G824" s="99" t="n">
        <x:v>25</x:v>
      </x:c>
      <x:c r="H824" s="99" t="n">
        <x:v>1.1</x:v>
      </x:c>
      <x:c r="I824" s="99" t="n">
        <x:v>0.1950000000000002</x:v>
      </x:c>
      <x:c r="J824" s="98" t="n">
        <x:v>4.326290311436928e-9</x:v>
      </x:c>
      <x:c r="K824" t="str">
        <x:v>nominal_vdd</x:v>
      </x:c>
      <x:c r="L824" t="str">
        <x:v>model_nominal_vdd</x:v>
      </x:c>
      <x:c r="M824" t="n">
        <x:v>1.1</x:v>
      </x:c>
      <x:c r="N824" t="str">
        <x:v>simulation</x:v>
      </x:c>
      <x:c r="O824" t="str">
        <x:v>ngspice</x:v>
      </x:c>
      <x:c r="P824" t="str">
        <x:v>397141eb8a813045075ac2be3098d3b136ebaf4d597c08fca627922a75e443b7</x:v>
      </x:c>
      <x:c r="Q824" t="str">
        <x:v>data/raw/ptm45_lp_vds_1p1v_raw.txt</x:v>
      </x:c>
    </x:row>
    <x:row r="825">
      <x:c r="A825" t="str">
        <x:v>PTM</x:v>
      </x:c>
      <x:c r="B825" t="str">
        <x:v>NMOS</x:v>
      </x:c>
      <x:c r="C825" s="97" t="n">
        <x:v>45</x:v>
      </x:c>
      <x:c r="D825" s="97" t="str">
        <x:v>LP</x:v>
      </x:c>
      <x:c r="E825" s="99" t="n">
        <x:v>1</x:v>
      </x:c>
      <x:c r="F825" s="99" t="n">
        <x:v>0.045</x:v>
      </x:c>
      <x:c r="G825" s="99" t="n">
        <x:v>25</x:v>
      </x:c>
      <x:c r="H825" s="99" t="n">
        <x:v>1.1</x:v>
      </x:c>
      <x:c r="I825" s="99" t="n">
        <x:v>0.2000000000000002</x:v>
      </x:c>
      <x:c r="J825" s="98" t="n">
        <x:v>4.933629799736076e-9</x:v>
      </x:c>
      <x:c r="K825" t="str">
        <x:v>nominal_vdd</x:v>
      </x:c>
      <x:c r="L825" t="str">
        <x:v>model_nominal_vdd</x:v>
      </x:c>
      <x:c r="M825" t="n">
        <x:v>1.1</x:v>
      </x:c>
      <x:c r="N825" t="str">
        <x:v>simulation</x:v>
      </x:c>
      <x:c r="O825" t="str">
        <x:v>ngspice</x:v>
      </x:c>
      <x:c r="P825" t="str">
        <x:v>397141eb8a813045075ac2be3098d3b136ebaf4d597c08fca627922a75e443b7</x:v>
      </x:c>
      <x:c r="Q825" t="str">
        <x:v>data/raw/ptm45_lp_vds_1p1v_raw.txt</x:v>
      </x:c>
    </x:row>
    <x:row r="826">
      <x:c r="A826" t="str">
        <x:v>PTM</x:v>
      </x:c>
      <x:c r="B826" t="str">
        <x:v>NMOS</x:v>
      </x:c>
      <x:c r="C826" s="97" t="n">
        <x:v>45</x:v>
      </x:c>
      <x:c r="D826" s="97" t="str">
        <x:v>LP</x:v>
      </x:c>
      <x:c r="E826" s="99" t="n">
        <x:v>1</x:v>
      </x:c>
      <x:c r="F826" s="99" t="n">
        <x:v>0.045</x:v>
      </x:c>
      <x:c r="G826" s="99" t="n">
        <x:v>25</x:v>
      </x:c>
      <x:c r="H826" s="99" t="n">
        <x:v>1.1</x:v>
      </x:c>
      <x:c r="I826" s="99" t="n">
        <x:v>0.2050000000000002</x:v>
      </x:c>
      <x:c r="J826" s="98" t="n">
        <x:v>5.625450801088216e-9</x:v>
      </x:c>
      <x:c r="K826" t="str">
        <x:v>nominal_vdd</x:v>
      </x:c>
      <x:c r="L826" t="str">
        <x:v>model_nominal_vdd</x:v>
      </x:c>
      <x:c r="M826" t="n">
        <x:v>1.1</x:v>
      </x:c>
      <x:c r="N826" t="str">
        <x:v>simulation</x:v>
      </x:c>
      <x:c r="O826" t="str">
        <x:v>ngspice</x:v>
      </x:c>
      <x:c r="P826" t="str">
        <x:v>397141eb8a813045075ac2be3098d3b136ebaf4d597c08fca627922a75e443b7</x:v>
      </x:c>
      <x:c r="Q826" t="str">
        <x:v>data/raw/ptm45_lp_vds_1p1v_raw.txt</x:v>
      </x:c>
    </x:row>
    <x:row r="827">
      <x:c r="A827" t="str">
        <x:v>PTM</x:v>
      </x:c>
      <x:c r="B827" t="str">
        <x:v>NMOS</x:v>
      </x:c>
      <x:c r="C827" s="97" t="n">
        <x:v>45</x:v>
      </x:c>
      <x:c r="D827" s="97" t="str">
        <x:v>LP</x:v>
      </x:c>
      <x:c r="E827" s="99" t="n">
        <x:v>1</x:v>
      </x:c>
      <x:c r="F827" s="99" t="n">
        <x:v>0.045</x:v>
      </x:c>
      <x:c r="G827" s="99" t="n">
        <x:v>25</x:v>
      </x:c>
      <x:c r="H827" s="99" t="n">
        <x:v>1.1</x:v>
      </x:c>
      <x:c r="I827" s="99" t="n">
        <x:v>0.2100000000000002</x:v>
      </x:c>
      <x:c r="J827" s="98" t="n">
        <x:v>6.413335968902241e-9</x:v>
      </x:c>
      <x:c r="K827" t="str">
        <x:v>nominal_vdd</x:v>
      </x:c>
      <x:c r="L827" t="str">
        <x:v>model_nominal_vdd</x:v>
      </x:c>
      <x:c r="M827" t="n">
        <x:v>1.1</x:v>
      </x:c>
      <x:c r="N827" t="str">
        <x:v>simulation</x:v>
      </x:c>
      <x:c r="O827" t="str">
        <x:v>ngspice</x:v>
      </x:c>
      <x:c r="P827" t="str">
        <x:v>397141eb8a813045075ac2be3098d3b136ebaf4d597c08fca627922a75e443b7</x:v>
      </x:c>
      <x:c r="Q827" t="str">
        <x:v>data/raw/ptm45_lp_vds_1p1v_raw.txt</x:v>
      </x:c>
    </x:row>
    <x:row r="828">
      <x:c r="A828" t="str">
        <x:v>PTM</x:v>
      </x:c>
      <x:c r="B828" t="str">
        <x:v>NMOS</x:v>
      </x:c>
      <x:c r="C828" s="97" t="n">
        <x:v>45</x:v>
      </x:c>
      <x:c r="D828" s="97" t="str">
        <x:v>LP</x:v>
      </x:c>
      <x:c r="E828" s="99" t="n">
        <x:v>1</x:v>
      </x:c>
      <x:c r="F828" s="99" t="n">
        <x:v>0.045</x:v>
      </x:c>
      <x:c r="G828" s="99" t="n">
        <x:v>25</x:v>
      </x:c>
      <x:c r="H828" s="99" t="n">
        <x:v>1.1</x:v>
      </x:c>
      <x:c r="I828" s="99" t="n">
        <x:v>0.2150000000000002</x:v>
      </x:c>
      <x:c r="J828" s="98" t="n">
        <x:v>7.310420858999445e-9</x:v>
      </x:c>
      <x:c r="K828" t="str">
        <x:v>nominal_vdd</x:v>
      </x:c>
      <x:c r="L828" t="str">
        <x:v>model_nominal_vdd</x:v>
      </x:c>
      <x:c r="M828" t="n">
        <x:v>1.1</x:v>
      </x:c>
      <x:c r="N828" t="str">
        <x:v>simulation</x:v>
      </x:c>
      <x:c r="O828" t="str">
        <x:v>ngspice</x:v>
      </x:c>
      <x:c r="P828" t="str">
        <x:v>397141eb8a813045075ac2be3098d3b136ebaf4d597c08fca627922a75e443b7</x:v>
      </x:c>
      <x:c r="Q828" t="str">
        <x:v>data/raw/ptm45_lp_vds_1p1v_raw.txt</x:v>
      </x:c>
    </x:row>
    <x:row r="829">
      <x:c r="A829" t="str">
        <x:v>PTM</x:v>
      </x:c>
      <x:c r="B829" t="str">
        <x:v>NMOS</x:v>
      </x:c>
      <x:c r="C829" s="97" t="n">
        <x:v>45</x:v>
      </x:c>
      <x:c r="D829" s="97" t="str">
        <x:v>LP</x:v>
      </x:c>
      <x:c r="E829" s="99" t="n">
        <x:v>1</x:v>
      </x:c>
      <x:c r="F829" s="99" t="n">
        <x:v>0.045</x:v>
      </x:c>
      <x:c r="G829" s="99" t="n">
        <x:v>25</x:v>
      </x:c>
      <x:c r="H829" s="99" t="n">
        <x:v>1.1</x:v>
      </x:c>
      <x:c r="I829" s="99" t="n">
        <x:v>0.2200000000000002</x:v>
      </x:c>
      <x:c r="J829" s="98" t="n">
        <x:v>8.33159495295967e-9</x:v>
      </x:c>
      <x:c r="K829" t="str">
        <x:v>nominal_vdd</x:v>
      </x:c>
      <x:c r="L829" t="str">
        <x:v>model_nominal_vdd</x:v>
      </x:c>
      <x:c r="M829" t="n">
        <x:v>1.1</x:v>
      </x:c>
      <x:c r="N829" t="str">
        <x:v>simulation</x:v>
      </x:c>
      <x:c r="O829" t="str">
        <x:v>ngspice</x:v>
      </x:c>
      <x:c r="P829" t="str">
        <x:v>397141eb8a813045075ac2be3098d3b136ebaf4d597c08fca627922a75e443b7</x:v>
      </x:c>
      <x:c r="Q829" t="str">
        <x:v>data/raw/ptm45_lp_vds_1p1v_raw.txt</x:v>
      </x:c>
    </x:row>
    <x:row r="830">
      <x:c r="A830" t="str">
        <x:v>PTM</x:v>
      </x:c>
      <x:c r="B830" t="str">
        <x:v>NMOS</x:v>
      </x:c>
      <x:c r="C830" s="97" t="n">
        <x:v>45</x:v>
      </x:c>
      <x:c r="D830" s="97" t="str">
        <x:v>LP</x:v>
      </x:c>
      <x:c r="E830" s="99" t="n">
        <x:v>1</x:v>
      </x:c>
      <x:c r="F830" s="99" t="n">
        <x:v>0.045</x:v>
      </x:c>
      <x:c r="G830" s="99" t="n">
        <x:v>25</x:v>
      </x:c>
      <x:c r="H830" s="99" t="n">
        <x:v>1.1</x:v>
      </x:c>
      <x:c r="I830" s="99" t="n">
        <x:v>0.2250000000000002</x:v>
      </x:c>
      <x:c r="J830" s="98" t="n">
        <x:v>9.493727270480415e-9</x:v>
      </x:c>
      <x:c r="K830" t="str">
        <x:v>nominal_vdd</x:v>
      </x:c>
      <x:c r="L830" t="str">
        <x:v>model_nominal_vdd</x:v>
      </x:c>
      <x:c r="M830" t="n">
        <x:v>1.1</x:v>
      </x:c>
      <x:c r="N830" t="str">
        <x:v>simulation</x:v>
      </x:c>
      <x:c r="O830" t="str">
        <x:v>ngspice</x:v>
      </x:c>
      <x:c r="P830" t="str">
        <x:v>397141eb8a813045075ac2be3098d3b136ebaf4d597c08fca627922a75e443b7</x:v>
      </x:c>
      <x:c r="Q830" t="str">
        <x:v>data/raw/ptm45_lp_vds_1p1v_raw.txt</x:v>
      </x:c>
    </x:row>
    <x:row r="831">
      <x:c r="A831" t="str">
        <x:v>PTM</x:v>
      </x:c>
      <x:c r="B831" t="str">
        <x:v>NMOS</x:v>
      </x:c>
      <x:c r="C831" s="97" t="n">
        <x:v>45</x:v>
      </x:c>
      <x:c r="D831" s="97" t="str">
        <x:v>LP</x:v>
      </x:c>
      <x:c r="E831" s="99" t="n">
        <x:v>1</x:v>
      </x:c>
      <x:c r="F831" s="99" t="n">
        <x:v>0.045</x:v>
      </x:c>
      <x:c r="G831" s="99" t="n">
        <x:v>25</x:v>
      </x:c>
      <x:c r="H831" s="99" t="n">
        <x:v>1.1</x:v>
      </x:c>
      <x:c r="I831" s="99" t="n">
        <x:v>0.2300000000000002</x:v>
      </x:c>
      <x:c r="J831" s="98" t="n">
        <x:v>1.081591930063999e-8</x:v>
      </x:c>
      <x:c r="K831" t="str">
        <x:v>nominal_vdd</x:v>
      </x:c>
      <x:c r="L831" t="str">
        <x:v>model_nominal_vdd</x:v>
      </x:c>
      <x:c r="M831" t="n">
        <x:v>1.1</x:v>
      </x:c>
      <x:c r="N831" t="str">
        <x:v>simulation</x:v>
      </x:c>
      <x:c r="O831" t="str">
        <x:v>ngspice</x:v>
      </x:c>
      <x:c r="P831" t="str">
        <x:v>397141eb8a813045075ac2be3098d3b136ebaf4d597c08fca627922a75e443b7</x:v>
      </x:c>
      <x:c r="Q831" t="str">
        <x:v>data/raw/ptm45_lp_vds_1p1v_raw.txt</x:v>
      </x:c>
    </x:row>
    <x:row r="832">
      <x:c r="A832" t="str">
        <x:v>PTM</x:v>
      </x:c>
      <x:c r="B832" t="str">
        <x:v>NMOS</x:v>
      </x:c>
      <x:c r="C832" s="97" t="n">
        <x:v>45</x:v>
      </x:c>
      <x:c r="D832" s="97" t="str">
        <x:v>LP</x:v>
      </x:c>
      <x:c r="E832" s="99" t="n">
        <x:v>1</x:v>
      </x:c>
      <x:c r="F832" s="99" t="n">
        <x:v>0.045</x:v>
      </x:c>
      <x:c r="G832" s="99" t="n">
        <x:v>25</x:v>
      </x:c>
      <x:c r="H832" s="99" t="n">
        <x:v>1.1</x:v>
      </x:c>
      <x:c r="I832" s="99" t="n">
        <x:v>0.2350000000000002</x:v>
      </x:c>
      <x:c r="J832" s="98" t="n">
        <x:v>1.231978823325394e-8</x:v>
      </x:c>
      <x:c r="K832" t="str">
        <x:v>nominal_vdd</x:v>
      </x:c>
      <x:c r="L832" t="str">
        <x:v>model_nominal_vdd</x:v>
      </x:c>
      <x:c r="M832" t="n">
        <x:v>1.1</x:v>
      </x:c>
      <x:c r="N832" t="str">
        <x:v>simulation</x:v>
      </x:c>
      <x:c r="O832" t="str">
        <x:v>ngspice</x:v>
      </x:c>
      <x:c r="P832" t="str">
        <x:v>397141eb8a813045075ac2be3098d3b136ebaf4d597c08fca627922a75e443b7</x:v>
      </x:c>
      <x:c r="Q832" t="str">
        <x:v>data/raw/ptm45_lp_vds_1p1v_raw.txt</x:v>
      </x:c>
    </x:row>
    <x:row r="833">
      <x:c r="A833" t="str">
        <x:v>PTM</x:v>
      </x:c>
      <x:c r="B833" t="str">
        <x:v>NMOS</x:v>
      </x:c>
      <x:c r="C833" s="97" t="n">
        <x:v>45</x:v>
      </x:c>
      <x:c r="D833" s="97" t="str">
        <x:v>LP</x:v>
      </x:c>
      <x:c r="E833" s="99" t="n">
        <x:v>1</x:v>
      </x:c>
      <x:c r="F833" s="99" t="n">
        <x:v>0.045</x:v>
      </x:c>
      <x:c r="G833" s="99" t="n">
        <x:v>25</x:v>
      </x:c>
      <x:c r="H833" s="99" t="n">
        <x:v>1.1</x:v>
      </x:c>
      <x:c r="I833" s="99" t="n">
        <x:v>0.2400000000000002</x:v>
      </x:c>
      <x:c r="J833" s="98" t="n">
        <x:v>1.402978373678025e-8</x:v>
      </x:c>
      <x:c r="K833" t="str">
        <x:v>nominal_vdd</x:v>
      </x:c>
      <x:c r="L833" t="str">
        <x:v>model_nominal_vdd</x:v>
      </x:c>
      <x:c r="M833" t="n">
        <x:v>1.1</x:v>
      </x:c>
      <x:c r="N833" t="str">
        <x:v>simulation</x:v>
      </x:c>
      <x:c r="O833" t="str">
        <x:v>ngspice</x:v>
      </x:c>
      <x:c r="P833" t="str">
        <x:v>397141eb8a813045075ac2be3098d3b136ebaf4d597c08fca627922a75e443b7</x:v>
      </x:c>
      <x:c r="Q833" t="str">
        <x:v>data/raw/ptm45_lp_vds_1p1v_raw.txt</x:v>
      </x:c>
    </x:row>
    <x:row r="834">
      <x:c r="A834" t="str">
        <x:v>PTM</x:v>
      </x:c>
      <x:c r="B834" t="str">
        <x:v>NMOS</x:v>
      </x:c>
      <x:c r="C834" s="97" t="n">
        <x:v>45</x:v>
      </x:c>
      <x:c r="D834" s="97" t="str">
        <x:v>LP</x:v>
      </x:c>
      <x:c r="E834" s="99" t="n">
        <x:v>1</x:v>
      </x:c>
      <x:c r="F834" s="99" t="n">
        <x:v>0.045</x:v>
      </x:c>
      <x:c r="G834" s="99" t="n">
        <x:v>25</x:v>
      </x:c>
      <x:c r="H834" s="99" t="n">
        <x:v>1.1</x:v>
      </x:c>
      <x:c r="I834" s="99" t="n">
        <x:v>0.2450000000000002</x:v>
      </x:c>
      <x:c r="J834" s="98" t="n">
        <x:v>1.597354180763647e-8</x:v>
      </x:c>
      <x:c r="K834" t="str">
        <x:v>nominal_vdd</x:v>
      </x:c>
      <x:c r="L834" t="str">
        <x:v>model_nominal_vdd</x:v>
      </x:c>
      <x:c r="M834" t="n">
        <x:v>1.1</x:v>
      </x:c>
      <x:c r="N834" t="str">
        <x:v>simulation</x:v>
      </x:c>
      <x:c r="O834" t="str">
        <x:v>ngspice</x:v>
      </x:c>
      <x:c r="P834" t="str">
        <x:v>397141eb8a813045075ac2be3098d3b136ebaf4d597c08fca627922a75e443b7</x:v>
      </x:c>
      <x:c r="Q834" t="str">
        <x:v>data/raw/ptm45_lp_vds_1p1v_raw.txt</x:v>
      </x:c>
    </x:row>
    <x:row r="835">
      <x:c r="A835" t="str">
        <x:v>PTM</x:v>
      </x:c>
      <x:c r="B835" t="str">
        <x:v>NMOS</x:v>
      </x:c>
      <x:c r="C835" s="97" t="n">
        <x:v>45</x:v>
      </x:c>
      <x:c r="D835" s="97" t="str">
        <x:v>LP</x:v>
      </x:c>
      <x:c r="E835" s="99" t="n">
        <x:v>1</x:v>
      </x:c>
      <x:c r="F835" s="99" t="n">
        <x:v>0.045</x:v>
      </x:c>
      <x:c r="G835" s="99" t="n">
        <x:v>25</x:v>
      </x:c>
      <x:c r="H835" s="99" t="n">
        <x:v>1.1</x:v>
      </x:c>
      <x:c r="I835" s="99" t="n">
        <x:v>0.2500000000000002</x:v>
      </x:c>
      <x:c r="J835" s="98" t="n">
        <x:v>1.818227950631262e-8</x:v>
      </x:c>
      <x:c r="K835" t="str">
        <x:v>nominal_vdd</x:v>
      </x:c>
      <x:c r="L835" t="str">
        <x:v>model_nominal_vdd</x:v>
      </x:c>
      <x:c r="M835" t="n">
        <x:v>1.1</x:v>
      </x:c>
      <x:c r="N835" t="str">
        <x:v>simulation</x:v>
      </x:c>
      <x:c r="O835" t="str">
        <x:v>ngspice</x:v>
      </x:c>
      <x:c r="P835" t="str">
        <x:v>397141eb8a813045075ac2be3098d3b136ebaf4d597c08fca627922a75e443b7</x:v>
      </x:c>
      <x:c r="Q835" t="str">
        <x:v>data/raw/ptm45_lp_vds_1p1v_raw.txt</x:v>
      </x:c>
    </x:row>
    <x:row r="836">
      <x:c r="A836" t="str">
        <x:v>PTM</x:v>
      </x:c>
      <x:c r="B836" t="str">
        <x:v>NMOS</x:v>
      </x:c>
      <x:c r="C836" s="97" t="n">
        <x:v>45</x:v>
      </x:c>
      <x:c r="D836" s="97" t="str">
        <x:v>LP</x:v>
      </x:c>
      <x:c r="E836" s="99" t="n">
        <x:v>1</x:v>
      </x:c>
      <x:c r="F836" s="99" t="n">
        <x:v>0.045</x:v>
      </x:c>
      <x:c r="G836" s="99" t="n">
        <x:v>25</x:v>
      </x:c>
      <x:c r="H836" s="99" t="n">
        <x:v>1.1</x:v>
      </x:c>
      <x:c r="I836" s="99" t="n">
        <x:v>0.2550000000000002</x:v>
      </x:c>
      <x:c r="J836" s="98" t="n">
        <x:v>2.069123469688041e-8</x:v>
      </x:c>
      <x:c r="K836" t="str">
        <x:v>nominal_vdd</x:v>
      </x:c>
      <x:c r="L836" t="str">
        <x:v>model_nominal_vdd</x:v>
      </x:c>
      <x:c r="M836" t="n">
        <x:v>1.1</x:v>
      </x:c>
      <x:c r="N836" t="str">
        <x:v>simulation</x:v>
      </x:c>
      <x:c r="O836" t="str">
        <x:v>ngspice</x:v>
      </x:c>
      <x:c r="P836" t="str">
        <x:v>397141eb8a813045075ac2be3098d3b136ebaf4d597c08fca627922a75e443b7</x:v>
      </x:c>
      <x:c r="Q836" t="str">
        <x:v>data/raw/ptm45_lp_vds_1p1v_raw.txt</x:v>
      </x:c>
    </x:row>
    <x:row r="837">
      <x:c r="A837" t="str">
        <x:v>PTM</x:v>
      </x:c>
      <x:c r="B837" t="str">
        <x:v>NMOS</x:v>
      </x:c>
      <x:c r="C837" s="97" t="n">
        <x:v>45</x:v>
      </x:c>
      <x:c r="D837" s="97" t="str">
        <x:v>LP</x:v>
      </x:c>
      <x:c r="E837" s="99" t="n">
        <x:v>1</x:v>
      </x:c>
      <x:c r="F837" s="99" t="n">
        <x:v>0.045</x:v>
      </x:c>
      <x:c r="G837" s="99" t="n">
        <x:v>25</x:v>
      </x:c>
      <x:c r="H837" s="99" t="n">
        <x:v>1.1</x:v>
      </x:c>
      <x:c r="I837" s="99" t="n">
        <x:v>0.2600000000000002</x:v>
      </x:c>
      <x:c r="J837" s="98" t="n">
        <x:v>2.354015521682267e-8</x:v>
      </x:c>
      <x:c r="K837" t="str">
        <x:v>nominal_vdd</x:v>
      </x:c>
      <x:c r="L837" t="str">
        <x:v>model_nominal_vdd</x:v>
      </x:c>
      <x:c r="M837" t="n">
        <x:v>1.1</x:v>
      </x:c>
      <x:c r="N837" t="str">
        <x:v>simulation</x:v>
      </x:c>
      <x:c r="O837" t="str">
        <x:v>ngspice</x:v>
      </x:c>
      <x:c r="P837" t="str">
        <x:v>397141eb8a813045075ac2be3098d3b136ebaf4d597c08fca627922a75e443b7</x:v>
      </x:c>
      <x:c r="Q837" t="str">
        <x:v>data/raw/ptm45_lp_vds_1p1v_raw.txt</x:v>
      </x:c>
    </x:row>
    <x:row r="838">
      <x:c r="A838" t="str">
        <x:v>PTM</x:v>
      </x:c>
      <x:c r="B838" t="str">
        <x:v>NMOS</x:v>
      </x:c>
      <x:c r="C838" s="97" t="n">
        <x:v>45</x:v>
      </x:c>
      <x:c r="D838" s="97" t="str">
        <x:v>LP</x:v>
      </x:c>
      <x:c r="E838" s="99" t="n">
        <x:v>1</x:v>
      </x:c>
      <x:c r="F838" s="99" t="n">
        <x:v>0.045</x:v>
      </x:c>
      <x:c r="G838" s="99" t="n">
        <x:v>25</x:v>
      </x:c>
      <x:c r="H838" s="99" t="n">
        <x:v>1.1</x:v>
      </x:c>
      <x:c r="I838" s="99" t="n">
        <x:v>0.2650000000000002</x:v>
      </x:c>
      <x:c r="J838" s="98" t="n">
        <x:v>2.6773842221694e-8</x:v>
      </x:c>
      <x:c r="K838" t="str">
        <x:v>nominal_vdd</x:v>
      </x:c>
      <x:c r="L838" t="str">
        <x:v>model_nominal_vdd</x:v>
      </x:c>
      <x:c r="M838" t="n">
        <x:v>1.1</x:v>
      </x:c>
      <x:c r="N838" t="str">
        <x:v>simulation</x:v>
      </x:c>
      <x:c r="O838" t="str">
        <x:v>ngspice</x:v>
      </x:c>
      <x:c r="P838" t="str">
        <x:v>397141eb8a813045075ac2be3098d3b136ebaf4d597c08fca627922a75e443b7</x:v>
      </x:c>
      <x:c r="Q838" t="str">
        <x:v>data/raw/ptm45_lp_vds_1p1v_raw.txt</x:v>
      </x:c>
    </x:row>
    <x:row r="839">
      <x:c r="A839" t="str">
        <x:v>PTM</x:v>
      </x:c>
      <x:c r="B839" t="str">
        <x:v>NMOS</x:v>
      </x:c>
      <x:c r="C839" s="97" t="n">
        <x:v>45</x:v>
      </x:c>
      <x:c r="D839" s="97" t="str">
        <x:v>LP</x:v>
      </x:c>
      <x:c r="E839" s="99" t="n">
        <x:v>1</x:v>
      </x:c>
      <x:c r="F839" s="99" t="n">
        <x:v>0.045</x:v>
      </x:c>
      <x:c r="G839" s="99" t="n">
        <x:v>25</x:v>
      </x:c>
      <x:c r="H839" s="99" t="n">
        <x:v>1.1</x:v>
      </x:c>
      <x:c r="I839" s="99" t="n">
        <x:v>0.2700000000000002</x:v>
      </x:c>
      <x:c r="J839" s="98" t="n">
        <x:v>3.044275277190724e-8</x:v>
      </x:c>
      <x:c r="K839" t="str">
        <x:v>nominal_vdd</x:v>
      </x:c>
      <x:c r="L839" t="str">
        <x:v>model_nominal_vdd</x:v>
      </x:c>
      <x:c r="M839" t="n">
        <x:v>1.1</x:v>
      </x:c>
      <x:c r="N839" t="str">
        <x:v>simulation</x:v>
      </x:c>
      <x:c r="O839" t="str">
        <x:v>ngspice</x:v>
      </x:c>
      <x:c r="P839" t="str">
        <x:v>397141eb8a813045075ac2be3098d3b136ebaf4d597c08fca627922a75e443b7</x:v>
      </x:c>
      <x:c r="Q839" t="str">
        <x:v>data/raw/ptm45_lp_vds_1p1v_raw.txt</x:v>
      </x:c>
    </x:row>
    <x:row r="840">
      <x:c r="A840" t="str">
        <x:v>PTM</x:v>
      </x:c>
      <x:c r="B840" t="str">
        <x:v>NMOS</x:v>
      </x:c>
      <x:c r="C840" s="97" t="n">
        <x:v>45</x:v>
      </x:c>
      <x:c r="D840" s="97" t="str">
        <x:v>LP</x:v>
      </x:c>
      <x:c r="E840" s="99" t="n">
        <x:v>1</x:v>
      </x:c>
      <x:c r="F840" s="99" t="n">
        <x:v>0.045</x:v>
      </x:c>
      <x:c r="G840" s="99" t="n">
        <x:v>25</x:v>
      </x:c>
      <x:c r="H840" s="99" t="n">
        <x:v>1.1</x:v>
      </x:c>
      <x:c r="I840" s="99" t="n">
        <x:v>0.2750000000000002</x:v>
      </x:c>
      <x:c r="J840" s="98" t="n">
        <x:v>3.460366705497732e-8</x:v>
      </x:c>
      <x:c r="K840" t="str">
        <x:v>nominal_vdd</x:v>
      </x:c>
      <x:c r="L840" t="str">
        <x:v>model_nominal_vdd</x:v>
      </x:c>
      <x:c r="M840" t="n">
        <x:v>1.1</x:v>
      </x:c>
      <x:c r="N840" t="str">
        <x:v>simulation</x:v>
      </x:c>
      <x:c r="O840" t="str">
        <x:v>ngspice</x:v>
      </x:c>
      <x:c r="P840" t="str">
        <x:v>397141eb8a813045075ac2be3098d3b136ebaf4d597c08fca627922a75e443b7</x:v>
      </x:c>
      <x:c r="Q840" t="str">
        <x:v>data/raw/ptm45_lp_vds_1p1v_raw.txt</x:v>
      </x:c>
    </x:row>
    <x:row r="841">
      <x:c r="A841" t="str">
        <x:v>PTM</x:v>
      </x:c>
      <x:c r="B841" t="str">
        <x:v>NMOS</x:v>
      </x:c>
      <x:c r="C841" s="97" t="n">
        <x:v>45</x:v>
      </x:c>
      <x:c r="D841" s="97" t="str">
        <x:v>LP</x:v>
      </x:c>
      <x:c r="E841" s="99" t="n">
        <x:v>1</x:v>
      </x:c>
      <x:c r="F841" s="99" t="n">
        <x:v>0.045</x:v>
      </x:c>
      <x:c r="G841" s="99" t="n">
        <x:v>25</x:v>
      </x:c>
      <x:c r="H841" s="99" t="n">
        <x:v>1.1</x:v>
      </x:c>
      <x:c r="I841" s="99" t="n">
        <x:v>0.2800000000000002</x:v>
      </x:c>
      <x:c r="J841" s="98" t="n">
        <x:v>3.932042596367367e-8</x:v>
      </x:c>
      <x:c r="K841" t="str">
        <x:v>nominal_vdd</x:v>
      </x:c>
      <x:c r="L841" t="str">
        <x:v>model_nominal_vdd</x:v>
      </x:c>
      <x:c r="M841" t="n">
        <x:v>1.1</x:v>
      </x:c>
      <x:c r="N841" t="str">
        <x:v>simulation</x:v>
      </x:c>
      <x:c r="O841" t="str">
        <x:v>ngspice</x:v>
      </x:c>
      <x:c r="P841" t="str">
        <x:v>397141eb8a813045075ac2be3098d3b136ebaf4d597c08fca627922a75e443b7</x:v>
      </x:c>
      <x:c r="Q841" t="str">
        <x:v>data/raw/ptm45_lp_vds_1p1v_raw.txt</x:v>
      </x:c>
    </x:row>
    <x:row r="842">
      <x:c r="A842" t="str">
        <x:v>PTM</x:v>
      </x:c>
      <x:c r="B842" t="str">
        <x:v>NMOS</x:v>
      </x:c>
      <x:c r="C842" s="97" t="n">
        <x:v>45</x:v>
      </x:c>
      <x:c r="D842" s="97" t="str">
        <x:v>LP</x:v>
      </x:c>
      <x:c r="E842" s="99" t="n">
        <x:v>1</x:v>
      </x:c>
      <x:c r="F842" s="99" t="n">
        <x:v>0.045</x:v>
      </x:c>
      <x:c r="G842" s="99" t="n">
        <x:v>25</x:v>
      </x:c>
      <x:c r="H842" s="99" t="n">
        <x:v>1.1</x:v>
      </x:c>
      <x:c r="I842" s="99" t="n">
        <x:v>0.2850000000000003</x:v>
      </x:c>
      <x:c r="J842" s="98" t="n">
        <x:v>4.466474507731343e-8</x:v>
      </x:c>
      <x:c r="K842" t="str">
        <x:v>nominal_vdd</x:v>
      </x:c>
      <x:c r="L842" t="str">
        <x:v>model_nominal_vdd</x:v>
      </x:c>
      <x:c r="M842" t="n">
        <x:v>1.1</x:v>
      </x:c>
      <x:c r="N842" t="str">
        <x:v>simulation</x:v>
      </x:c>
      <x:c r="O842" t="str">
        <x:v>ngspice</x:v>
      </x:c>
      <x:c r="P842" t="str">
        <x:v>397141eb8a813045075ac2be3098d3b136ebaf4d597c08fca627922a75e443b7</x:v>
      </x:c>
      <x:c r="Q842" t="str">
        <x:v>data/raw/ptm45_lp_vds_1p1v_raw.txt</x:v>
      </x:c>
    </x:row>
    <x:row r="843">
      <x:c r="A843" t="str">
        <x:v>PTM</x:v>
      </x:c>
      <x:c r="B843" t="str">
        <x:v>NMOS</x:v>
      </x:c>
      <x:c r="C843" s="97" t="n">
        <x:v>45</x:v>
      </x:c>
      <x:c r="D843" s="97" t="str">
        <x:v>LP</x:v>
      </x:c>
      <x:c r="E843" s="99" t="n">
        <x:v>1</x:v>
      </x:c>
      <x:c r="F843" s="99" t="n">
        <x:v>0.045</x:v>
      </x:c>
      <x:c r="G843" s="99" t="n">
        <x:v>25</x:v>
      </x:c>
      <x:c r="H843" s="99" t="n">
        <x:v>1.1</x:v>
      </x:c>
      <x:c r="I843" s="99" t="n">
        <x:v>0.2900000000000003</x:v>
      </x:c>
      <x:c r="J843" s="98" t="n">
        <x:v>5.071711141833001e-8</x:v>
      </x:c>
      <x:c r="K843" t="str">
        <x:v>nominal_vdd</x:v>
      </x:c>
      <x:c r="L843" t="str">
        <x:v>model_nominal_vdd</x:v>
      </x:c>
      <x:c r="M843" t="n">
        <x:v>1.1</x:v>
      </x:c>
      <x:c r="N843" t="str">
        <x:v>simulation</x:v>
      </x:c>
      <x:c r="O843" t="str">
        <x:v>ngspice</x:v>
      </x:c>
      <x:c r="P843" t="str">
        <x:v>397141eb8a813045075ac2be3098d3b136ebaf4d597c08fca627922a75e443b7</x:v>
      </x:c>
      <x:c r="Q843" t="str">
        <x:v>data/raw/ptm45_lp_vds_1p1v_raw.txt</x:v>
      </x:c>
    </x:row>
    <x:row r="844">
      <x:c r="A844" t="str">
        <x:v>PTM</x:v>
      </x:c>
      <x:c r="B844" t="str">
        <x:v>NMOS</x:v>
      </x:c>
      <x:c r="C844" s="97" t="n">
        <x:v>45</x:v>
      </x:c>
      <x:c r="D844" s="97" t="str">
        <x:v>LP</x:v>
      </x:c>
      <x:c r="E844" s="99" t="n">
        <x:v>1</x:v>
      </x:c>
      <x:c r="F844" s="99" t="n">
        <x:v>0.045</x:v>
      </x:c>
      <x:c r="G844" s="99" t="n">
        <x:v>25</x:v>
      </x:c>
      <x:c r="H844" s="99" t="n">
        <x:v>1.1</x:v>
      </x:c>
      <x:c r="I844" s="99" t="n">
        <x:v>0.2950000000000003</x:v>
      </x:c>
      <x:c r="J844" s="98" t="n">
        <x:v>5.756776967917311e-8</x:v>
      </x:c>
      <x:c r="K844" t="str">
        <x:v>nominal_vdd</x:v>
      </x:c>
      <x:c r="L844" t="str">
        <x:v>model_nominal_vdd</x:v>
      </x:c>
      <x:c r="M844" t="n">
        <x:v>1.1</x:v>
      </x:c>
      <x:c r="N844" t="str">
        <x:v>simulation</x:v>
      </x:c>
      <x:c r="O844" t="str">
        <x:v>ngspice</x:v>
      </x:c>
      <x:c r="P844" t="str">
        <x:v>397141eb8a813045075ac2be3098d3b136ebaf4d597c08fca627922a75e443b7</x:v>
      </x:c>
      <x:c r="Q844" t="str">
        <x:v>data/raw/ptm45_lp_vds_1p1v_raw.txt</x:v>
      </x:c>
    </x:row>
    <x:row r="845">
      <x:c r="A845" t="str">
        <x:v>PTM</x:v>
      </x:c>
      <x:c r="B845" t="str">
        <x:v>NMOS</x:v>
      </x:c>
      <x:c r="C845" s="97" t="n">
        <x:v>45</x:v>
      </x:c>
      <x:c r="D845" s="97" t="str">
        <x:v>LP</x:v>
      </x:c>
      <x:c r="E845" s="99" t="n">
        <x:v>1</x:v>
      </x:c>
      <x:c r="F845" s="99" t="n">
        <x:v>0.045</x:v>
      </x:c>
      <x:c r="G845" s="99" t="n">
        <x:v>25</x:v>
      </x:c>
      <x:c r="H845" s="99" t="n">
        <x:v>1.1</x:v>
      </x:c>
      <x:c r="I845" s="99" t="n">
        <x:v>0.3000000000000003</x:v>
      </x:c>
      <x:c r="J845" s="98" t="n">
        <x:v>6.531780493577325e-8</x:v>
      </x:c>
      <x:c r="K845" t="str">
        <x:v>nominal_vdd</x:v>
      </x:c>
      <x:c r="L845" t="str">
        <x:v>model_nominal_vdd</x:v>
      </x:c>
      <x:c r="M845" t="n">
        <x:v>1.1</x:v>
      </x:c>
      <x:c r="N845" t="str">
        <x:v>simulation</x:v>
      </x:c>
      <x:c r="O845" t="str">
        <x:v>ngspice</x:v>
      </x:c>
      <x:c r="P845" t="str">
        <x:v>397141eb8a813045075ac2be3098d3b136ebaf4d597c08fca627922a75e443b7</x:v>
      </x:c>
      <x:c r="Q845" t="str">
        <x:v>data/raw/ptm45_lp_vds_1p1v_raw.txt</x:v>
      </x:c>
    </x:row>
    <x:row r="846">
      <x:c r="A846" t="str">
        <x:v>PTM</x:v>
      </x:c>
      <x:c r="B846" t="str">
        <x:v>NMOS</x:v>
      </x:c>
      <x:c r="C846" s="97" t="n">
        <x:v>45</x:v>
      </x:c>
      <x:c r="D846" s="97" t="str">
        <x:v>LP</x:v>
      </x:c>
      <x:c r="E846" s="99" t="n">
        <x:v>1</x:v>
      </x:c>
      <x:c r="F846" s="99" t="n">
        <x:v>0.045</x:v>
      </x:c>
      <x:c r="G846" s="99" t="n">
        <x:v>25</x:v>
      </x:c>
      <x:c r="H846" s="99" t="n">
        <x:v>1.1</x:v>
      </x:c>
      <x:c r="I846" s="99" t="n">
        <x:v>0.3050000000000003</x:v>
      </x:c>
      <x:c r="J846" s="98" t="n">
        <x:v>7.40803291855766e-8</x:v>
      </x:c>
      <x:c r="K846" t="str">
        <x:v>nominal_vdd</x:v>
      </x:c>
      <x:c r="L846" t="str">
        <x:v>model_nominal_vdd</x:v>
      </x:c>
      <x:c r="M846" t="n">
        <x:v>1.1</x:v>
      </x:c>
      <x:c r="N846" t="str">
        <x:v>simulation</x:v>
      </x:c>
      <x:c r="O846" t="str">
        <x:v>ngspice</x:v>
      </x:c>
      <x:c r="P846" t="str">
        <x:v>397141eb8a813045075ac2be3098d3b136ebaf4d597c08fca627922a75e443b7</x:v>
      </x:c>
      <x:c r="Q846" t="str">
        <x:v>data/raw/ptm45_lp_vds_1p1v_raw.txt</x:v>
      </x:c>
    </x:row>
    <x:row r="847">
      <x:c r="A847" t="str">
        <x:v>PTM</x:v>
      </x:c>
      <x:c r="B847" t="str">
        <x:v>NMOS</x:v>
      </x:c>
      <x:c r="C847" s="97" t="n">
        <x:v>45</x:v>
      </x:c>
      <x:c r="D847" s="97" t="str">
        <x:v>LP</x:v>
      </x:c>
      <x:c r="E847" s="99" t="n">
        <x:v>1</x:v>
      </x:c>
      <x:c r="F847" s="99" t="n">
        <x:v>0.045</x:v>
      </x:c>
      <x:c r="G847" s="99" t="n">
        <x:v>25</x:v>
      </x:c>
      <x:c r="H847" s="99" t="n">
        <x:v>1.1</x:v>
      </x:c>
      <x:c r="I847" s="99" t="n">
        <x:v>0.3100000000000003</x:v>
      </x:c>
      <x:c r="J847" s="98" t="n">
        <x:v>8.398177937379374e-8</x:v>
      </x:c>
      <x:c r="K847" t="str">
        <x:v>nominal_vdd</x:v>
      </x:c>
      <x:c r="L847" t="str">
        <x:v>model_nominal_vdd</x:v>
      </x:c>
      <x:c r="M847" t="n">
        <x:v>1.1</x:v>
      </x:c>
      <x:c r="N847" t="str">
        <x:v>simulation</x:v>
      </x:c>
      <x:c r="O847" t="str">
        <x:v>ngspice</x:v>
      </x:c>
      <x:c r="P847" t="str">
        <x:v>397141eb8a813045075ac2be3098d3b136ebaf4d597c08fca627922a75e443b7</x:v>
      </x:c>
      <x:c r="Q847" t="str">
        <x:v>data/raw/ptm45_lp_vds_1p1v_raw.txt</x:v>
      </x:c>
    </x:row>
    <x:row r="848">
      <x:c r="A848" t="str">
        <x:v>PTM</x:v>
      </x:c>
      <x:c r="B848" t="str">
        <x:v>NMOS</x:v>
      </x:c>
      <x:c r="C848" s="97" t="n">
        <x:v>45</x:v>
      </x:c>
      <x:c r="D848" s="97" t="str">
        <x:v>LP</x:v>
      </x:c>
      <x:c r="E848" s="99" t="n">
        <x:v>1</x:v>
      </x:c>
      <x:c r="F848" s="99" t="n">
        <x:v>0.045</x:v>
      </x:c>
      <x:c r="G848" s="99" t="n">
        <x:v>25</x:v>
      </x:c>
      <x:c r="H848" s="99" t="n">
        <x:v>1.1</x:v>
      </x:c>
      <x:c r="I848" s="99" t="n">
        <x:v>0.3150000000000003</x:v>
      </x:c>
      <x:c r="J848" s="98" t="n">
        <x:v>9.516333490665304e-8</x:v>
      </x:c>
      <x:c r="K848" t="str">
        <x:v>nominal_vdd</x:v>
      </x:c>
      <x:c r="L848" t="str">
        <x:v>model_nominal_vdd</x:v>
      </x:c>
      <x:c r="M848" t="n">
        <x:v>1.1</x:v>
      </x:c>
      <x:c r="N848" t="str">
        <x:v>simulation</x:v>
      </x:c>
      <x:c r="O848" t="str">
        <x:v>ngspice</x:v>
      </x:c>
      <x:c r="P848" t="str">
        <x:v>397141eb8a813045075ac2be3098d3b136ebaf4d597c08fca627922a75e443b7</x:v>
      </x:c>
      <x:c r="Q848" t="str">
        <x:v>data/raw/ptm45_lp_vds_1p1v_raw.txt</x:v>
      </x:c>
    </x:row>
    <x:row r="849">
      <x:c r="A849" t="str">
        <x:v>PTM</x:v>
      </x:c>
      <x:c r="B849" t="str">
        <x:v>NMOS</x:v>
      </x:c>
      <x:c r="C849" s="97" t="n">
        <x:v>45</x:v>
      </x:c>
      <x:c r="D849" s="97" t="str">
        <x:v>LP</x:v>
      </x:c>
      <x:c r="E849" s="99" t="n">
        <x:v>1</x:v>
      </x:c>
      <x:c r="F849" s="99" t="n">
        <x:v>0.045</x:v>
      </x:c>
      <x:c r="G849" s="99" t="n">
        <x:v>25</x:v>
      </x:c>
      <x:c r="H849" s="99" t="n">
        <x:v>1.1</x:v>
      </x:c>
      <x:c r="I849" s="99" t="n">
        <x:v>0.3200000000000003</x:v>
      </x:c>
      <x:c r="J849" s="98" t="n">
        <x:v>1.077824630026231e-7</x:v>
      </x:c>
      <x:c r="K849" t="str">
        <x:v>nominal_vdd</x:v>
      </x:c>
      <x:c r="L849" t="str">
        <x:v>model_nominal_vdd</x:v>
      </x:c>
      <x:c r="M849" t="n">
        <x:v>1.1</x:v>
      </x:c>
      <x:c r="N849" t="str">
        <x:v>simulation</x:v>
      </x:c>
      <x:c r="O849" t="str">
        <x:v>ngspice</x:v>
      </x:c>
      <x:c r="P849" t="str">
        <x:v>397141eb8a813045075ac2be3098d3b136ebaf4d597c08fca627922a75e443b7</x:v>
      </x:c>
      <x:c r="Q849" t="str">
        <x:v>data/raw/ptm45_lp_vds_1p1v_raw.txt</x:v>
      </x:c>
    </x:row>
    <x:row r="850">
      <x:c r="A850" t="str">
        <x:v>PTM</x:v>
      </x:c>
      <x:c r="B850" t="str">
        <x:v>NMOS</x:v>
      </x:c>
      <x:c r="C850" s="97" t="n">
        <x:v>45</x:v>
      </x:c>
      <x:c r="D850" s="97" t="str">
        <x:v>LP</x:v>
      </x:c>
      <x:c r="E850" s="99" t="n">
        <x:v>1</x:v>
      </x:c>
      <x:c r="F850" s="99" t="n">
        <x:v>0.045</x:v>
      </x:c>
      <x:c r="G850" s="99" t="n">
        <x:v>25</x:v>
      </x:c>
      <x:c r="H850" s="99" t="n">
        <x:v>1.1</x:v>
      </x:c>
      <x:c r="I850" s="99" t="n">
        <x:v>0.3250000000000003</x:v>
      </x:c>
      <x:c r="J850" s="98" t="n">
        <x:v>1.220146006110537e-7</x:v>
      </x:c>
      <x:c r="K850" t="str">
        <x:v>nominal_vdd</x:v>
      </x:c>
      <x:c r="L850" t="str">
        <x:v>model_nominal_vdd</x:v>
      </x:c>
      <x:c r="M850" t="n">
        <x:v>1.1</x:v>
      </x:c>
      <x:c r="N850" t="str">
        <x:v>simulation</x:v>
      </x:c>
      <x:c r="O850" t="str">
        <x:v>ngspice</x:v>
      </x:c>
      <x:c r="P850" t="str">
        <x:v>397141eb8a813045075ac2be3098d3b136ebaf4d597c08fca627922a75e443b7</x:v>
      </x:c>
      <x:c r="Q850" t="str">
        <x:v>data/raw/ptm45_lp_vds_1p1v_raw.txt</x:v>
      </x:c>
    </x:row>
    <x:row r="851">
      <x:c r="A851" t="str">
        <x:v>PTM</x:v>
      </x:c>
      <x:c r="B851" t="str">
        <x:v>NMOS</x:v>
      </x:c>
      <x:c r="C851" s="97" t="n">
        <x:v>45</x:v>
      </x:c>
      <x:c r="D851" s="97" t="str">
        <x:v>LP</x:v>
      </x:c>
      <x:c r="E851" s="99" t="n">
        <x:v>1</x:v>
      </x:c>
      <x:c r="F851" s="99" t="n">
        <x:v>0.045</x:v>
      </x:c>
      <x:c r="G851" s="99" t="n">
        <x:v>25</x:v>
      </x:c>
      <x:c r="H851" s="99" t="n">
        <x:v>1.1</x:v>
      </x:c>
      <x:c r="I851" s="99" t="n">
        <x:v>0.3300000000000003</x:v>
      </x:c>
      <x:c r="J851" s="98" t="n">
        <x:v>1.380549820437588e-7</x:v>
      </x:c>
      <x:c r="K851" t="str">
        <x:v>nominal_vdd</x:v>
      </x:c>
      <x:c r="L851" t="str">
        <x:v>model_nominal_vdd</x:v>
      </x:c>
      <x:c r="M851" t="n">
        <x:v>1.1</x:v>
      </x:c>
      <x:c r="N851" t="str">
        <x:v>simulation</x:v>
      </x:c>
      <x:c r="O851" t="str">
        <x:v>ngspice</x:v>
      </x:c>
      <x:c r="P851" t="str">
        <x:v>397141eb8a813045075ac2be3098d3b136ebaf4d597c08fca627922a75e443b7</x:v>
      </x:c>
      <x:c r="Q851" t="str">
        <x:v>data/raw/ptm45_lp_vds_1p1v_raw.txt</x:v>
      </x:c>
    </x:row>
    <x:row r="852">
      <x:c r="A852" t="str">
        <x:v>PTM</x:v>
      </x:c>
      <x:c r="B852" t="str">
        <x:v>NMOS</x:v>
      </x:c>
      <x:c r="C852" s="97" t="n">
        <x:v>45</x:v>
      </x:c>
      <x:c r="D852" s="97" t="str">
        <x:v>LP</x:v>
      </x:c>
      <x:c r="E852" s="99" t="n">
        <x:v>1</x:v>
      </x:c>
      <x:c r="F852" s="99" t="n">
        <x:v>0.045</x:v>
      </x:c>
      <x:c r="G852" s="99" t="n">
        <x:v>25</x:v>
      </x:c>
      <x:c r="H852" s="99" t="n">
        <x:v>1.1</x:v>
      </x:c>
      <x:c r="I852" s="99" t="n">
        <x:v>0.3350000000000003</x:v>
      </x:c>
      <x:c r="J852" s="98" t="n">
        <x:v>1.561206219304292e-7</x:v>
      </x:c>
      <x:c r="K852" t="str">
        <x:v>nominal_vdd</x:v>
      </x:c>
      <x:c r="L852" t="str">
        <x:v>model_nominal_vdd</x:v>
      </x:c>
      <x:c r="M852" t="n">
        <x:v>1.1</x:v>
      </x:c>
      <x:c r="N852" t="str">
        <x:v>simulation</x:v>
      </x:c>
      <x:c r="O852" t="str">
        <x:v>ngspice</x:v>
      </x:c>
      <x:c r="P852" t="str">
        <x:v>397141eb8a813045075ac2be3098d3b136ebaf4d597c08fca627922a75e443b7</x:v>
      </x:c>
      <x:c r="Q852" t="str">
        <x:v>data/raw/ptm45_lp_vds_1p1v_raw.txt</x:v>
      </x:c>
    </x:row>
    <x:row r="853">
      <x:c r="A853" t="str">
        <x:v>PTM</x:v>
      </x:c>
      <x:c r="B853" t="str">
        <x:v>NMOS</x:v>
      </x:c>
      <x:c r="C853" s="97" t="n">
        <x:v>45</x:v>
      </x:c>
      <x:c r="D853" s="97" t="str">
        <x:v>LP</x:v>
      </x:c>
      <x:c r="E853" s="99" t="n">
        <x:v>1</x:v>
      </x:c>
      <x:c r="F853" s="99" t="n">
        <x:v>0.045</x:v>
      </x:c>
      <x:c r="G853" s="99" t="n">
        <x:v>25</x:v>
      </x:c>
      <x:c r="H853" s="99" t="n">
        <x:v>1.1</x:v>
      </x:c>
      <x:c r="I853" s="99" t="n">
        <x:v>0.3400000000000003</x:v>
      </x:c>
      <x:c r="J853" s="98" t="n">
        <x:v>1.764524636356855e-7</x:v>
      </x:c>
      <x:c r="K853" t="str">
        <x:v>nominal_vdd</x:v>
      </x:c>
      <x:c r="L853" t="str">
        <x:v>model_nominal_vdd</x:v>
      </x:c>
      <x:c r="M853" t="n">
        <x:v>1.1</x:v>
      </x:c>
      <x:c r="N853" t="str">
        <x:v>simulation</x:v>
      </x:c>
      <x:c r="O853" t="str">
        <x:v>ngspice</x:v>
      </x:c>
      <x:c r="P853" t="str">
        <x:v>397141eb8a813045075ac2be3098d3b136ebaf4d597c08fca627922a75e443b7</x:v>
      </x:c>
      <x:c r="Q853" t="str">
        <x:v>data/raw/ptm45_lp_vds_1p1v_raw.txt</x:v>
      </x:c>
    </x:row>
    <x:row r="854">
      <x:c r="A854" t="str">
        <x:v>PTM</x:v>
      </x:c>
      <x:c r="B854" t="str">
        <x:v>NMOS</x:v>
      </x:c>
      <x:c r="C854" s="97" t="n">
        <x:v>45</x:v>
      </x:c>
      <x:c r="D854" s="97" t="str">
        <x:v>LP</x:v>
      </x:c>
      <x:c r="E854" s="99" t="n">
        <x:v>1</x:v>
      </x:c>
      <x:c r="F854" s="99" t="n">
        <x:v>0.045</x:v>
      </x:c>
      <x:c r="G854" s="99" t="n">
        <x:v>25</x:v>
      </x:c>
      <x:c r="H854" s="99" t="n">
        <x:v>1.1</x:v>
      </x:c>
      <x:c r="I854" s="99" t="n">
        <x:v>0.3450000000000003</x:v>
      </x:c>
      <x:c r="J854" s="98" t="n">
        <x:v>1.99317703873378e-7</x:v>
      </x:c>
      <x:c r="K854" t="str">
        <x:v>nominal_vdd</x:v>
      </x:c>
      <x:c r="L854" t="str">
        <x:v>model_nominal_vdd</x:v>
      </x:c>
      <x:c r="M854" t="n">
        <x:v>1.1</x:v>
      </x:c>
      <x:c r="N854" t="str">
        <x:v>simulation</x:v>
      </x:c>
      <x:c r="O854" t="str">
        <x:v>ngspice</x:v>
      </x:c>
      <x:c r="P854" t="str">
        <x:v>397141eb8a813045075ac2be3098d3b136ebaf4d597c08fca627922a75e443b7</x:v>
      </x:c>
      <x:c r="Q854" t="str">
        <x:v>data/raw/ptm45_lp_vds_1p1v_raw.txt</x:v>
      </x:c>
    </x:row>
    <x:row r="855">
      <x:c r="A855" t="str">
        <x:v>PTM</x:v>
      </x:c>
      <x:c r="B855" t="str">
        <x:v>NMOS</x:v>
      </x:c>
      <x:c r="C855" s="97" t="n">
        <x:v>45</x:v>
      </x:c>
      <x:c r="D855" s="97" t="str">
        <x:v>LP</x:v>
      </x:c>
      <x:c r="E855" s="99" t="n">
        <x:v>1</x:v>
      </x:c>
      <x:c r="F855" s="99" t="n">
        <x:v>0.045</x:v>
      </x:c>
      <x:c r="G855" s="99" t="n">
        <x:v>25</x:v>
      </x:c>
      <x:c r="H855" s="99" t="n">
        <x:v>1.1</x:v>
      </x:c>
      <x:c r="I855" s="99" t="n">
        <x:v>0.3500000000000003</x:v>
      </x:c>
      <x:c r="J855" s="98" t="n">
        <x:v>2.250123004987949e-7</x:v>
      </x:c>
      <x:c r="K855" t="str">
        <x:v>nominal_vdd</x:v>
      </x:c>
      <x:c r="L855" t="str">
        <x:v>model_nominal_vdd</x:v>
      </x:c>
      <x:c r="M855" t="n">
        <x:v>1.1</x:v>
      </x:c>
      <x:c r="N855" t="str">
        <x:v>simulation</x:v>
      </x:c>
      <x:c r="O855" t="str">
        <x:v>ngspice</x:v>
      </x:c>
      <x:c r="P855" t="str">
        <x:v>397141eb8a813045075ac2be3098d3b136ebaf4d597c08fca627922a75e443b7</x:v>
      </x:c>
      <x:c r="Q855" t="str">
        <x:v>data/raw/ptm45_lp_vds_1p1v_raw.txt</x:v>
      </x:c>
    </x:row>
    <x:row r="856">
      <x:c r="A856" t="str">
        <x:v>PTM</x:v>
      </x:c>
      <x:c r="B856" t="str">
        <x:v>NMOS</x:v>
      </x:c>
      <x:c r="C856" s="97" t="n">
        <x:v>45</x:v>
      </x:c>
      <x:c r="D856" s="97" t="str">
        <x:v>LP</x:v>
      </x:c>
      <x:c r="E856" s="99" t="n">
        <x:v>1</x:v>
      </x:c>
      <x:c r="F856" s="99" t="n">
        <x:v>0.045</x:v>
      </x:c>
      <x:c r="G856" s="99" t="n">
        <x:v>25</x:v>
      </x:c>
      <x:c r="H856" s="99" t="n">
        <x:v>1.1</x:v>
      </x:c>
      <x:c r="I856" s="99" t="n">
        <x:v>0.3550000000000003</x:v>
      </x:c>
      <x:c r="J856" s="98" t="n">
        <x:v>2.538636675069257e-7</x:v>
      </x:c>
      <x:c r="K856" t="str">
        <x:v>nominal_vdd</x:v>
      </x:c>
      <x:c r="L856" t="str">
        <x:v>model_nominal_vdd</x:v>
      </x:c>
      <x:c r="M856" t="n">
        <x:v>1.1</x:v>
      </x:c>
      <x:c r="N856" t="str">
        <x:v>simulation</x:v>
      </x:c>
      <x:c r="O856" t="str">
        <x:v>ngspice</x:v>
      </x:c>
      <x:c r="P856" t="str">
        <x:v>397141eb8a813045075ac2be3098d3b136ebaf4d597c08fca627922a75e443b7</x:v>
      </x:c>
      <x:c r="Q856" t="str">
        <x:v>data/raw/ptm45_lp_vds_1p1v_raw.txt</x:v>
      </x:c>
    </x:row>
    <x:row r="857">
      <x:c r="A857" t="str">
        <x:v>PTM</x:v>
      </x:c>
      <x:c r="B857" t="str">
        <x:v>NMOS</x:v>
      </x:c>
      <x:c r="C857" s="97" t="n">
        <x:v>45</x:v>
      </x:c>
      <x:c r="D857" s="97" t="str">
        <x:v>LP</x:v>
      </x:c>
      <x:c r="E857" s="99" t="n">
        <x:v>1</x:v>
      </x:c>
      <x:c r="F857" s="99" t="n">
        <x:v>0.045</x:v>
      </x:c>
      <x:c r="G857" s="99" t="n">
        <x:v>25</x:v>
      </x:c>
      <x:c r="H857" s="99" t="n">
        <x:v>1.1</x:v>
      </x:c>
      <x:c r="I857" s="99" t="n">
        <x:v>0.3600000000000003</x:v>
      </x:c>
      <x:c r="J857" s="98" t="n">
        <x:v>2.862336325723942e-7</x:v>
      </x:c>
      <x:c r="K857" t="str">
        <x:v>nominal_vdd</x:v>
      </x:c>
      <x:c r="L857" t="str">
        <x:v>model_nominal_vdd</x:v>
      </x:c>
      <x:c r="M857" t="n">
        <x:v>1.1</x:v>
      </x:c>
      <x:c r="N857" t="str">
        <x:v>simulation</x:v>
      </x:c>
      <x:c r="O857" t="str">
        <x:v>ngspice</x:v>
      </x:c>
      <x:c r="P857" t="str">
        <x:v>397141eb8a813045075ac2be3098d3b136ebaf4d597c08fca627922a75e443b7</x:v>
      </x:c>
      <x:c r="Q857" t="str">
        <x:v>data/raw/ptm45_lp_vds_1p1v_raw.txt</x:v>
      </x:c>
    </x:row>
    <x:row r="858">
      <x:c r="A858" t="str">
        <x:v>PTM</x:v>
      </x:c>
      <x:c r="B858" t="str">
        <x:v>NMOS</x:v>
      </x:c>
      <x:c r="C858" s="97" t="n">
        <x:v>45</x:v>
      </x:c>
      <x:c r="D858" s="97" t="str">
        <x:v>LP</x:v>
      </x:c>
      <x:c r="E858" s="99" t="n">
        <x:v>1</x:v>
      </x:c>
      <x:c r="F858" s="99" t="n">
        <x:v>0.045</x:v>
      </x:c>
      <x:c r="G858" s="99" t="n">
        <x:v>25</x:v>
      </x:c>
      <x:c r="H858" s="99" t="n">
        <x:v>1.1</x:v>
      </x:c>
      <x:c r="I858" s="99" t="n">
        <x:v>0.3650000000000003</x:v>
      </x:c>
      <x:c r="J858" s="98" t="n">
        <x:v>3.225215767858622e-7</x:v>
      </x:c>
      <x:c r="K858" t="str">
        <x:v>nominal_vdd</x:v>
      </x:c>
      <x:c r="L858" t="str">
        <x:v>model_nominal_vdd</x:v>
      </x:c>
      <x:c r="M858" t="n">
        <x:v>1.1</x:v>
      </x:c>
      <x:c r="N858" t="str">
        <x:v>simulation</x:v>
      </x:c>
      <x:c r="O858" t="str">
        <x:v>ngspice</x:v>
      </x:c>
      <x:c r="P858" t="str">
        <x:v>397141eb8a813045075ac2be3098d3b136ebaf4d597c08fca627922a75e443b7</x:v>
      </x:c>
      <x:c r="Q858" t="str">
        <x:v>data/raw/ptm45_lp_vds_1p1v_raw.txt</x:v>
      </x:c>
    </x:row>
    <x:row r="859">
      <x:c r="A859" t="str">
        <x:v>PTM</x:v>
      </x:c>
      <x:c r="B859" t="str">
        <x:v>NMOS</x:v>
      </x:c>
      <x:c r="C859" s="97" t="n">
        <x:v>45</x:v>
      </x:c>
      <x:c r="D859" s="97" t="str">
        <x:v>LP</x:v>
      </x:c>
      <x:c r="E859" s="99" t="n">
        <x:v>1</x:v>
      </x:c>
      <x:c r="F859" s="99" t="n">
        <x:v>0.045</x:v>
      </x:c>
      <x:c r="G859" s="99" t="n">
        <x:v>25</x:v>
      </x:c>
      <x:c r="H859" s="99" t="n">
        <x:v>1.1</x:v>
      </x:c>
      <x:c r="I859" s="99" t="n">
        <x:v>0.3700000000000003</x:v>
      </x:c>
      <x:c r="J859" s="98" t="n">
        <x:v>3.631678240515039e-7</x:v>
      </x:c>
      <x:c r="K859" t="str">
        <x:v>nominal_vdd</x:v>
      </x:c>
      <x:c r="L859" t="str">
        <x:v>model_nominal_vdd</x:v>
      </x:c>
      <x:c r="M859" t="n">
        <x:v>1.1</x:v>
      </x:c>
      <x:c r="N859" t="str">
        <x:v>simulation</x:v>
      </x:c>
      <x:c r="O859" t="str">
        <x:v>ngspice</x:v>
      </x:c>
      <x:c r="P859" t="str">
        <x:v>397141eb8a813045075ac2be3098d3b136ebaf4d597c08fca627922a75e443b7</x:v>
      </x:c>
      <x:c r="Q859" t="str">
        <x:v>data/raw/ptm45_lp_vds_1p1v_raw.txt</x:v>
      </x:c>
    </x:row>
    <x:row r="860">
      <x:c r="A860" t="str">
        <x:v>PTM</x:v>
      </x:c>
      <x:c r="B860" t="str">
        <x:v>NMOS</x:v>
      </x:c>
      <x:c r="C860" s="97" t="n">
        <x:v>45</x:v>
      </x:c>
      <x:c r="D860" s="97" t="str">
        <x:v>LP</x:v>
      </x:c>
      <x:c r="E860" s="99" t="n">
        <x:v>1</x:v>
      </x:c>
      <x:c r="F860" s="99" t="n">
        <x:v>0.045</x:v>
      </x:c>
      <x:c r="G860" s="99" t="n">
        <x:v>25</x:v>
      </x:c>
      <x:c r="H860" s="99" t="n">
        <x:v>1.1</x:v>
      </x:c>
      <x:c r="I860" s="99" t="n">
        <x:v>0.3750000000000003</x:v>
      </x:c>
      <x:c r="J860" s="98" t="n">
        <x:v>4.08657289461529e-7</x:v>
      </x:c>
      <x:c r="K860" t="str">
        <x:v>nominal_vdd</x:v>
      </x:c>
      <x:c r="L860" t="str">
        <x:v>model_nominal_vdd</x:v>
      </x:c>
      <x:c r="M860" t="n">
        <x:v>1.1</x:v>
      </x:c>
      <x:c r="N860" t="str">
        <x:v>simulation</x:v>
      </x:c>
      <x:c r="O860" t="str">
        <x:v>ngspice</x:v>
      </x:c>
      <x:c r="P860" t="str">
        <x:v>397141eb8a813045075ac2be3098d3b136ebaf4d597c08fca627922a75e443b7</x:v>
      </x:c>
      <x:c r="Q860" t="str">
        <x:v>data/raw/ptm45_lp_vds_1p1v_raw.txt</x:v>
      </x:c>
    </x:row>
    <x:row r="861">
      <x:c r="A861" t="str">
        <x:v>PTM</x:v>
      </x:c>
      <x:c r="B861" t="str">
        <x:v>NMOS</x:v>
      </x:c>
      <x:c r="C861" s="97" t="n">
        <x:v>45</x:v>
      </x:c>
      <x:c r="D861" s="97" t="str">
        <x:v>LP</x:v>
      </x:c>
      <x:c r="E861" s="99" t="n">
        <x:v>1</x:v>
      </x:c>
      <x:c r="F861" s="99" t="n">
        <x:v>0.045</x:v>
      </x:c>
      <x:c r="G861" s="99" t="n">
        <x:v>25</x:v>
      </x:c>
      <x:c r="H861" s="99" t="n">
        <x:v>1.1</x:v>
      </x:c>
      <x:c r="I861" s="99" t="n">
        <x:v>0.3800000000000003</x:v>
      </x:c>
      <x:c r="J861" s="98" t="n">
        <x:v>4.595233998871019e-7</x:v>
      </x:c>
      <x:c r="K861" t="str">
        <x:v>nominal_vdd</x:v>
      </x:c>
      <x:c r="L861" t="str">
        <x:v>model_nominal_vdd</x:v>
      </x:c>
      <x:c r="M861" t="n">
        <x:v>1.1</x:v>
      </x:c>
      <x:c r="N861" t="str">
        <x:v>simulation</x:v>
      </x:c>
      <x:c r="O861" t="str">
        <x:v>ngspice</x:v>
      </x:c>
      <x:c r="P861" t="str">
        <x:v>397141eb8a813045075ac2be3098d3b136ebaf4d597c08fca627922a75e443b7</x:v>
      </x:c>
      <x:c r="Q861" t="str">
        <x:v>data/raw/ptm45_lp_vds_1p1v_raw.txt</x:v>
      </x:c>
    </x:row>
    <x:row r="862">
      <x:c r="A862" t="str">
        <x:v>PTM</x:v>
      </x:c>
      <x:c r="B862" t="str">
        <x:v>NMOS</x:v>
      </x:c>
      <x:c r="C862" s="97" t="n">
        <x:v>45</x:v>
      </x:c>
      <x:c r="D862" s="97" t="str">
        <x:v>LP</x:v>
      </x:c>
      <x:c r="E862" s="99" t="n">
        <x:v>1</x:v>
      </x:c>
      <x:c r="F862" s="99" t="n">
        <x:v>0.045</x:v>
      </x:c>
      <x:c r="G862" s="99" t="n">
        <x:v>25</x:v>
      </x:c>
      <x:c r="H862" s="99" t="n">
        <x:v>1.1</x:v>
      </x:c>
      <x:c r="I862" s="99" t="n">
        <x:v>0.3850000000000003</x:v>
      </x:c>
      <x:c r="J862" s="98" t="n">
        <x:v>5.163523026853494e-7</x:v>
      </x:c>
      <x:c r="K862" t="str">
        <x:v>nominal_vdd</x:v>
      </x:c>
      <x:c r="L862" t="str">
        <x:v>model_nominal_vdd</x:v>
      </x:c>
      <x:c r="M862" t="n">
        <x:v>1.1</x:v>
      </x:c>
      <x:c r="N862" t="str">
        <x:v>simulation</x:v>
      </x:c>
      <x:c r="O862" t="str">
        <x:v>ngspice</x:v>
      </x:c>
      <x:c r="P862" t="str">
        <x:v>397141eb8a813045075ac2be3098d3b136ebaf4d597c08fca627922a75e443b7</x:v>
      </x:c>
      <x:c r="Q862" t="str">
        <x:v>data/raw/ptm45_lp_vds_1p1v_raw.txt</x:v>
      </x:c>
    </x:row>
    <x:row r="863">
      <x:c r="A863" t="str">
        <x:v>PTM</x:v>
      </x:c>
      <x:c r="B863" t="str">
        <x:v>NMOS</x:v>
      </x:c>
      <x:c r="C863" s="97" t="n">
        <x:v>45</x:v>
      </x:c>
      <x:c r="D863" s="97" t="str">
        <x:v>LP</x:v>
      </x:c>
      <x:c r="E863" s="99" t="n">
        <x:v>1</x:v>
      </x:c>
      <x:c r="F863" s="99" t="n">
        <x:v>0.045</x:v>
      </x:c>
      <x:c r="G863" s="99" t="n">
        <x:v>25</x:v>
      </x:c>
      <x:c r="H863" s="99" t="n">
        <x:v>1.1</x:v>
      </x:c>
      <x:c r="I863" s="99" t="n">
        <x:v>0.3900000000000003</x:v>
      </x:c>
      <x:c r="J863" s="98" t="n">
        <x:v>5.797873779366287e-7</x:v>
      </x:c>
      <x:c r="K863" t="str">
        <x:v>nominal_vdd</x:v>
      </x:c>
      <x:c r="L863" t="str">
        <x:v>model_nominal_vdd</x:v>
      </x:c>
      <x:c r="M863" t="n">
        <x:v>1.1</x:v>
      </x:c>
      <x:c r="N863" t="str">
        <x:v>simulation</x:v>
      </x:c>
      <x:c r="O863" t="str">
        <x:v>ngspice</x:v>
      </x:c>
      <x:c r="P863" t="str">
        <x:v>397141eb8a813045075ac2be3098d3b136ebaf4d597c08fca627922a75e443b7</x:v>
      </x:c>
      <x:c r="Q863" t="str">
        <x:v>data/raw/ptm45_lp_vds_1p1v_raw.txt</x:v>
      </x:c>
    </x:row>
    <x:row r="864">
      <x:c r="A864" t="str">
        <x:v>PTM</x:v>
      </x:c>
      <x:c r="B864" t="str">
        <x:v>NMOS</x:v>
      </x:c>
      <x:c r="C864" s="97" t="n">
        <x:v>45</x:v>
      </x:c>
      <x:c r="D864" s="97" t="str">
        <x:v>LP</x:v>
      </x:c>
      <x:c r="E864" s="99" t="n">
        <x:v>1</x:v>
      </x:c>
      <x:c r="F864" s="99" t="n">
        <x:v>0.045</x:v>
      </x:c>
      <x:c r="G864" s="99" t="n">
        <x:v>25</x:v>
      </x:c>
      <x:c r="H864" s="99" t="n">
        <x:v>1.1</x:v>
      </x:c>
      <x:c r="I864" s="99" t="n">
        <x:v>0.3950000000000004</x:v>
      </x:c>
      <x:c r="J864" s="98" t="n">
        <x:v>6.505340683060344e-7</x:v>
      </x:c>
      <x:c r="K864" t="str">
        <x:v>nominal_vdd</x:v>
      </x:c>
      <x:c r="L864" t="str">
        <x:v>model_nominal_vdd</x:v>
      </x:c>
      <x:c r="M864" t="n">
        <x:v>1.1</x:v>
      </x:c>
      <x:c r="N864" t="str">
        <x:v>simulation</x:v>
      </x:c>
      <x:c r="O864" t="str">
        <x:v>ngspice</x:v>
      </x:c>
      <x:c r="P864" t="str">
        <x:v>397141eb8a813045075ac2be3098d3b136ebaf4d597c08fca627922a75e443b7</x:v>
      </x:c>
      <x:c r="Q864" t="str">
        <x:v>data/raw/ptm45_lp_vds_1p1v_raw.txt</x:v>
      </x:c>
    </x:row>
    <x:row r="865">
      <x:c r="A865" t="str">
        <x:v>PTM</x:v>
      </x:c>
      <x:c r="B865" t="str">
        <x:v>NMOS</x:v>
      </x:c>
      <x:c r="C865" s="97" t="n">
        <x:v>45</x:v>
      </x:c>
      <x:c r="D865" s="97" t="str">
        <x:v>LP</x:v>
      </x:c>
      <x:c r="E865" s="99" t="n">
        <x:v>1</x:v>
      </x:c>
      <x:c r="F865" s="99" t="n">
        <x:v>0.045</x:v>
      </x:c>
      <x:c r="G865" s="99" t="n">
        <x:v>25</x:v>
      </x:c>
      <x:c r="H865" s="99" t="n">
        <x:v>1.1</x:v>
      </x:c>
      <x:c r="I865" s="99" t="n">
        <x:v>0.4000000000000004</x:v>
      </x:c>
      <x:c r="J865" s="98" t="n">
        <x:v>7.293650381677136e-7</x:v>
      </x:c>
      <x:c r="K865" t="str">
        <x:v>nominal_vdd</x:v>
      </x:c>
      <x:c r="L865" t="str">
        <x:v>model_nominal_vdd</x:v>
      </x:c>
      <x:c r="M865" t="n">
        <x:v>1.1</x:v>
      </x:c>
      <x:c r="N865" t="str">
        <x:v>simulation</x:v>
      </x:c>
      <x:c r="O865" t="str">
        <x:v>ngspice</x:v>
      </x:c>
      <x:c r="P865" t="str">
        <x:v>397141eb8a813045075ac2be3098d3b136ebaf4d597c08fca627922a75e443b7</x:v>
      </x:c>
      <x:c r="Q865" t="str">
        <x:v>data/raw/ptm45_lp_vds_1p1v_raw.txt</x:v>
      </x:c>
    </x:row>
    <x:row r="866">
      <x:c r="A866" t="str">
        <x:v>PTM</x:v>
      </x:c>
      <x:c r="B866" t="str">
        <x:v>NMOS</x:v>
      </x:c>
      <x:c r="C866" s="97" t="n">
        <x:v>45</x:v>
      </x:c>
      <x:c r="D866" s="97" t="str">
        <x:v>LP</x:v>
      </x:c>
      <x:c r="E866" s="99" t="n">
        <x:v>1</x:v>
      </x:c>
      <x:c r="F866" s="99" t="n">
        <x:v>0.045</x:v>
      </x:c>
      <x:c r="G866" s="99" t="n">
        <x:v>25</x:v>
      </x:c>
      <x:c r="H866" s="99" t="n">
        <x:v>1.1</x:v>
      </x:c>
      <x:c r="I866" s="99" t="n">
        <x:v>0.4050000000000004</x:v>
      </x:c>
      <x:c r="J866" s="98" t="n">
        <x:v>8.171256697025714e-7</x:v>
      </x:c>
      <x:c r="K866" t="str">
        <x:v>nominal_vdd</x:v>
      </x:c>
      <x:c r="L866" t="str">
        <x:v>model_nominal_vdd</x:v>
      </x:c>
      <x:c r="M866" t="n">
        <x:v>1.1</x:v>
      </x:c>
      <x:c r="N866" t="str">
        <x:v>simulation</x:v>
      </x:c>
      <x:c r="O866" t="str">
        <x:v>ngspice</x:v>
      </x:c>
      <x:c r="P866" t="str">
        <x:v>397141eb8a813045075ac2be3098d3b136ebaf4d597c08fca627922a75e443b7</x:v>
      </x:c>
      <x:c r="Q866" t="str">
        <x:v>data/raw/ptm45_lp_vds_1p1v_raw.txt</x:v>
      </x:c>
    </x:row>
    <x:row r="867">
      <x:c r="A867" t="str">
        <x:v>PTM</x:v>
      </x:c>
      <x:c r="B867" t="str">
        <x:v>NMOS</x:v>
      </x:c>
      <x:c r="C867" s="97" t="n">
        <x:v>45</x:v>
      </x:c>
      <x:c r="D867" s="97" t="str">
        <x:v>LP</x:v>
      </x:c>
      <x:c r="E867" s="99" t="n">
        <x:v>1</x:v>
      </x:c>
      <x:c r="F867" s="99" t="n">
        <x:v>0.045</x:v>
      </x:c>
      <x:c r="G867" s="99" t="n">
        <x:v>25</x:v>
      </x:c>
      <x:c r="H867" s="99" t="n">
        <x:v>1.1</x:v>
      </x:c>
      <x:c r="I867" s="99" t="n">
        <x:v>0.4100000000000004</x:v>
      </x:c>
      <x:c r="J867" s="98" t="n">
        <x:v>9.147398979045959e-7</x:v>
      </x:c>
      <x:c r="K867" t="str">
        <x:v>nominal_vdd</x:v>
      </x:c>
      <x:c r="L867" t="str">
        <x:v>model_nominal_vdd</x:v>
      </x:c>
      <x:c r="M867" t="n">
        <x:v>1.1</x:v>
      </x:c>
      <x:c r="N867" t="str">
        <x:v>simulation</x:v>
      </x:c>
      <x:c r="O867" t="str">
        <x:v>ngspice</x:v>
      </x:c>
      <x:c r="P867" t="str">
        <x:v>397141eb8a813045075ac2be3098d3b136ebaf4d597c08fca627922a75e443b7</x:v>
      </x:c>
      <x:c r="Q867" t="str">
        <x:v>data/raw/ptm45_lp_vds_1p1v_raw.txt</x:v>
      </x:c>
    </x:row>
    <x:row r="868">
      <x:c r="A868" t="str">
        <x:v>PTM</x:v>
      </x:c>
      <x:c r="B868" t="str">
        <x:v>NMOS</x:v>
      </x:c>
      <x:c r="C868" s="97" t="n">
        <x:v>45</x:v>
      </x:c>
      <x:c r="D868" s="97" t="str">
        <x:v>LP</x:v>
      </x:c>
      <x:c r="E868" s="99" t="n">
        <x:v>1</x:v>
      </x:c>
      <x:c r="F868" s="99" t="n">
        <x:v>0.045</x:v>
      </x:c>
      <x:c r="G868" s="99" t="n">
        <x:v>25</x:v>
      </x:c>
      <x:c r="H868" s="99" t="n">
        <x:v>1.1</x:v>
      </x:c>
      <x:c r="I868" s="99" t="n">
        <x:v>0.4150000000000004</x:v>
      </x:c>
      <x:c r="J868" s="98" t="n">
        <x:v>0.000001023216378427474</x:v>
      </x:c>
      <x:c r="K868" t="str">
        <x:v>nominal_vdd</x:v>
      </x:c>
      <x:c r="L868" t="str">
        <x:v>model_nominal_vdd</x:v>
      </x:c>
      <x:c r="M868" t="n">
        <x:v>1.1</x:v>
      </x:c>
      <x:c r="N868" t="str">
        <x:v>simulation</x:v>
      </x:c>
      <x:c r="O868" t="str">
        <x:v>ngspice</x:v>
      </x:c>
      <x:c r="P868" t="str">
        <x:v>397141eb8a813045075ac2be3098d3b136ebaf4d597c08fca627922a75e443b7</x:v>
      </x:c>
      <x:c r="Q868" t="str">
        <x:v>data/raw/ptm45_lp_vds_1p1v_raw.txt</x:v>
      </x:c>
    </x:row>
    <x:row r="869">
      <x:c r="A869" t="str">
        <x:v>PTM</x:v>
      </x:c>
      <x:c r="B869" t="str">
        <x:v>NMOS</x:v>
      </x:c>
      <x:c r="C869" s="97" t="n">
        <x:v>45</x:v>
      </x:c>
      <x:c r="D869" s="97" t="str">
        <x:v>LP</x:v>
      </x:c>
      <x:c r="E869" s="99" t="n">
        <x:v>1</x:v>
      </x:c>
      <x:c r="F869" s="99" t="n">
        <x:v>0.045</x:v>
      </x:c>
      <x:c r="G869" s="99" t="n">
        <x:v>25</x:v>
      </x:c>
      <x:c r="H869" s="99" t="n">
        <x:v>1.1</x:v>
      </x:c>
      <x:c r="I869" s="99" t="n">
        <x:v>0.4200000000000004</x:v>
      </x:c>
      <x:c r="J869" s="98" t="n">
        <x:v>0.000001143654971591668</x:v>
      </x:c>
      <x:c r="K869" t="str">
        <x:v>nominal_vdd</x:v>
      </x:c>
      <x:c r="L869" t="str">
        <x:v>model_nominal_vdd</x:v>
      </x:c>
      <x:c r="M869" t="n">
        <x:v>1.1</x:v>
      </x:c>
      <x:c r="N869" t="str">
        <x:v>simulation</x:v>
      </x:c>
      <x:c r="O869" t="str">
        <x:v>ngspice</x:v>
      </x:c>
      <x:c r="P869" t="str">
        <x:v>397141eb8a813045075ac2be3098d3b136ebaf4d597c08fca627922a75e443b7</x:v>
      </x:c>
      <x:c r="Q869" t="str">
        <x:v>data/raw/ptm45_lp_vds_1p1v_raw.txt</x:v>
      </x:c>
    </x:row>
    <x:row r="870">
      <x:c r="A870" t="str">
        <x:v>PTM</x:v>
      </x:c>
      <x:c r="B870" t="str">
        <x:v>NMOS</x:v>
      </x:c>
      <x:c r="C870" s="97" t="n">
        <x:v>45</x:v>
      </x:c>
      <x:c r="D870" s="97" t="str">
        <x:v>LP</x:v>
      </x:c>
      <x:c r="E870" s="99" t="n">
        <x:v>1</x:v>
      </x:c>
      <x:c r="F870" s="99" t="n">
        <x:v>0.045</x:v>
      </x:c>
      <x:c r="G870" s="99" t="n">
        <x:v>25</x:v>
      </x:c>
      <x:c r="H870" s="99" t="n">
        <x:v>1.1</x:v>
      </x:c>
      <x:c r="I870" s="99" t="n">
        <x:v>0.4250000000000004</x:v>
      </x:c>
      <x:c r="J870" s="98" t="n">
        <x:v>0.000001277253512324472</x:v>
      </x:c>
      <x:c r="K870" t="str">
        <x:v>nominal_vdd</x:v>
      </x:c>
      <x:c r="L870" t="str">
        <x:v>model_nominal_vdd</x:v>
      </x:c>
      <x:c r="M870" t="n">
        <x:v>1.1</x:v>
      </x:c>
      <x:c r="N870" t="str">
        <x:v>simulation</x:v>
      </x:c>
      <x:c r="O870" t="str">
        <x:v>ngspice</x:v>
      </x:c>
      <x:c r="P870" t="str">
        <x:v>397141eb8a813045075ac2be3098d3b136ebaf4d597c08fca627922a75e443b7</x:v>
      </x:c>
      <x:c r="Q870" t="str">
        <x:v>data/raw/ptm45_lp_vds_1p1v_raw.txt</x:v>
      </x:c>
    </x:row>
    <x:row r="871">
      <x:c r="A871" t="str">
        <x:v>PTM</x:v>
      </x:c>
      <x:c r="B871" t="str">
        <x:v>NMOS</x:v>
      </x:c>
      <x:c r="C871" s="97" t="n">
        <x:v>45</x:v>
      </x:c>
      <x:c r="D871" s="97" t="str">
        <x:v>LP</x:v>
      </x:c>
      <x:c r="E871" s="99" t="n">
        <x:v>1</x:v>
      </x:c>
      <x:c r="F871" s="99" t="n">
        <x:v>0.045</x:v>
      </x:c>
      <x:c r="G871" s="99" t="n">
        <x:v>25</x:v>
      </x:c>
      <x:c r="H871" s="99" t="n">
        <x:v>1.1</x:v>
      </x:c>
      <x:c r="I871" s="99" t="n">
        <x:v>0.4300000000000004</x:v>
      </x:c>
      <x:c r="J871" s="98" t="n">
        <x:v>0.000001425314819067123</x:v>
      </x:c>
      <x:c r="K871" t="str">
        <x:v>nominal_vdd</x:v>
      </x:c>
      <x:c r="L871" t="str">
        <x:v>model_nominal_vdd</x:v>
      </x:c>
      <x:c r="M871" t="n">
        <x:v>1.1</x:v>
      </x:c>
      <x:c r="N871" t="str">
        <x:v>simulation</x:v>
      </x:c>
      <x:c r="O871" t="str">
        <x:v>ngspice</x:v>
      </x:c>
      <x:c r="P871" t="str">
        <x:v>397141eb8a813045075ac2be3098d3b136ebaf4d597c08fca627922a75e443b7</x:v>
      </x:c>
      <x:c r="Q871" t="str">
        <x:v>data/raw/ptm45_lp_vds_1p1v_raw.txt</x:v>
      </x:c>
    </x:row>
    <x:row r="872">
      <x:c r="A872" t="str">
        <x:v>PTM</x:v>
      </x:c>
      <x:c r="B872" t="str">
        <x:v>NMOS</x:v>
      </x:c>
      <x:c r="C872" s="97" t="n">
        <x:v>45</x:v>
      </x:c>
      <x:c r="D872" s="97" t="str">
        <x:v>LP</x:v>
      </x:c>
      <x:c r="E872" s="99" t="n">
        <x:v>1</x:v>
      </x:c>
      <x:c r="F872" s="99" t="n">
        <x:v>0.045</x:v>
      </x:c>
      <x:c r="G872" s="99" t="n">
        <x:v>25</x:v>
      </x:c>
      <x:c r="H872" s="99" t="n">
        <x:v>1.1</x:v>
      </x:c>
      <x:c r="I872" s="99" t="n">
        <x:v>0.4350000000000004</x:v>
      </x:c>
      <x:c r="J872" s="98" t="n">
        <x:v>0.000001589253874631965</x:v>
      </x:c>
      <x:c r="K872" t="str">
        <x:v>nominal_vdd</x:v>
      </x:c>
      <x:c r="L872" t="str">
        <x:v>model_nominal_vdd</x:v>
      </x:c>
      <x:c r="M872" t="n">
        <x:v>1.1</x:v>
      </x:c>
      <x:c r="N872" t="str">
        <x:v>simulation</x:v>
      </x:c>
      <x:c r="O872" t="str">
        <x:v>ngspice</x:v>
      </x:c>
      <x:c r="P872" t="str">
        <x:v>397141eb8a813045075ac2be3098d3b136ebaf4d597c08fca627922a75e443b7</x:v>
      </x:c>
      <x:c r="Q872" t="str">
        <x:v>data/raw/ptm45_lp_vds_1p1v_raw.txt</x:v>
      </x:c>
    </x:row>
    <x:row r="873">
      <x:c r="A873" t="str">
        <x:v>PTM</x:v>
      </x:c>
      <x:c r="B873" t="str">
        <x:v>NMOS</x:v>
      </x:c>
      <x:c r="C873" s="97" t="n">
        <x:v>45</x:v>
      </x:c>
      <x:c r="D873" s="97" t="str">
        <x:v>LP</x:v>
      </x:c>
      <x:c r="E873" s="99" t="n">
        <x:v>1</x:v>
      </x:c>
      <x:c r="F873" s="99" t="n">
        <x:v>0.045</x:v>
      </x:c>
      <x:c r="G873" s="99" t="n">
        <x:v>25</x:v>
      </x:c>
      <x:c r="H873" s="99" t="n">
        <x:v>1.1</x:v>
      </x:c>
      <x:c r="I873" s="99" t="n">
        <x:v>0.4400000000000004</x:v>
      </x:c>
      <x:c r="J873" s="98" t="n">
        <x:v>0.000001770605088674123</x:v>
      </x:c>
      <x:c r="K873" t="str">
        <x:v>nominal_vdd</x:v>
      </x:c>
      <x:c r="L873" t="str">
        <x:v>model_nominal_vdd</x:v>
      </x:c>
      <x:c r="M873" t="n">
        <x:v>1.1</x:v>
      </x:c>
      <x:c r="N873" t="str">
        <x:v>simulation</x:v>
      </x:c>
      <x:c r="O873" t="str">
        <x:v>ngspice</x:v>
      </x:c>
      <x:c r="P873" t="str">
        <x:v>397141eb8a813045075ac2be3098d3b136ebaf4d597c08fca627922a75e443b7</x:v>
      </x:c>
      <x:c r="Q873" t="str">
        <x:v>data/raw/ptm45_lp_vds_1p1v_raw.txt</x:v>
      </x:c>
    </x:row>
    <x:row r="874">
      <x:c r="A874" t="str">
        <x:v>PTM</x:v>
      </x:c>
      <x:c r="B874" t="str">
        <x:v>NMOS</x:v>
      </x:c>
      <x:c r="C874" s="97" t="n">
        <x:v>45</x:v>
      </x:c>
      <x:c r="D874" s="97" t="str">
        <x:v>LP</x:v>
      </x:c>
      <x:c r="E874" s="99" t="n">
        <x:v>1</x:v>
      </x:c>
      <x:c r="F874" s="99" t="n">
        <x:v>0.045</x:v>
      </x:c>
      <x:c r="G874" s="99" t="n">
        <x:v>25</x:v>
      </x:c>
      <x:c r="H874" s="99" t="n">
        <x:v>1.1</x:v>
      </x:c>
      <x:c r="I874" s="99" t="n">
        <x:v>0.4450000000000004</x:v>
      </x:c>
      <x:c r="J874" s="98" t="n">
        <x:v>0.000001971029525132079</x:v>
      </x:c>
      <x:c r="K874" t="str">
        <x:v>nominal_vdd</x:v>
      </x:c>
      <x:c r="L874" t="str">
        <x:v>model_nominal_vdd</x:v>
      </x:c>
      <x:c r="M874" t="n">
        <x:v>1.1</x:v>
      </x:c>
      <x:c r="N874" t="str">
        <x:v>simulation</x:v>
      </x:c>
      <x:c r="O874" t="str">
        <x:v>ngspice</x:v>
      </x:c>
      <x:c r="P874" t="str">
        <x:v>397141eb8a813045075ac2be3098d3b136ebaf4d597c08fca627922a75e443b7</x:v>
      </x:c>
      <x:c r="Q874" t="str">
        <x:v>data/raw/ptm45_lp_vds_1p1v_raw.txt</x:v>
      </x:c>
    </x:row>
    <x:row r="875">
      <x:c r="A875" t="str">
        <x:v>PTM</x:v>
      </x:c>
      <x:c r="B875" t="str">
        <x:v>NMOS</x:v>
      </x:c>
      <x:c r="C875" s="97" t="n">
        <x:v>45</x:v>
      </x:c>
      <x:c r="D875" s="97" t="str">
        <x:v>LP</x:v>
      </x:c>
      <x:c r="E875" s="99" t="n">
        <x:v>1</x:v>
      </x:c>
      <x:c r="F875" s="99" t="n">
        <x:v>0.045</x:v>
      </x:c>
      <x:c r="G875" s="99" t="n">
        <x:v>25</x:v>
      </x:c>
      <x:c r="H875" s="99" t="n">
        <x:v>1.1</x:v>
      </x:c>
      <x:c r="I875" s="99" t="n">
        <x:v>0.4500000000000004</x:v>
      </x:c>
      <x:c r="J875" s="98" t="n">
        <x:v>0.000002192321949224396</x:v>
      </x:c>
      <x:c r="K875" t="str">
        <x:v>nominal_vdd</x:v>
      </x:c>
      <x:c r="L875" t="str">
        <x:v>model_nominal_vdd</x:v>
      </x:c>
      <x:c r="M875" t="n">
        <x:v>1.1</x:v>
      </x:c>
      <x:c r="N875" t="str">
        <x:v>simulation</x:v>
      </x:c>
      <x:c r="O875" t="str">
        <x:v>ngspice</x:v>
      </x:c>
      <x:c r="P875" t="str">
        <x:v>397141eb8a813045075ac2be3098d3b136ebaf4d597c08fca627922a75e443b7</x:v>
      </x:c>
      <x:c r="Q875" t="str">
        <x:v>data/raw/ptm45_lp_vds_1p1v_raw.txt</x:v>
      </x:c>
    </x:row>
    <x:row r="876">
      <x:c r="A876" t="str">
        <x:v>PTM</x:v>
      </x:c>
      <x:c r="B876" t="str">
        <x:v>NMOS</x:v>
      </x:c>
      <x:c r="C876" s="97" t="n">
        <x:v>45</x:v>
      </x:c>
      <x:c r="D876" s="97" t="str">
        <x:v>LP</x:v>
      </x:c>
      <x:c r="E876" s="99" t="n">
        <x:v>1</x:v>
      </x:c>
      <x:c r="F876" s="99" t="n">
        <x:v>0.045</x:v>
      </x:c>
      <x:c r="G876" s="99" t="n">
        <x:v>25</x:v>
      </x:c>
      <x:c r="H876" s="99" t="n">
        <x:v>1.1</x:v>
      </x:c>
      <x:c r="I876" s="99" t="n">
        <x:v>0.4550000000000004</x:v>
      </x:c>
      <x:c r="J876" s="98" t="n">
        <x:v>0.000002436417518205541</x:v>
      </x:c>
      <x:c r="K876" t="str">
        <x:v>nominal_vdd</x:v>
      </x:c>
      <x:c r="L876" t="str">
        <x:v>model_nominal_vdd</x:v>
      </x:c>
      <x:c r="M876" t="n">
        <x:v>1.1</x:v>
      </x:c>
      <x:c r="N876" t="str">
        <x:v>simulation</x:v>
      </x:c>
      <x:c r="O876" t="str">
        <x:v>ngspice</x:v>
      </x:c>
      <x:c r="P876" t="str">
        <x:v>397141eb8a813045075ac2be3098d3b136ebaf4d597c08fca627922a75e443b7</x:v>
      </x:c>
      <x:c r="Q876" t="str">
        <x:v>data/raw/ptm45_lp_vds_1p1v_raw.txt</x:v>
      </x:c>
    </x:row>
    <x:row r="877">
      <x:c r="A877" t="str">
        <x:v>PTM</x:v>
      </x:c>
      <x:c r="B877" t="str">
        <x:v>NMOS</x:v>
      </x:c>
      <x:c r="C877" s="97" t="n">
        <x:v>45</x:v>
      </x:c>
      <x:c r="D877" s="97" t="str">
        <x:v>LP</x:v>
      </x:c>
      <x:c r="E877" s="99" t="n">
        <x:v>1</x:v>
      </x:c>
      <x:c r="F877" s="99" t="n">
        <x:v>0.045</x:v>
      </x:c>
      <x:c r="G877" s="99" t="n">
        <x:v>25</x:v>
      </x:c>
      <x:c r="H877" s="99" t="n">
        <x:v>1.1</x:v>
      </x:c>
      <x:c r="I877" s="99" t="n">
        <x:v>0.4600000000000004</x:v>
      </x:c>
      <x:c r="J877" s="98" t="n">
        <x:v>0.000002705397909244115</x:v>
      </x:c>
      <x:c r="K877" t="str">
        <x:v>nominal_vdd</x:v>
      </x:c>
      <x:c r="L877" t="str">
        <x:v>model_nominal_vdd</x:v>
      </x:c>
      <x:c r="M877" t="n">
        <x:v>1.1</x:v>
      </x:c>
      <x:c r="N877" t="str">
        <x:v>simulation</x:v>
      </x:c>
      <x:c r="O877" t="str">
        <x:v>ngspice</x:v>
      </x:c>
      <x:c r="P877" t="str">
        <x:v>397141eb8a813045075ac2be3098d3b136ebaf4d597c08fca627922a75e443b7</x:v>
      </x:c>
      <x:c r="Q877" t="str">
        <x:v>data/raw/ptm45_lp_vds_1p1v_raw.txt</x:v>
      </x:c>
    </x:row>
    <x:row r="878">
      <x:c r="A878" t="str">
        <x:v>PTM</x:v>
      </x:c>
      <x:c r="B878" t="str">
        <x:v>NMOS</x:v>
      </x:c>
      <x:c r="C878" s="97" t="n">
        <x:v>45</x:v>
      </x:c>
      <x:c r="D878" s="97" t="str">
        <x:v>LP</x:v>
      </x:c>
      <x:c r="E878" s="99" t="n">
        <x:v>1</x:v>
      </x:c>
      <x:c r="F878" s="99" t="n">
        <x:v>0.045</x:v>
      </x:c>
      <x:c r="G878" s="99" t="n">
        <x:v>25</x:v>
      </x:c>
      <x:c r="H878" s="99" t="n">
        <x:v>1.1</x:v>
      </x:c>
      <x:c r="I878" s="99" t="n">
        <x:v>0.4650000000000004</x:v>
      </x:c>
      <x:c r="J878" s="98" t="n">
        <x:v>0.000003001496647969538</x:v>
      </x:c>
      <x:c r="K878" t="str">
        <x:v>nominal_vdd</x:v>
      </x:c>
      <x:c r="L878" t="str">
        <x:v>model_nominal_vdd</x:v>
      </x:c>
      <x:c r="M878" t="n">
        <x:v>1.1</x:v>
      </x:c>
      <x:c r="N878" t="str">
        <x:v>simulation</x:v>
      </x:c>
      <x:c r="O878" t="str">
        <x:v>ngspice</x:v>
      </x:c>
      <x:c r="P878" t="str">
        <x:v>397141eb8a813045075ac2be3098d3b136ebaf4d597c08fca627922a75e443b7</x:v>
      </x:c>
      <x:c r="Q878" t="str">
        <x:v>data/raw/ptm45_lp_vds_1p1v_raw.txt</x:v>
      </x:c>
    </x:row>
    <x:row r="879">
      <x:c r="A879" t="str">
        <x:v>PTM</x:v>
      </x:c>
      <x:c r="B879" t="str">
        <x:v>NMOS</x:v>
      </x:c>
      <x:c r="C879" s="97" t="n">
        <x:v>45</x:v>
      </x:c>
      <x:c r="D879" s="97" t="str">
        <x:v>LP</x:v>
      </x:c>
      <x:c r="E879" s="99" t="n">
        <x:v>1</x:v>
      </x:c>
      <x:c r="F879" s="99" t="n">
        <x:v>0.045</x:v>
      </x:c>
      <x:c r="G879" s="99" t="n">
        <x:v>25</x:v>
      </x:c>
      <x:c r="H879" s="99" t="n">
        <x:v>1.1</x:v>
      </x:c>
      <x:c r="I879" s="99" t="n">
        <x:v>0.4700000000000004</x:v>
      </x:c>
      <x:c r="J879" s="98" t="n">
        <x:v>0.000003327103374210794</x:v>
      </x:c>
      <x:c r="K879" t="str">
        <x:v>nominal_vdd</x:v>
      </x:c>
      <x:c r="L879" t="str">
        <x:v>model_nominal_vdd</x:v>
      </x:c>
      <x:c r="M879" t="n">
        <x:v>1.1</x:v>
      </x:c>
      <x:c r="N879" t="str">
        <x:v>simulation</x:v>
      </x:c>
      <x:c r="O879" t="str">
        <x:v>ngspice</x:v>
      </x:c>
      <x:c r="P879" t="str">
        <x:v>397141eb8a813045075ac2be3098d3b136ebaf4d597c08fca627922a75e443b7</x:v>
      </x:c>
      <x:c r="Q879" t="str">
        <x:v>data/raw/ptm45_lp_vds_1p1v_raw.txt</x:v>
      </x:c>
    </x:row>
    <x:row r="880">
      <x:c r="A880" t="str">
        <x:v>PTM</x:v>
      </x:c>
      <x:c r="B880" t="str">
        <x:v>NMOS</x:v>
      </x:c>
      <x:c r="C880" s="97" t="n">
        <x:v>45</x:v>
      </x:c>
      <x:c r="D880" s="97" t="str">
        <x:v>LP</x:v>
      </x:c>
      <x:c r="E880" s="99" t="n">
        <x:v>1</x:v>
      </x:c>
      <x:c r="F880" s="99" t="n">
        <x:v>0.045</x:v>
      </x:c>
      <x:c r="G880" s="99" t="n">
        <x:v>25</x:v>
      </x:c>
      <x:c r="H880" s="99" t="n">
        <x:v>1.1</x:v>
      </x:c>
      <x:c r="I880" s="99" t="n">
        <x:v>0.4750000000000004</x:v>
      </x:c>
      <x:c r="J880" s="98" t="n">
        <x:v>0.000003684766759238578</x:v>
      </x:c>
      <x:c r="K880" t="str">
        <x:v>nominal_vdd</x:v>
      </x:c>
      <x:c r="L880" t="str">
        <x:v>model_nominal_vdd</x:v>
      </x:c>
      <x:c r="M880" t="n">
        <x:v>1.1</x:v>
      </x:c>
      <x:c r="N880" t="str">
        <x:v>simulation</x:v>
      </x:c>
      <x:c r="O880" t="str">
        <x:v>ngspice</x:v>
      </x:c>
      <x:c r="P880" t="str">
        <x:v>397141eb8a813045075ac2be3098d3b136ebaf4d597c08fca627922a75e443b7</x:v>
      </x:c>
      <x:c r="Q880" t="str">
        <x:v>data/raw/ptm45_lp_vds_1p1v_raw.txt</x:v>
      </x:c>
    </x:row>
    <x:row r="881">
      <x:c r="A881" t="str">
        <x:v>PTM</x:v>
      </x:c>
      <x:c r="B881" t="str">
        <x:v>NMOS</x:v>
      </x:c>
      <x:c r="C881" s="97" t="n">
        <x:v>45</x:v>
      </x:c>
      <x:c r="D881" s="97" t="str">
        <x:v>LP</x:v>
      </x:c>
      <x:c r="E881" s="99" t="n">
        <x:v>1</x:v>
      </x:c>
      <x:c r="F881" s="99" t="n">
        <x:v>0.045</x:v>
      </x:c>
      <x:c r="G881" s="99" t="n">
        <x:v>25</x:v>
      </x:c>
      <x:c r="H881" s="99" t="n">
        <x:v>1.1</x:v>
      </x:c>
      <x:c r="I881" s="99" t="n">
        <x:v>0.4800000000000004</x:v>
      </x:c>
      <x:c r="J881" s="98" t="n">
        <x:v>0.000004077195773574707</x:v>
      </x:c>
      <x:c r="K881" t="str">
        <x:v>nominal_vdd</x:v>
      </x:c>
      <x:c r="L881" t="str">
        <x:v>model_nominal_vdd</x:v>
      </x:c>
      <x:c r="M881" t="n">
        <x:v>1.1</x:v>
      </x:c>
      <x:c r="N881" t="str">
        <x:v>simulation</x:v>
      </x:c>
      <x:c r="O881" t="str">
        <x:v>ngspice</x:v>
      </x:c>
      <x:c r="P881" t="str">
        <x:v>397141eb8a813045075ac2be3098d3b136ebaf4d597c08fca627922a75e443b7</x:v>
      </x:c>
      <x:c r="Q881" t="str">
        <x:v>data/raw/ptm45_lp_vds_1p1v_raw.txt</x:v>
      </x:c>
    </x:row>
    <x:row r="882">
      <x:c r="A882" t="str">
        <x:v>PTM</x:v>
      </x:c>
      <x:c r="B882" t="str">
        <x:v>NMOS</x:v>
      </x:c>
      <x:c r="C882" s="97" t="n">
        <x:v>45</x:v>
      </x:c>
      <x:c r="D882" s="97" t="str">
        <x:v>LP</x:v>
      </x:c>
      <x:c r="E882" s="99" t="n">
        <x:v>1</x:v>
      </x:c>
      <x:c r="F882" s="99" t="n">
        <x:v>0.045</x:v>
      </x:c>
      <x:c r="G882" s="99" t="n">
        <x:v>25</x:v>
      </x:c>
      <x:c r="H882" s="99" t="n">
        <x:v>1.1</x:v>
      </x:c>
      <x:c r="I882" s="99" t="n">
        <x:v>0.4850000000000004</x:v>
      </x:c>
      <x:c r="J882" s="98" t="n">
        <x:v>0.000004507258998338196</x:v>
      </x:c>
      <x:c r="K882" t="str">
        <x:v>nominal_vdd</x:v>
      </x:c>
      <x:c r="L882" t="str">
        <x:v>model_nominal_vdd</x:v>
      </x:c>
      <x:c r="M882" t="n">
        <x:v>1.1</x:v>
      </x:c>
      <x:c r="N882" t="str">
        <x:v>simulation</x:v>
      </x:c>
      <x:c r="O882" t="str">
        <x:v>ngspice</x:v>
      </x:c>
      <x:c r="P882" t="str">
        <x:v>397141eb8a813045075ac2be3098d3b136ebaf4d597c08fca627922a75e443b7</x:v>
      </x:c>
      <x:c r="Q882" t="str">
        <x:v>data/raw/ptm45_lp_vds_1p1v_raw.txt</x:v>
      </x:c>
    </x:row>
    <x:row r="883">
      <x:c r="A883" t="str">
        <x:v>PTM</x:v>
      </x:c>
      <x:c r="B883" t="str">
        <x:v>NMOS</x:v>
      </x:c>
      <x:c r="C883" s="97" t="n">
        <x:v>45</x:v>
      </x:c>
      <x:c r="D883" s="97" t="str">
        <x:v>LP</x:v>
      </x:c>
      <x:c r="E883" s="99" t="n">
        <x:v>1</x:v>
      </x:c>
      <x:c r="F883" s="99" t="n">
        <x:v>0.045</x:v>
      </x:c>
      <x:c r="G883" s="99" t="n">
        <x:v>25</x:v>
      </x:c>
      <x:c r="H883" s="99" t="n">
        <x:v>1.1</x:v>
      </x:c>
      <x:c r="I883" s="99" t="n">
        <x:v>0.4900000000000004</x:v>
      </x:c>
      <x:c r="J883" s="98" t="n">
        <x:v>0.000004977981678238951</x:v>
      </x:c>
      <x:c r="K883" t="str">
        <x:v>nominal_vdd</x:v>
      </x:c>
      <x:c r="L883" t="str">
        <x:v>model_nominal_vdd</x:v>
      </x:c>
      <x:c r="M883" t="n">
        <x:v>1.1</x:v>
      </x:c>
      <x:c r="N883" t="str">
        <x:v>simulation</x:v>
      </x:c>
      <x:c r="O883" t="str">
        <x:v>ngspice</x:v>
      </x:c>
      <x:c r="P883" t="str">
        <x:v>397141eb8a813045075ac2be3098d3b136ebaf4d597c08fca627922a75e443b7</x:v>
      </x:c>
      <x:c r="Q883" t="str">
        <x:v>data/raw/ptm45_lp_vds_1p1v_raw.txt</x:v>
      </x:c>
    </x:row>
    <x:row r="884">
      <x:c r="A884" t="str">
        <x:v>PTM</x:v>
      </x:c>
      <x:c r="B884" t="str">
        <x:v>NMOS</x:v>
      </x:c>
      <x:c r="C884" s="97" t="n">
        <x:v>45</x:v>
      </x:c>
      <x:c r="D884" s="97" t="str">
        <x:v>LP</x:v>
      </x:c>
      <x:c r="E884" s="99" t="n">
        <x:v>1</x:v>
      </x:c>
      <x:c r="F884" s="99" t="n">
        <x:v>0.045</x:v>
      </x:c>
      <x:c r="G884" s="99" t="n">
        <x:v>25</x:v>
      </x:c>
      <x:c r="H884" s="99" t="n">
        <x:v>1.1</x:v>
      </x:c>
      <x:c r="I884" s="99" t="n">
        <x:v>0.4950000000000004</x:v>
      </x:c>
      <x:c r="J884" s="98" t="n">
        <x:v>0.00000549254023248731</x:v>
      </x:c>
      <x:c r="K884" t="str">
        <x:v>nominal_vdd</x:v>
      </x:c>
      <x:c r="L884" t="str">
        <x:v>model_nominal_vdd</x:v>
      </x:c>
      <x:c r="M884" t="n">
        <x:v>1.1</x:v>
      </x:c>
      <x:c r="N884" t="str">
        <x:v>simulation</x:v>
      </x:c>
      <x:c r="O884" t="str">
        <x:v>ngspice</x:v>
      </x:c>
      <x:c r="P884" t="str">
        <x:v>397141eb8a813045075ac2be3098d3b136ebaf4d597c08fca627922a75e443b7</x:v>
      </x:c>
      <x:c r="Q884" t="str">
        <x:v>data/raw/ptm45_lp_vds_1p1v_raw.txt</x:v>
      </x:c>
    </x:row>
    <x:row r="885">
      <x:c r="A885" t="str">
        <x:v>PTM</x:v>
      </x:c>
      <x:c r="B885" t="str">
        <x:v>NMOS</x:v>
      </x:c>
      <x:c r="C885" s="97" t="n">
        <x:v>45</x:v>
      </x:c>
      <x:c r="D885" s="97" t="str">
        <x:v>LP</x:v>
      </x:c>
      <x:c r="E885" s="99" t="n">
        <x:v>1</x:v>
      </x:c>
      <x:c r="F885" s="99" t="n">
        <x:v>0.045</x:v>
      </x:c>
      <x:c r="G885" s="99" t="n">
        <x:v>25</x:v>
      </x:c>
      <x:c r="H885" s="99" t="n">
        <x:v>1.1</x:v>
      </x:c>
      <x:c r="I885" s="99" t="n">
        <x:v>0.5000000000000004</x:v>
      </x:c>
      <x:c r="J885" s="98" t="n">
        <x:v>0.000006054253972403459</x:v>
      </x:c>
      <x:c r="K885" t="str">
        <x:v>nominal_vdd</x:v>
      </x:c>
      <x:c r="L885" t="str">
        <x:v>model_nominal_vdd</x:v>
      </x:c>
      <x:c r="M885" t="n">
        <x:v>1.1</x:v>
      </x:c>
      <x:c r="N885" t="str">
        <x:v>simulation</x:v>
      </x:c>
      <x:c r="O885" t="str">
        <x:v>ngspice</x:v>
      </x:c>
      <x:c r="P885" t="str">
        <x:v>397141eb8a813045075ac2be3098d3b136ebaf4d597c08fca627922a75e443b7</x:v>
      </x:c>
      <x:c r="Q885" t="str">
        <x:v>data/raw/ptm45_lp_vds_1p1v_raw.txt</x:v>
      </x:c>
    </x:row>
    <x:row r="886">
      <x:c r="A886" t="str">
        <x:v>PTM</x:v>
      </x:c>
      <x:c r="B886" t="str">
        <x:v>NMOS</x:v>
      </x:c>
      <x:c r="C886" s="97" t="n">
        <x:v>45</x:v>
      </x:c>
      <x:c r="D886" s="97" t="str">
        <x:v>LP</x:v>
      </x:c>
      <x:c r="E886" s="99" t="n">
        <x:v>1</x:v>
      </x:c>
      <x:c r="F886" s="99" t="n">
        <x:v>0.045</x:v>
      </x:c>
      <x:c r="G886" s="99" t="n">
        <x:v>25</x:v>
      </x:c>
      <x:c r="H886" s="99" t="n">
        <x:v>1.1</x:v>
      </x:c>
      <x:c r="I886" s="99" t="n">
        <x:v>0.5050000000000004</x:v>
      </x:c>
      <x:c r="J886" s="98" t="n">
        <x:v>0.00000666657382208184</x:v>
      </x:c>
      <x:c r="K886" t="str">
        <x:v>nominal_vdd</x:v>
      </x:c>
      <x:c r="L886" t="str">
        <x:v>model_nominal_vdd</x:v>
      </x:c>
      <x:c r="M886" t="n">
        <x:v>1.1</x:v>
      </x:c>
      <x:c r="N886" t="str">
        <x:v>simulation</x:v>
      </x:c>
      <x:c r="O886" t="str">
        <x:v>ngspice</x:v>
      </x:c>
      <x:c r="P886" t="str">
        <x:v>397141eb8a813045075ac2be3098d3b136ebaf4d597c08fca627922a75e443b7</x:v>
      </x:c>
      <x:c r="Q886" t="str">
        <x:v>data/raw/ptm45_lp_vds_1p1v_raw.txt</x:v>
      </x:c>
    </x:row>
    <x:row r="887">
      <x:c r="A887" t="str">
        <x:v>PTM</x:v>
      </x:c>
      <x:c r="B887" t="str">
        <x:v>NMOS</x:v>
      </x:c>
      <x:c r="C887" s="97" t="n">
        <x:v>45</x:v>
      </x:c>
      <x:c r="D887" s="97" t="str">
        <x:v>LP</x:v>
      </x:c>
      <x:c r="E887" s="99" t="n">
        <x:v>1</x:v>
      </x:c>
      <x:c r="F887" s="99" t="n">
        <x:v>0.045</x:v>
      </x:c>
      <x:c r="G887" s="99" t="n">
        <x:v>25</x:v>
      </x:c>
      <x:c r="H887" s="99" t="n">
        <x:v>1.1</x:v>
      </x:c>
      <x:c r="I887" s="99" t="n">
        <x:v>0.5100000000000005</x:v>
      </x:c>
      <x:c r="J887" s="98" t="n">
        <x:v>0.000007333067901033633</x:v>
      </x:c>
      <x:c r="K887" t="str">
        <x:v>nominal_vdd</x:v>
      </x:c>
      <x:c r="L887" t="str">
        <x:v>model_nominal_vdd</x:v>
      </x:c>
      <x:c r="M887" t="n">
        <x:v>1.1</x:v>
      </x:c>
      <x:c r="N887" t="str">
        <x:v>simulation</x:v>
      </x:c>
      <x:c r="O887" t="str">
        <x:v>ngspice</x:v>
      </x:c>
      <x:c r="P887" t="str">
        <x:v>397141eb8a813045075ac2be3098d3b136ebaf4d597c08fca627922a75e443b7</x:v>
      </x:c>
      <x:c r="Q887" t="str">
        <x:v>data/raw/ptm45_lp_vds_1p1v_raw.txt</x:v>
      </x:c>
    </x:row>
    <x:row r="888">
      <x:c r="A888" t="str">
        <x:v>PTM</x:v>
      </x:c>
      <x:c r="B888" t="str">
        <x:v>NMOS</x:v>
      </x:c>
      <x:c r="C888" s="97" t="n">
        <x:v>45</x:v>
      </x:c>
      <x:c r="D888" s="97" t="str">
        <x:v>LP</x:v>
      </x:c>
      <x:c r="E888" s="99" t="n">
        <x:v>1</x:v>
      </x:c>
      <x:c r="F888" s="99" t="n">
        <x:v>0.045</x:v>
      </x:c>
      <x:c r="G888" s="99" t="n">
        <x:v>25</x:v>
      </x:c>
      <x:c r="H888" s="99" t="n">
        <x:v>1.1</x:v>
      </x:c>
      <x:c r="I888" s="99" t="n">
        <x:v>0.5150000000000005</x:v>
      </x:c>
      <x:c r="J888" s="98" t="n">
        <x:v>0.000008057403904298377</x:v>
      </x:c>
      <x:c r="K888" t="str">
        <x:v>nominal_vdd</x:v>
      </x:c>
      <x:c r="L888" t="str">
        <x:v>model_nominal_vdd</x:v>
      </x:c>
      <x:c r="M888" t="n">
        <x:v>1.1</x:v>
      </x:c>
      <x:c r="N888" t="str">
        <x:v>simulation</x:v>
      </x:c>
      <x:c r="O888" t="str">
        <x:v>ngspice</x:v>
      </x:c>
      <x:c r="P888" t="str">
        <x:v>397141eb8a813045075ac2be3098d3b136ebaf4d597c08fca627922a75e443b7</x:v>
      </x:c>
      <x:c r="Q888" t="str">
        <x:v>data/raw/ptm45_lp_vds_1p1v_raw.txt</x:v>
      </x:c>
    </x:row>
    <x:row r="889">
      <x:c r="A889" t="str">
        <x:v>PTM</x:v>
      </x:c>
      <x:c r="B889" t="str">
        <x:v>NMOS</x:v>
      </x:c>
      <x:c r="C889" s="97" t="n">
        <x:v>45</x:v>
      </x:c>
      <x:c r="D889" s="97" t="str">
        <x:v>LP</x:v>
      </x:c>
      <x:c r="E889" s="99" t="n">
        <x:v>1</x:v>
      </x:c>
      <x:c r="F889" s="99" t="n">
        <x:v>0.045</x:v>
      </x:c>
      <x:c r="G889" s="99" t="n">
        <x:v>25</x:v>
      </x:c>
      <x:c r="H889" s="99" t="n">
        <x:v>1.1</x:v>
      </x:c>
      <x:c r="I889" s="99" t="n">
        <x:v>0.5200000000000005</x:v>
      </x:c>
      <x:c r="J889" s="98" t="n">
        <x:v>0.000008843328304199586</x:v>
      </x:c>
      <x:c r="K889" t="str">
        <x:v>nominal_vdd</x:v>
      </x:c>
      <x:c r="L889" t="str">
        <x:v>model_nominal_vdd</x:v>
      </x:c>
      <x:c r="M889" t="n">
        <x:v>1.1</x:v>
      </x:c>
      <x:c r="N889" t="str">
        <x:v>simulation</x:v>
      </x:c>
      <x:c r="O889" t="str">
        <x:v>ngspice</x:v>
      </x:c>
      <x:c r="P889" t="str">
        <x:v>397141eb8a813045075ac2be3098d3b136ebaf4d597c08fca627922a75e443b7</x:v>
      </x:c>
      <x:c r="Q889" t="str">
        <x:v>data/raw/ptm45_lp_vds_1p1v_raw.txt</x:v>
      </x:c>
    </x:row>
    <x:row r="890">
      <x:c r="A890" t="str">
        <x:v>PTM</x:v>
      </x:c>
      <x:c r="B890" t="str">
        <x:v>NMOS</x:v>
      </x:c>
      <x:c r="C890" s="97" t="n">
        <x:v>45</x:v>
      </x:c>
      <x:c r="D890" s="97" t="str">
        <x:v>LP</x:v>
      </x:c>
      <x:c r="E890" s="99" t="n">
        <x:v>1</x:v>
      </x:c>
      <x:c r="F890" s="99" t="n">
        <x:v>0.045</x:v>
      </x:c>
      <x:c r="G890" s="99" t="n">
        <x:v>25</x:v>
      </x:c>
      <x:c r="H890" s="99" t="n">
        <x:v>1.1</x:v>
      </x:c>
      <x:c r="I890" s="99" t="n">
        <x:v>0.5250000000000005</x:v>
      </x:c>
      <x:c r="J890" s="98" t="n">
        <x:v>0.000009694642495821468</x:v>
      </x:c>
      <x:c r="K890" t="str">
        <x:v>nominal_vdd</x:v>
      </x:c>
      <x:c r="L890" t="str">
        <x:v>model_nominal_vdd</x:v>
      </x:c>
      <x:c r="M890" t="n">
        <x:v>1.1</x:v>
      </x:c>
      <x:c r="N890" t="str">
        <x:v>simulation</x:v>
      </x:c>
      <x:c r="O890" t="str">
        <x:v>ngspice</x:v>
      </x:c>
      <x:c r="P890" t="str">
        <x:v>397141eb8a813045075ac2be3098d3b136ebaf4d597c08fca627922a75e443b7</x:v>
      </x:c>
      <x:c r="Q890" t="str">
        <x:v>data/raw/ptm45_lp_vds_1p1v_raw.txt</x:v>
      </x:c>
    </x:row>
    <x:row r="891">
      <x:c r="A891" t="str">
        <x:v>PTM</x:v>
      </x:c>
      <x:c r="B891" t="str">
        <x:v>NMOS</x:v>
      </x:c>
      <x:c r="C891" s="97" t="n">
        <x:v>45</x:v>
      </x:c>
      <x:c r="D891" s="97" t="str">
        <x:v>LP</x:v>
      </x:c>
      <x:c r="E891" s="99" t="n">
        <x:v>1</x:v>
      </x:c>
      <x:c r="F891" s="99" t="n">
        <x:v>0.045</x:v>
      </x:c>
      <x:c r="G891" s="99" t="n">
        <x:v>25</x:v>
      </x:c>
      <x:c r="H891" s="99" t="n">
        <x:v>1.1</x:v>
      </x:c>
      <x:c r="I891" s="99" t="n">
        <x:v>0.5300000000000005</x:v>
      </x:c>
      <x:c r="J891" s="98" t="n">
        <x:v>0.00001061517611167614</x:v>
      </x:c>
      <x:c r="K891" t="str">
        <x:v>nominal_vdd</x:v>
      </x:c>
      <x:c r="L891" t="str">
        <x:v>model_nominal_vdd</x:v>
      </x:c>
      <x:c r="M891" t="n">
        <x:v>1.1</x:v>
      </x:c>
      <x:c r="N891" t="str">
        <x:v>simulation</x:v>
      </x:c>
      <x:c r="O891" t="str">
        <x:v>ngspice</x:v>
      </x:c>
      <x:c r="P891" t="str">
        <x:v>397141eb8a813045075ac2be3098d3b136ebaf4d597c08fca627922a75e443b7</x:v>
      </x:c>
      <x:c r="Q891" t="str">
        <x:v>data/raw/ptm45_lp_vds_1p1v_raw.txt</x:v>
      </x:c>
    </x:row>
    <x:row r="892">
      <x:c r="A892" t="str">
        <x:v>PTM</x:v>
      </x:c>
      <x:c r="B892" t="str">
        <x:v>NMOS</x:v>
      </x:c>
      <x:c r="C892" s="97" t="n">
        <x:v>45</x:v>
      </x:c>
      <x:c r="D892" s="97" t="str">
        <x:v>LP</x:v>
      </x:c>
      <x:c r="E892" s="99" t="n">
        <x:v>1</x:v>
      </x:c>
      <x:c r="F892" s="99" t="n">
        <x:v>0.045</x:v>
      </x:c>
      <x:c r="G892" s="99" t="n">
        <x:v>25</x:v>
      </x:c>
      <x:c r="H892" s="99" t="n">
        <x:v>1.1</x:v>
      </x:c>
      <x:c r="I892" s="99" t="n">
        <x:v>0.5350000000000005</x:v>
      </x:c>
      <x:c r="J892" s="98" t="n">
        <x:v>0.00001160875783550123</x:v>
      </x:c>
      <x:c r="K892" t="str">
        <x:v>nominal_vdd</x:v>
      </x:c>
      <x:c r="L892" t="str">
        <x:v>model_nominal_vdd</x:v>
      </x:c>
      <x:c r="M892" t="n">
        <x:v>1.1</x:v>
      </x:c>
      <x:c r="N892" t="str">
        <x:v>simulation</x:v>
      </x:c>
      <x:c r="O892" t="str">
        <x:v>ngspice</x:v>
      </x:c>
      <x:c r="P892" t="str">
        <x:v>397141eb8a813045075ac2be3098d3b136ebaf4d597c08fca627922a75e443b7</x:v>
      </x:c>
      <x:c r="Q892" t="str">
        <x:v>data/raw/ptm45_lp_vds_1p1v_raw.txt</x:v>
      </x:c>
    </x:row>
    <x:row r="893">
      <x:c r="A893" t="str">
        <x:v>PTM</x:v>
      </x:c>
      <x:c r="B893" t="str">
        <x:v>NMOS</x:v>
      </x:c>
      <x:c r="C893" s="97" t="n">
        <x:v>45</x:v>
      </x:c>
      <x:c r="D893" s="97" t="str">
        <x:v>LP</x:v>
      </x:c>
      <x:c r="E893" s="99" t="n">
        <x:v>1</x:v>
      </x:c>
      <x:c r="F893" s="99" t="n">
        <x:v>0.045</x:v>
      </x:c>
      <x:c r="G893" s="99" t="n">
        <x:v>25</x:v>
      </x:c>
      <x:c r="H893" s="99" t="n">
        <x:v>1.1</x:v>
      </x:c>
      <x:c r="I893" s="99" t="n">
        <x:v>0.5400000000000005</x:v>
      </x:c>
      <x:c r="J893" s="98" t="n">
        <x:v>0.00001267918414571154</x:v>
      </x:c>
      <x:c r="K893" t="str">
        <x:v>nominal_vdd</x:v>
      </x:c>
      <x:c r="L893" t="str">
        <x:v>model_nominal_vdd</x:v>
      </x:c>
      <x:c r="M893" t="n">
        <x:v>1.1</x:v>
      </x:c>
      <x:c r="N893" t="str">
        <x:v>simulation</x:v>
      </x:c>
      <x:c r="O893" t="str">
        <x:v>ngspice</x:v>
      </x:c>
      <x:c r="P893" t="str">
        <x:v>397141eb8a813045075ac2be3098d3b136ebaf4d597c08fca627922a75e443b7</x:v>
      </x:c>
      <x:c r="Q893" t="str">
        <x:v>data/raw/ptm45_lp_vds_1p1v_raw.txt</x:v>
      </x:c>
    </x:row>
    <x:row r="894">
      <x:c r="A894" t="str">
        <x:v>PTM</x:v>
      </x:c>
      <x:c r="B894" t="str">
        <x:v>NMOS</x:v>
      </x:c>
      <x:c r="C894" s="97" t="n">
        <x:v>45</x:v>
      </x:c>
      <x:c r="D894" s="97" t="str">
        <x:v>LP</x:v>
      </x:c>
      <x:c r="E894" s="99" t="n">
        <x:v>1</x:v>
      </x:c>
      <x:c r="F894" s="99" t="n">
        <x:v>0.045</x:v>
      </x:c>
      <x:c r="G894" s="99" t="n">
        <x:v>25</x:v>
      </x:c>
      <x:c r="H894" s="99" t="n">
        <x:v>1.1</x:v>
      </x:c>
      <x:c r="I894" s="99" t="n">
        <x:v>0.5450000000000005</x:v>
      </x:c>
      <x:c r="J894" s="98" t="n">
        <x:v>0.00001383018651069152</x:v>
      </x:c>
      <x:c r="K894" t="str">
        <x:v>nominal_vdd</x:v>
      </x:c>
      <x:c r="L894" t="str">
        <x:v>model_nominal_vdd</x:v>
      </x:c>
      <x:c r="M894" t="n">
        <x:v>1.1</x:v>
      </x:c>
      <x:c r="N894" t="str">
        <x:v>simulation</x:v>
      </x:c>
      <x:c r="O894" t="str">
        <x:v>ngspice</x:v>
      </x:c>
      <x:c r="P894" t="str">
        <x:v>397141eb8a813045075ac2be3098d3b136ebaf4d597c08fca627922a75e443b7</x:v>
      </x:c>
      <x:c r="Q894" t="str">
        <x:v>data/raw/ptm45_lp_vds_1p1v_raw.txt</x:v>
      </x:c>
    </x:row>
    <x:row r="895">
      <x:c r="A895" t="str">
        <x:v>PTM</x:v>
      </x:c>
      <x:c r="B895" t="str">
        <x:v>NMOS</x:v>
      </x:c>
      <x:c r="C895" s="97" t="n">
        <x:v>45</x:v>
      </x:c>
      <x:c r="D895" s="97" t="str">
        <x:v>LP</x:v>
      </x:c>
      <x:c r="E895" s="99" t="n">
        <x:v>1</x:v>
      </x:c>
      <x:c r="F895" s="99" t="n">
        <x:v>0.045</x:v>
      </x:c>
      <x:c r="G895" s="99" t="n">
        <x:v>25</x:v>
      </x:c>
      <x:c r="H895" s="99" t="n">
        <x:v>1.1</x:v>
      </x:c>
      <x:c r="I895" s="99" t="n">
        <x:v>0.5500000000000005</x:v>
      </x:c>
      <x:c r="J895" s="98" t="n">
        <x:v>0.00001506539763586705</x:v>
      </x:c>
      <x:c r="K895" t="str">
        <x:v>nominal_vdd</x:v>
      </x:c>
      <x:c r="L895" t="str">
        <x:v>model_nominal_vdd</x:v>
      </x:c>
      <x:c r="M895" t="n">
        <x:v>1.1</x:v>
      </x:c>
      <x:c r="N895" t="str">
        <x:v>simulation</x:v>
      </x:c>
      <x:c r="O895" t="str">
        <x:v>ngspice</x:v>
      </x:c>
      <x:c r="P895" t="str">
        <x:v>397141eb8a813045075ac2be3098d3b136ebaf4d597c08fca627922a75e443b7</x:v>
      </x:c>
      <x:c r="Q895" t="str">
        <x:v>data/raw/ptm45_lp_vds_1p1v_raw.txt</x:v>
      </x:c>
    </x:row>
    <x:row r="896">
      <x:c r="A896" t="str">
        <x:v>PTM</x:v>
      </x:c>
      <x:c r="B896" t="str">
        <x:v>NMOS</x:v>
      </x:c>
      <x:c r="C896" s="97" t="n">
        <x:v>45</x:v>
      </x:c>
      <x:c r="D896" s="97" t="str">
        <x:v>LP</x:v>
      </x:c>
      <x:c r="E896" s="99" t="n">
        <x:v>1</x:v>
      </x:c>
      <x:c r="F896" s="99" t="n">
        <x:v>0.045</x:v>
      </x:c>
      <x:c r="G896" s="99" t="n">
        <x:v>25</x:v>
      </x:c>
      <x:c r="H896" s="99" t="n">
        <x:v>1.1</x:v>
      </x:c>
      <x:c r="I896" s="99" t="n">
        <x:v>0.5550000000000005</x:v>
      </x:c>
      <x:c r="J896" s="98" t="n">
        <x:v>0.00001638831742189884</x:v>
      </x:c>
      <x:c r="K896" t="str">
        <x:v>nominal_vdd</x:v>
      </x:c>
      <x:c r="L896" t="str">
        <x:v>model_nominal_vdd</x:v>
      </x:c>
      <x:c r="M896" t="n">
        <x:v>1.1</x:v>
      </x:c>
      <x:c r="N896" t="str">
        <x:v>simulation</x:v>
      </x:c>
      <x:c r="O896" t="str">
        <x:v>ngspice</x:v>
      </x:c>
      <x:c r="P896" t="str">
        <x:v>397141eb8a813045075ac2be3098d3b136ebaf4d597c08fca627922a75e443b7</x:v>
      </x:c>
      <x:c r="Q896" t="str">
        <x:v>data/raw/ptm45_lp_vds_1p1v_raw.txt</x:v>
      </x:c>
    </x:row>
    <x:row r="897">
      <x:c r="A897" t="str">
        <x:v>PTM</x:v>
      </x:c>
      <x:c r="B897" t="str">
        <x:v>NMOS</x:v>
      </x:c>
      <x:c r="C897" s="97" t="n">
        <x:v>45</x:v>
      </x:c>
      <x:c r="D897" s="97" t="str">
        <x:v>LP</x:v>
      </x:c>
      <x:c r="E897" s="99" t="n">
        <x:v>1</x:v>
      </x:c>
      <x:c r="F897" s="99" t="n">
        <x:v>0.045</x:v>
      </x:c>
      <x:c r="G897" s="99" t="n">
        <x:v>25</x:v>
      </x:c>
      <x:c r="H897" s="99" t="n">
        <x:v>1.1</x:v>
      </x:c>
      <x:c r="I897" s="99" t="n">
        <x:v>0.5600000000000005</x:v>
      </x:c>
      <x:c r="J897" s="98" t="n">
        <x:v>0.00001780227933078941</x:v>
      </x:c>
      <x:c r="K897" t="str">
        <x:v>nominal_vdd</x:v>
      </x:c>
      <x:c r="L897" t="str">
        <x:v>model_nominal_vdd</x:v>
      </x:c>
      <x:c r="M897" t="n">
        <x:v>1.1</x:v>
      </x:c>
      <x:c r="N897" t="str">
        <x:v>simulation</x:v>
      </x:c>
      <x:c r="O897" t="str">
        <x:v>ngspice</x:v>
      </x:c>
      <x:c r="P897" t="str">
        <x:v>397141eb8a813045075ac2be3098d3b136ebaf4d597c08fca627922a75e443b7</x:v>
      </x:c>
      <x:c r="Q897" t="str">
        <x:v>data/raw/ptm45_lp_vds_1p1v_raw.txt</x:v>
      </x:c>
    </x:row>
    <x:row r="898">
      <x:c r="A898" t="str">
        <x:v>PTM</x:v>
      </x:c>
      <x:c r="B898" t="str">
        <x:v>NMOS</x:v>
      </x:c>
      <x:c r="C898" s="97" t="n">
        <x:v>45</x:v>
      </x:c>
      <x:c r="D898" s="97" t="str">
        <x:v>LP</x:v>
      </x:c>
      <x:c r="E898" s="99" t="n">
        <x:v>1</x:v>
      </x:c>
      <x:c r="F898" s="99" t="n">
        <x:v>0.045</x:v>
      </x:c>
      <x:c r="G898" s="99" t="n">
        <x:v>25</x:v>
      </x:c>
      <x:c r="H898" s="99" t="n">
        <x:v>1.1</x:v>
      </x:c>
      <x:c r="I898" s="99" t="n">
        <x:v>0.5650000000000005</x:v>
      </x:c>
      <x:c r="J898" s="98" t="n">
        <x:v>0.00001931041786959464</x:v>
      </x:c>
      <x:c r="K898" t="str">
        <x:v>nominal_vdd</x:v>
      </x:c>
      <x:c r="L898" t="str">
        <x:v>model_nominal_vdd</x:v>
      </x:c>
      <x:c r="M898" t="n">
        <x:v>1.1</x:v>
      </x:c>
      <x:c r="N898" t="str">
        <x:v>simulation</x:v>
      </x:c>
      <x:c r="O898" t="str">
        <x:v>ngspice</x:v>
      </x:c>
      <x:c r="P898" t="str">
        <x:v>397141eb8a813045075ac2be3098d3b136ebaf4d597c08fca627922a75e443b7</x:v>
      </x:c>
      <x:c r="Q898" t="str">
        <x:v>data/raw/ptm45_lp_vds_1p1v_raw.txt</x:v>
      </x:c>
    </x:row>
    <x:row r="899">
      <x:c r="A899" t="str">
        <x:v>PTM</x:v>
      </x:c>
      <x:c r="B899" t="str">
        <x:v>NMOS</x:v>
      </x:c>
      <x:c r="C899" s="97" t="n">
        <x:v>45</x:v>
      </x:c>
      <x:c r="D899" s="97" t="str">
        <x:v>LP</x:v>
      </x:c>
      <x:c r="E899" s="99" t="n">
        <x:v>1</x:v>
      </x:c>
      <x:c r="F899" s="99" t="n">
        <x:v>0.045</x:v>
      </x:c>
      <x:c r="G899" s="99" t="n">
        <x:v>25</x:v>
      </x:c>
      <x:c r="H899" s="99" t="n">
        <x:v>1.1</x:v>
      </x:c>
      <x:c r="I899" s="99" t="n">
        <x:v>0.5700000000000005</x:v>
      </x:c>
      <x:c r="J899" s="98" t="n">
        <x:v>0.00002091563788860862</x:v>
      </x:c>
      <x:c r="K899" t="str">
        <x:v>nominal_vdd</x:v>
      </x:c>
      <x:c r="L899" t="str">
        <x:v>model_nominal_vdd</x:v>
      </x:c>
      <x:c r="M899" t="n">
        <x:v>1.1</x:v>
      </x:c>
      <x:c r="N899" t="str">
        <x:v>simulation</x:v>
      </x:c>
      <x:c r="O899" t="str">
        <x:v>ngspice</x:v>
      </x:c>
      <x:c r="P899" t="str">
        <x:v>397141eb8a813045075ac2be3098d3b136ebaf4d597c08fca627922a75e443b7</x:v>
      </x:c>
      <x:c r="Q899" t="str">
        <x:v>data/raw/ptm45_lp_vds_1p1v_raw.txt</x:v>
      </x:c>
    </x:row>
    <x:row r="900">
      <x:c r="A900" t="str">
        <x:v>PTM</x:v>
      </x:c>
      <x:c r="B900" t="str">
        <x:v>NMOS</x:v>
      </x:c>
      <x:c r="C900" s="97" t="n">
        <x:v>45</x:v>
      </x:c>
      <x:c r="D900" s="97" t="str">
        <x:v>LP</x:v>
      </x:c>
      <x:c r="E900" s="99" t="n">
        <x:v>1</x:v>
      </x:c>
      <x:c r="F900" s="99" t="n">
        <x:v>0.045</x:v>
      </x:c>
      <x:c r="G900" s="99" t="n">
        <x:v>25</x:v>
      </x:c>
      <x:c r="H900" s="99" t="n">
        <x:v>1.1</x:v>
      </x:c>
      <x:c r="I900" s="99" t="n">
        <x:v>0.5750000000000005</x:v>
      </x:c>
      <x:c r="J900" s="98" t="n">
        <x:v>0.00002262058635247078</x:v>
      </x:c>
      <x:c r="K900" t="str">
        <x:v>nominal_vdd</x:v>
      </x:c>
      <x:c r="L900" t="str">
        <x:v>model_nominal_vdd</x:v>
      </x:c>
      <x:c r="M900" t="n">
        <x:v>1.1</x:v>
      </x:c>
      <x:c r="N900" t="str">
        <x:v>simulation</x:v>
      </x:c>
      <x:c r="O900" t="str">
        <x:v>ngspice</x:v>
      </x:c>
      <x:c r="P900" t="str">
        <x:v>397141eb8a813045075ac2be3098d3b136ebaf4d597c08fca627922a75e443b7</x:v>
      </x:c>
      <x:c r="Q900" t="str">
        <x:v>data/raw/ptm45_lp_vds_1p1v_raw.txt</x:v>
      </x:c>
    </x:row>
    <x:row r="901">
      <x:c r="A901" t="str">
        <x:v>PTM</x:v>
      </x:c>
      <x:c r="B901" t="str">
        <x:v>NMOS</x:v>
      </x:c>
      <x:c r="C901" s="97" t="n">
        <x:v>45</x:v>
      </x:c>
      <x:c r="D901" s="97" t="str">
        <x:v>LP</x:v>
      </x:c>
      <x:c r="E901" s="99" t="n">
        <x:v>1</x:v>
      </x:c>
      <x:c r="F901" s="99" t="n">
        <x:v>0.045</x:v>
      </x:c>
      <x:c r="G901" s="99" t="n">
        <x:v>25</x:v>
      </x:c>
      <x:c r="H901" s="99" t="n">
        <x:v>1.1</x:v>
      </x:c>
      <x:c r="I901" s="99" t="n">
        <x:v>0.5800000000000005</x:v>
      </x:c>
      <x:c r="J901" s="98" t="n">
        <x:v>0.00002442762718022191</x:v>
      </x:c>
      <x:c r="K901" t="str">
        <x:v>nominal_vdd</x:v>
      </x:c>
      <x:c r="L901" t="str">
        <x:v>model_nominal_vdd</x:v>
      </x:c>
      <x:c r="M901" t="n">
        <x:v>1.1</x:v>
      </x:c>
      <x:c r="N901" t="str">
        <x:v>simulation</x:v>
      </x:c>
      <x:c r="O901" t="str">
        <x:v>ngspice</x:v>
      </x:c>
      <x:c r="P901" t="str">
        <x:v>397141eb8a813045075ac2be3098d3b136ebaf4d597c08fca627922a75e443b7</x:v>
      </x:c>
      <x:c r="Q901" t="str">
        <x:v>data/raw/ptm45_lp_vds_1p1v_raw.txt</x:v>
      </x:c>
    </x:row>
    <x:row r="902">
      <x:c r="A902" t="str">
        <x:v>PTM</x:v>
      </x:c>
      <x:c r="B902" t="str">
        <x:v>NMOS</x:v>
      </x:c>
      <x:c r="C902" s="97" t="n">
        <x:v>45</x:v>
      </x:c>
      <x:c r="D902" s="97" t="str">
        <x:v>LP</x:v>
      </x:c>
      <x:c r="E902" s="99" t="n">
        <x:v>1</x:v>
      </x:c>
      <x:c r="F902" s="99" t="n">
        <x:v>0.045</x:v>
      </x:c>
      <x:c r="G902" s="99" t="n">
        <x:v>25</x:v>
      </x:c>
      <x:c r="H902" s="99" t="n">
        <x:v>1.1</x:v>
      </x:c>
      <x:c r="I902" s="99" t="n">
        <x:v>0.5850000000000005</x:v>
      </x:c>
      <x:c r="J902" s="98" t="n">
        <x:v>0.00002633881966680627</x:v>
      </x:c>
      <x:c r="K902" t="str">
        <x:v>nominal_vdd</x:v>
      </x:c>
      <x:c r="L902" t="str">
        <x:v>model_nominal_vdd</x:v>
      </x:c>
      <x:c r="M902" t="n">
        <x:v>1.1</x:v>
      </x:c>
      <x:c r="N902" t="str">
        <x:v>simulation</x:v>
      </x:c>
      <x:c r="O902" t="str">
        <x:v>ngspice</x:v>
      </x:c>
      <x:c r="P902" t="str">
        <x:v>397141eb8a813045075ac2be3098d3b136ebaf4d597c08fca627922a75e443b7</x:v>
      </x:c>
      <x:c r="Q902" t="str">
        <x:v>data/raw/ptm45_lp_vds_1p1v_raw.txt</x:v>
      </x:c>
    </x:row>
    <x:row r="903">
      <x:c r="A903" t="str">
        <x:v>PTM</x:v>
      </x:c>
      <x:c r="B903" t="str">
        <x:v>NMOS</x:v>
      </x:c>
      <x:c r="C903" s="97" t="n">
        <x:v>45</x:v>
      </x:c>
      <x:c r="D903" s="97" t="str">
        <x:v>LP</x:v>
      </x:c>
      <x:c r="E903" s="99" t="n">
        <x:v>1</x:v>
      </x:c>
      <x:c r="F903" s="99" t="n">
        <x:v>0.045</x:v>
      </x:c>
      <x:c r="G903" s="99" t="n">
        <x:v>25</x:v>
      </x:c>
      <x:c r="H903" s="99" t="n">
        <x:v>1.1</x:v>
      </x:c>
      <x:c r="I903" s="99" t="n">
        <x:v>0.5900000000000005</x:v>
      </x:c>
      <x:c r="J903" s="98" t="n">
        <x:v>0.00002835590089781007</x:v>
      </x:c>
      <x:c r="K903" t="str">
        <x:v>nominal_vdd</x:v>
      </x:c>
      <x:c r="L903" t="str">
        <x:v>model_nominal_vdd</x:v>
      </x:c>
      <x:c r="M903" t="n">
        <x:v>1.1</x:v>
      </x:c>
      <x:c r="N903" t="str">
        <x:v>simulation</x:v>
      </x:c>
      <x:c r="O903" t="str">
        <x:v>ngspice</x:v>
      </x:c>
      <x:c r="P903" t="str">
        <x:v>397141eb8a813045075ac2be3098d3b136ebaf4d597c08fca627922a75e443b7</x:v>
      </x:c>
      <x:c r="Q903" t="str">
        <x:v>data/raw/ptm45_lp_vds_1p1v_raw.txt</x:v>
      </x:c>
    </x:row>
    <x:row r="904">
      <x:c r="A904" t="str">
        <x:v>PTM</x:v>
      </x:c>
      <x:c r="B904" t="str">
        <x:v>NMOS</x:v>
      </x:c>
      <x:c r="C904" s="97" t="n">
        <x:v>45</x:v>
      </x:c>
      <x:c r="D904" s="97" t="str">
        <x:v>LP</x:v>
      </x:c>
      <x:c r="E904" s="99" t="n">
        <x:v>1</x:v>
      </x:c>
      <x:c r="F904" s="99" t="n">
        <x:v>0.045</x:v>
      </x:c>
      <x:c r="G904" s="99" t="n">
        <x:v>25</x:v>
      </x:c>
      <x:c r="H904" s="99" t="n">
        <x:v>1.1</x:v>
      </x:c>
      <x:c r="I904" s="99" t="n">
        <x:v>0.5950000000000005</x:v>
      </x:c>
      <x:c r="J904" s="98" t="n">
        <x:v>0.00003048027245622834</x:v>
      </x:c>
      <x:c r="K904" t="str">
        <x:v>nominal_vdd</x:v>
      </x:c>
      <x:c r="L904" t="str">
        <x:v>model_nominal_vdd</x:v>
      </x:c>
      <x:c r="M904" t="n">
        <x:v>1.1</x:v>
      </x:c>
      <x:c r="N904" t="str">
        <x:v>simulation</x:v>
      </x:c>
      <x:c r="O904" t="str">
        <x:v>ngspice</x:v>
      </x:c>
      <x:c r="P904" t="str">
        <x:v>397141eb8a813045075ac2be3098d3b136ebaf4d597c08fca627922a75e443b7</x:v>
      </x:c>
      <x:c r="Q904" t="str">
        <x:v>data/raw/ptm45_lp_vds_1p1v_raw.txt</x:v>
      </x:c>
    </x:row>
    <x:row r="905">
      <x:c r="A905" t="str">
        <x:v>PTM</x:v>
      </x:c>
      <x:c r="B905" t="str">
        <x:v>NMOS</x:v>
      </x:c>
      <x:c r="C905" s="97" t="n">
        <x:v>45</x:v>
      </x:c>
      <x:c r="D905" s="97" t="str">
        <x:v>LP</x:v>
      </x:c>
      <x:c r="E905" s="99" t="n">
        <x:v>1</x:v>
      </x:c>
      <x:c r="F905" s="99" t="n">
        <x:v>0.045</x:v>
      </x:c>
      <x:c r="G905" s="99" t="n">
        <x:v>25</x:v>
      </x:c>
      <x:c r="H905" s="99" t="n">
        <x:v>1.1</x:v>
      </x:c>
      <x:c r="I905" s="99" t="n">
        <x:v>0.6000000000000005</x:v>
      </x:c>
      <x:c r="J905" s="98" t="n">
        <x:v>0.00003271299159992002</x:v>
      </x:c>
      <x:c r="K905" t="str">
        <x:v>nominal_vdd</x:v>
      </x:c>
      <x:c r="L905" t="str">
        <x:v>model_nominal_vdd</x:v>
      </x:c>
      <x:c r="M905" t="n">
        <x:v>1.1</x:v>
      </x:c>
      <x:c r="N905" t="str">
        <x:v>simulation</x:v>
      </x:c>
      <x:c r="O905" t="str">
        <x:v>ngspice</x:v>
      </x:c>
      <x:c r="P905" t="str">
        <x:v>397141eb8a813045075ac2be3098d3b136ebaf4d597c08fca627922a75e443b7</x:v>
      </x:c>
      <x:c r="Q905" t="str">
        <x:v>data/raw/ptm45_lp_vds_1p1v_raw.txt</x:v>
      </x:c>
    </x:row>
    <x:row r="906">
      <x:c r="A906" t="str">
        <x:v>PTM</x:v>
      </x:c>
      <x:c r="B906" t="str">
        <x:v>NMOS</x:v>
      </x:c>
      <x:c r="C906" s="97" t="n">
        <x:v>45</x:v>
      </x:c>
      <x:c r="D906" s="97" t="str">
        <x:v>LP</x:v>
      </x:c>
      <x:c r="E906" s="99" t="n">
        <x:v>1</x:v>
      </x:c>
      <x:c r="F906" s="99" t="n">
        <x:v>0.045</x:v>
      </x:c>
      <x:c r="G906" s="99" t="n">
        <x:v>25</x:v>
      </x:c>
      <x:c r="H906" s="99" t="n">
        <x:v>1.1</x:v>
      </x:c>
      <x:c r="I906" s="99" t="n">
        <x:v>0.6050000000000005</x:v>
      </x:c>
      <x:c r="J906" s="98" t="n">
        <x:v>0.00003505476696670889</x:v>
      </x:c>
      <x:c r="K906" t="str">
        <x:v>nominal_vdd</x:v>
      </x:c>
      <x:c r="L906" t="str">
        <x:v>model_nominal_vdd</x:v>
      </x:c>
      <x:c r="M906" t="n">
        <x:v>1.1</x:v>
      </x:c>
      <x:c r="N906" t="str">
        <x:v>simulation</x:v>
      </x:c>
      <x:c r="O906" t="str">
        <x:v>ngspice</x:v>
      </x:c>
      <x:c r="P906" t="str">
        <x:v>397141eb8a813045075ac2be3098d3b136ebaf4d597c08fca627922a75e443b7</x:v>
      </x:c>
      <x:c r="Q906" t="str">
        <x:v>data/raw/ptm45_lp_vds_1p1v_raw.txt</x:v>
      </x:c>
    </x:row>
    <x:row r="907">
      <x:c r="A907" t="str">
        <x:v>PTM</x:v>
      </x:c>
      <x:c r="B907" t="str">
        <x:v>NMOS</x:v>
      </x:c>
      <x:c r="C907" s="97" t="n">
        <x:v>45</x:v>
      </x:c>
      <x:c r="D907" s="97" t="str">
        <x:v>LP</x:v>
      </x:c>
      <x:c r="E907" s="99" t="n">
        <x:v>1</x:v>
      </x:c>
      <x:c r="F907" s="99" t="n">
        <x:v>0.045</x:v>
      </x:c>
      <x:c r="G907" s="99" t="n">
        <x:v>25</x:v>
      </x:c>
      <x:c r="H907" s="99" t="n">
        <x:v>1.1</x:v>
      </x:c>
      <x:c r="I907" s="99" t="n">
        <x:v>0.6100000000000005</x:v>
      </x:c>
      <x:c r="J907" s="98" t="n">
        <x:v>0.00003750595874587029</x:v>
      </x:c>
      <x:c r="K907" t="str">
        <x:v>nominal_vdd</x:v>
      </x:c>
      <x:c r="L907" t="str">
        <x:v>model_nominal_vdd</x:v>
      </x:c>
      <x:c r="M907" t="n">
        <x:v>1.1</x:v>
      </x:c>
      <x:c r="N907" t="str">
        <x:v>simulation</x:v>
      </x:c>
      <x:c r="O907" t="str">
        <x:v>ngspice</x:v>
      </x:c>
      <x:c r="P907" t="str">
        <x:v>397141eb8a813045075ac2be3098d3b136ebaf4d597c08fca627922a75e443b7</x:v>
      </x:c>
      <x:c r="Q907" t="str">
        <x:v>data/raw/ptm45_lp_vds_1p1v_raw.txt</x:v>
      </x:c>
    </x:row>
    <x:row r="908">
      <x:c r="A908" t="str">
        <x:v>PTM</x:v>
      </x:c>
      <x:c r="B908" t="str">
        <x:v>NMOS</x:v>
      </x:c>
      <x:c r="C908" s="97" t="n">
        <x:v>45</x:v>
      </x:c>
      <x:c r="D908" s="97" t="str">
        <x:v>LP</x:v>
      </x:c>
      <x:c r="E908" s="99" t="n">
        <x:v>1</x:v>
      </x:c>
      <x:c r="F908" s="99" t="n">
        <x:v>0.045</x:v>
      </x:c>
      <x:c r="G908" s="99" t="n">
        <x:v>25</x:v>
      </x:c>
      <x:c r="H908" s="99" t="n">
        <x:v>1.1</x:v>
      </x:c>
      <x:c r="I908" s="99" t="n">
        <x:v>0.6150000000000005</x:v>
      </x:c>
      <x:c r="J908" s="98" t="n">
        <x:v>0.00004006658314482937</x:v>
      </x:c>
      <x:c r="K908" t="str">
        <x:v>nominal_vdd</x:v>
      </x:c>
      <x:c r="L908" t="str">
        <x:v>model_nominal_vdd</x:v>
      </x:c>
      <x:c r="M908" t="n">
        <x:v>1.1</x:v>
      </x:c>
      <x:c r="N908" t="str">
        <x:v>simulation</x:v>
      </x:c>
      <x:c r="O908" t="str">
        <x:v>ngspice</x:v>
      </x:c>
      <x:c r="P908" t="str">
        <x:v>397141eb8a813045075ac2be3098d3b136ebaf4d597c08fca627922a75e443b7</x:v>
      </x:c>
      <x:c r="Q908" t="str">
        <x:v>data/raw/ptm45_lp_vds_1p1v_raw.txt</x:v>
      </x:c>
    </x:row>
    <x:row r="909">
      <x:c r="A909" t="str">
        <x:v>PTM</x:v>
      </x:c>
      <x:c r="B909" t="str">
        <x:v>NMOS</x:v>
      </x:c>
      <x:c r="C909" s="97" t="n">
        <x:v>45</x:v>
      </x:c>
      <x:c r="D909" s="97" t="str">
        <x:v>LP</x:v>
      </x:c>
      <x:c r="E909" s="99" t="n">
        <x:v>1</x:v>
      </x:c>
      <x:c r="F909" s="99" t="n">
        <x:v>0.045</x:v>
      </x:c>
      <x:c r="G909" s="99" t="n">
        <x:v>25</x:v>
      </x:c>
      <x:c r="H909" s="99" t="n">
        <x:v>1.1</x:v>
      </x:c>
      <x:c r="I909" s="99" t="n">
        <x:v>0.6200000000000006</x:v>
      </x:c>
      <x:c r="J909" s="98" t="n">
        <x:v>0.00004273632088214645</x:v>
      </x:c>
      <x:c r="K909" t="str">
        <x:v>nominal_vdd</x:v>
      </x:c>
      <x:c r="L909" t="str">
        <x:v>model_nominal_vdd</x:v>
      </x:c>
      <x:c r="M909" t="n">
        <x:v>1.1</x:v>
      </x:c>
      <x:c r="N909" t="str">
        <x:v>simulation</x:v>
      </x:c>
      <x:c r="O909" t="str">
        <x:v>ngspice</x:v>
      </x:c>
      <x:c r="P909" t="str">
        <x:v>397141eb8a813045075ac2be3098d3b136ebaf4d597c08fca627922a75e443b7</x:v>
      </x:c>
      <x:c r="Q909" t="str">
        <x:v>data/raw/ptm45_lp_vds_1p1v_raw.txt</x:v>
      </x:c>
    </x:row>
    <x:row r="910">
      <x:c r="A910" t="str">
        <x:v>PTM</x:v>
      </x:c>
      <x:c r="B910" t="str">
        <x:v>NMOS</x:v>
      </x:c>
      <x:c r="C910" s="97" t="n">
        <x:v>45</x:v>
      </x:c>
      <x:c r="D910" s="97" t="str">
        <x:v>LP</x:v>
      </x:c>
      <x:c r="E910" s="99" t="n">
        <x:v>1</x:v>
      </x:c>
      <x:c r="F910" s="99" t="n">
        <x:v>0.045</x:v>
      </x:c>
      <x:c r="G910" s="99" t="n">
        <x:v>25</x:v>
      </x:c>
      <x:c r="H910" s="99" t="n">
        <x:v>1.1</x:v>
      </x:c>
      <x:c r="I910" s="99" t="n">
        <x:v>0.6250000000000006</x:v>
      </x:c>
      <x:c r="J910" s="98" t="n">
        <x:v>0.00004551452935535698</x:v>
      </x:c>
      <x:c r="K910" t="str">
        <x:v>nominal_vdd</x:v>
      </x:c>
      <x:c r="L910" t="str">
        <x:v>model_nominal_vdd</x:v>
      </x:c>
      <x:c r="M910" t="n">
        <x:v>1.1</x:v>
      </x:c>
      <x:c r="N910" t="str">
        <x:v>simulation</x:v>
      </x:c>
      <x:c r="O910" t="str">
        <x:v>ngspice</x:v>
      </x:c>
      <x:c r="P910" t="str">
        <x:v>397141eb8a813045075ac2be3098d3b136ebaf4d597c08fca627922a75e443b7</x:v>
      </x:c>
      <x:c r="Q910" t="str">
        <x:v>data/raw/ptm45_lp_vds_1p1v_raw.txt</x:v>
      </x:c>
    </x:row>
    <x:row r="911">
      <x:c r="A911" t="str">
        <x:v>PTM</x:v>
      </x:c>
      <x:c r="B911" t="str">
        <x:v>NMOS</x:v>
      </x:c>
      <x:c r="C911" s="97" t="n">
        <x:v>45</x:v>
      </x:c>
      <x:c r="D911" s="97" t="str">
        <x:v>LP</x:v>
      </x:c>
      <x:c r="E911" s="99" t="n">
        <x:v>1</x:v>
      </x:c>
      <x:c r="F911" s="99" t="n">
        <x:v>0.045</x:v>
      </x:c>
      <x:c r="G911" s="99" t="n">
        <x:v>25</x:v>
      </x:c>
      <x:c r="H911" s="99" t="n">
        <x:v>1.1</x:v>
      </x:c>
      <x:c r="I911" s="99" t="n">
        <x:v>0.6300000000000006</x:v>
      </x:c>
      <x:c r="J911" s="98" t="n">
        <x:v>0.00004840025806687258</x:v>
      </x:c>
      <x:c r="K911" t="str">
        <x:v>nominal_vdd</x:v>
      </x:c>
      <x:c r="L911" t="str">
        <x:v>model_nominal_vdd</x:v>
      </x:c>
      <x:c r="M911" t="n">
        <x:v>1.1</x:v>
      </x:c>
      <x:c r="N911" t="str">
        <x:v>simulation</x:v>
      </x:c>
      <x:c r="O911" t="str">
        <x:v>ngspice</x:v>
      </x:c>
      <x:c r="P911" t="str">
        <x:v>397141eb8a813045075ac2be3098d3b136ebaf4d597c08fca627922a75e443b7</x:v>
      </x:c>
      <x:c r="Q911" t="str">
        <x:v>data/raw/ptm45_lp_vds_1p1v_raw.txt</x:v>
      </x:c>
    </x:row>
    <x:row r="912">
      <x:c r="A912" t="str">
        <x:v>PTM</x:v>
      </x:c>
      <x:c r="B912" t="str">
        <x:v>NMOS</x:v>
      </x:c>
      <x:c r="C912" s="97" t="n">
        <x:v>45</x:v>
      </x:c>
      <x:c r="D912" s="97" t="str">
        <x:v>LP</x:v>
      </x:c>
      <x:c r="E912" s="99" t="n">
        <x:v>1</x:v>
      </x:c>
      <x:c r="F912" s="99" t="n">
        <x:v>0.045</x:v>
      </x:c>
      <x:c r="G912" s="99" t="n">
        <x:v>25</x:v>
      </x:c>
      <x:c r="H912" s="99" t="n">
        <x:v>1.1</x:v>
      </x:c>
      <x:c r="I912" s="99" t="n">
        <x:v>0.6350000000000006</x:v>
      </x:c>
      <x:c r="J912" s="98" t="n">
        <x:v>0.00005139226684410133</x:v>
      </x:c>
      <x:c r="K912" t="str">
        <x:v>nominal_vdd</x:v>
      </x:c>
      <x:c r="L912" t="str">
        <x:v>model_nominal_vdd</x:v>
      </x:c>
      <x:c r="M912" t="n">
        <x:v>1.1</x:v>
      </x:c>
      <x:c r="N912" t="str">
        <x:v>simulation</x:v>
      </x:c>
      <x:c r="O912" t="str">
        <x:v>ngspice</x:v>
      </x:c>
      <x:c r="P912" t="str">
        <x:v>397141eb8a813045075ac2be3098d3b136ebaf4d597c08fca627922a75e443b7</x:v>
      </x:c>
      <x:c r="Q912" t="str">
        <x:v>data/raw/ptm45_lp_vds_1p1v_raw.txt</x:v>
      </x:c>
    </x:row>
    <x:row r="913">
      <x:c r="A913" t="str">
        <x:v>PTM</x:v>
      </x:c>
      <x:c r="B913" t="str">
        <x:v>NMOS</x:v>
      </x:c>
      <x:c r="C913" s="97" t="n">
        <x:v>45</x:v>
      </x:c>
      <x:c r="D913" s="97" t="str">
        <x:v>LP</x:v>
      </x:c>
      <x:c r="E913" s="99" t="n">
        <x:v>1</x:v>
      </x:c>
      <x:c r="F913" s="99" t="n">
        <x:v>0.045</x:v>
      </x:c>
      <x:c r="G913" s="99" t="n">
        <x:v>25</x:v>
      </x:c>
      <x:c r="H913" s="99" t="n">
        <x:v>1.1</x:v>
      </x:c>
      <x:c r="I913" s="99" t="n">
        <x:v>0.6400000000000006</x:v>
      </x:c>
      <x:c r="J913" s="98" t="n">
        <x:v>0.00005443693388417088</x:v>
      </x:c>
      <x:c r="K913" t="str">
        <x:v>nominal_vdd</x:v>
      </x:c>
      <x:c r="L913" t="str">
        <x:v>model_nominal_vdd</x:v>
      </x:c>
      <x:c r="M913" t="n">
        <x:v>1.1</x:v>
      </x:c>
      <x:c r="N913" t="str">
        <x:v>simulation</x:v>
      </x:c>
      <x:c r="O913" t="str">
        <x:v>ngspice</x:v>
      </x:c>
      <x:c r="P913" t="str">
        <x:v>397141eb8a813045075ac2be3098d3b136ebaf4d597c08fca627922a75e443b7</x:v>
      </x:c>
      <x:c r="Q913" t="str">
        <x:v>data/raw/ptm45_lp_vds_1p1v_raw.txt</x:v>
      </x:c>
    </x:row>
    <x:row r="914">
      <x:c r="A914" t="str">
        <x:v>PTM</x:v>
      </x:c>
      <x:c r="B914" t="str">
        <x:v>NMOS</x:v>
      </x:c>
      <x:c r="C914" s="97" t="n">
        <x:v>45</x:v>
      </x:c>
      <x:c r="D914" s="97" t="str">
        <x:v>LP</x:v>
      </x:c>
      <x:c r="E914" s="99" t="n">
        <x:v>1</x:v>
      </x:c>
      <x:c r="F914" s="99" t="n">
        <x:v>0.045</x:v>
      </x:c>
      <x:c r="G914" s="99" t="n">
        <x:v>25</x:v>
      </x:c>
      <x:c r="H914" s="99" t="n">
        <x:v>1.1</x:v>
      </x:c>
      <x:c r="I914" s="99" t="n">
        <x:v>0.6450000000000006</x:v>
      </x:c>
      <x:c r="J914" s="98" t="n">
        <x:v>0.00005763764526653694</x:v>
      </x:c>
      <x:c r="K914" t="str">
        <x:v>nominal_vdd</x:v>
      </x:c>
      <x:c r="L914" t="str">
        <x:v>model_nominal_vdd</x:v>
      </x:c>
      <x:c r="M914" t="n">
        <x:v>1.1</x:v>
      </x:c>
      <x:c r="N914" t="str">
        <x:v>simulation</x:v>
      </x:c>
      <x:c r="O914" t="str">
        <x:v>ngspice</x:v>
      </x:c>
      <x:c r="P914" t="str">
        <x:v>397141eb8a813045075ac2be3098d3b136ebaf4d597c08fca627922a75e443b7</x:v>
      </x:c>
      <x:c r="Q914" t="str">
        <x:v>data/raw/ptm45_lp_vds_1p1v_raw.txt</x:v>
      </x:c>
    </x:row>
    <x:row r="915">
      <x:c r="A915" t="str">
        <x:v>PTM</x:v>
      </x:c>
      <x:c r="B915" t="str">
        <x:v>NMOS</x:v>
      </x:c>
      <x:c r="C915" s="97" t="n">
        <x:v>45</x:v>
      </x:c>
      <x:c r="D915" s="97" t="str">
        <x:v>LP</x:v>
      </x:c>
      <x:c r="E915" s="99" t="n">
        <x:v>1</x:v>
      </x:c>
      <x:c r="F915" s="99" t="n">
        <x:v>0.045</x:v>
      </x:c>
      <x:c r="G915" s="99" t="n">
        <x:v>25</x:v>
      </x:c>
      <x:c r="H915" s="99" t="n">
        <x:v>1.1</x:v>
      </x:c>
      <x:c r="I915" s="99" t="n">
        <x:v>0.6500000000000006</x:v>
      </x:c>
      <x:c r="J915" s="98" t="n">
        <x:v>0.00006093949943826538</x:v>
      </x:c>
      <x:c r="K915" t="str">
        <x:v>nominal_vdd</x:v>
      </x:c>
      <x:c r="L915" t="str">
        <x:v>model_nominal_vdd</x:v>
      </x:c>
      <x:c r="M915" t="n">
        <x:v>1.1</x:v>
      </x:c>
      <x:c r="N915" t="str">
        <x:v>simulation</x:v>
      </x:c>
      <x:c r="O915" t="str">
        <x:v>ngspice</x:v>
      </x:c>
      <x:c r="P915" t="str">
        <x:v>397141eb8a813045075ac2be3098d3b136ebaf4d597c08fca627922a75e443b7</x:v>
      </x:c>
      <x:c r="Q915" t="str">
        <x:v>data/raw/ptm45_lp_vds_1p1v_raw.txt</x:v>
      </x:c>
    </x:row>
    <x:row r="916">
      <x:c r="A916" t="str">
        <x:v>PTM</x:v>
      </x:c>
      <x:c r="B916" t="str">
        <x:v>NMOS</x:v>
      </x:c>
      <x:c r="C916" s="97" t="n">
        <x:v>45</x:v>
      </x:c>
      <x:c r="D916" s="97" t="str">
        <x:v>LP</x:v>
      </x:c>
      <x:c r="E916" s="99" t="n">
        <x:v>1</x:v>
      </x:c>
      <x:c r="F916" s="99" t="n">
        <x:v>0.045</x:v>
      </x:c>
      <x:c r="G916" s="99" t="n">
        <x:v>25</x:v>
      </x:c>
      <x:c r="H916" s="99" t="n">
        <x:v>1.1</x:v>
      </x:c>
      <x:c r="I916" s="99" t="n">
        <x:v>0.6550000000000006</x:v>
      </x:c>
      <x:c r="J916" s="98" t="n">
        <x:v>0.00006434030592053848</x:v>
      </x:c>
      <x:c r="K916" t="str">
        <x:v>nominal_vdd</x:v>
      </x:c>
      <x:c r="L916" t="str">
        <x:v>model_nominal_vdd</x:v>
      </x:c>
      <x:c r="M916" t="n">
        <x:v>1.1</x:v>
      </x:c>
      <x:c r="N916" t="str">
        <x:v>simulation</x:v>
      </x:c>
      <x:c r="O916" t="str">
        <x:v>ngspice</x:v>
      </x:c>
      <x:c r="P916" t="str">
        <x:v>397141eb8a813045075ac2be3098d3b136ebaf4d597c08fca627922a75e443b7</x:v>
      </x:c>
      <x:c r="Q916" t="str">
        <x:v>data/raw/ptm45_lp_vds_1p1v_raw.txt</x:v>
      </x:c>
    </x:row>
    <x:row r="917">
      <x:c r="A917" t="str">
        <x:v>PTM</x:v>
      </x:c>
      <x:c r="B917" t="str">
        <x:v>NMOS</x:v>
      </x:c>
      <x:c r="C917" s="97" t="n">
        <x:v>45</x:v>
      </x:c>
      <x:c r="D917" s="97" t="str">
        <x:v>LP</x:v>
      </x:c>
      <x:c r="E917" s="99" t="n">
        <x:v>1</x:v>
      </x:c>
      <x:c r="F917" s="99" t="n">
        <x:v>0.045</x:v>
      </x:c>
      <x:c r="G917" s="99" t="n">
        <x:v>25</x:v>
      </x:c>
      <x:c r="H917" s="99" t="n">
        <x:v>1.1</x:v>
      </x:c>
      <x:c r="I917" s="99" t="n">
        <x:v>0.6600000000000006</x:v>
      </x:c>
      <x:c r="J917" s="98" t="n">
        <x:v>0.00006783770013465142</x:v>
      </x:c>
      <x:c r="K917" t="str">
        <x:v>nominal_vdd</x:v>
      </x:c>
      <x:c r="L917" t="str">
        <x:v>model_nominal_vdd</x:v>
      </x:c>
      <x:c r="M917" t="n">
        <x:v>1.1</x:v>
      </x:c>
      <x:c r="N917" t="str">
        <x:v>simulation</x:v>
      </x:c>
      <x:c r="O917" t="str">
        <x:v>ngspice</x:v>
      </x:c>
      <x:c r="P917" t="str">
        <x:v>397141eb8a813045075ac2be3098d3b136ebaf4d597c08fca627922a75e443b7</x:v>
      </x:c>
      <x:c r="Q917" t="str">
        <x:v>data/raw/ptm45_lp_vds_1p1v_raw.txt</x:v>
      </x:c>
    </x:row>
    <x:row r="918">
      <x:c r="A918" t="str">
        <x:v>PTM</x:v>
      </x:c>
      <x:c r="B918" t="str">
        <x:v>NMOS</x:v>
      </x:c>
      <x:c r="C918" s="97" t="n">
        <x:v>45</x:v>
      </x:c>
      <x:c r="D918" s="97" t="str">
        <x:v>LP</x:v>
      </x:c>
      <x:c r="E918" s="99" t="n">
        <x:v>1</x:v>
      </x:c>
      <x:c r="F918" s="99" t="n">
        <x:v>0.045</x:v>
      </x:c>
      <x:c r="G918" s="99" t="n">
        <x:v>25</x:v>
      </x:c>
      <x:c r="H918" s="99" t="n">
        <x:v>1.1</x:v>
      </x:c>
      <x:c r="I918" s="99" t="n">
        <x:v>0.6650000000000006</x:v>
      </x:c>
      <x:c r="J918" s="98" t="n">
        <x:v>0.00007142916834901681</x:v>
      </x:c>
      <x:c r="K918" t="str">
        <x:v>nominal_vdd</x:v>
      </x:c>
      <x:c r="L918" t="str">
        <x:v>model_nominal_vdd</x:v>
      </x:c>
      <x:c r="M918" t="n">
        <x:v>1.1</x:v>
      </x:c>
      <x:c r="N918" t="str">
        <x:v>simulation</x:v>
      </x:c>
      <x:c r="O918" t="str">
        <x:v>ngspice</x:v>
      </x:c>
      <x:c r="P918" t="str">
        <x:v>397141eb8a813045075ac2be3098d3b136ebaf4d597c08fca627922a75e443b7</x:v>
      </x:c>
      <x:c r="Q918" t="str">
        <x:v>data/raw/ptm45_lp_vds_1p1v_raw.txt</x:v>
      </x:c>
    </x:row>
    <x:row r="919">
      <x:c r="A919" t="str">
        <x:v>PTM</x:v>
      </x:c>
      <x:c r="B919" t="str">
        <x:v>NMOS</x:v>
      </x:c>
      <x:c r="C919" s="97" t="n">
        <x:v>45</x:v>
      </x:c>
      <x:c r="D919" s="97" t="str">
        <x:v>LP</x:v>
      </x:c>
      <x:c r="E919" s="99" t="n">
        <x:v>1</x:v>
      </x:c>
      <x:c r="F919" s="99" t="n">
        <x:v>0.045</x:v>
      </x:c>
      <x:c r="G919" s="99" t="n">
        <x:v>25</x:v>
      </x:c>
      <x:c r="H919" s="99" t="n">
        <x:v>1.1</x:v>
      </x:c>
      <x:c r="I919" s="99" t="n">
        <x:v>0.6700000000000006</x:v>
      </x:c>
      <x:c r="J919" s="98" t="n">
        <x:v>0.00007511207218639745</x:v>
      </x:c>
      <x:c r="K919" t="str">
        <x:v>nominal_vdd</x:v>
      </x:c>
      <x:c r="L919" t="str">
        <x:v>model_nominal_vdd</x:v>
      </x:c>
      <x:c r="M919" t="n">
        <x:v>1.1</x:v>
      </x:c>
      <x:c r="N919" t="str">
        <x:v>simulation</x:v>
      </x:c>
      <x:c r="O919" t="str">
        <x:v>ngspice</x:v>
      </x:c>
      <x:c r="P919" t="str">
        <x:v>397141eb8a813045075ac2be3098d3b136ebaf4d597c08fca627922a75e443b7</x:v>
      </x:c>
      <x:c r="Q919" t="str">
        <x:v>data/raw/ptm45_lp_vds_1p1v_raw.txt</x:v>
      </x:c>
    </x:row>
    <x:row r="920">
      <x:c r="A920" t="str">
        <x:v>PTM</x:v>
      </x:c>
      <x:c r="B920" t="str">
        <x:v>NMOS</x:v>
      </x:c>
      <x:c r="C920" s="97" t="n">
        <x:v>45</x:v>
      </x:c>
      <x:c r="D920" s="97" t="str">
        <x:v>LP</x:v>
      </x:c>
      <x:c r="E920" s="99" t="n">
        <x:v>1</x:v>
      </x:c>
      <x:c r="F920" s="99" t="n">
        <x:v>0.045</x:v>
      </x:c>
      <x:c r="G920" s="99" t="n">
        <x:v>25</x:v>
      </x:c>
      <x:c r="H920" s="99" t="n">
        <x:v>1.1</x:v>
      </x:c>
      <x:c r="I920" s="99" t="n">
        <x:v>0.6750000000000006</x:v>
      </x:c>
      <x:c r="J920" s="98" t="n">
        <x:v>0.00007888367237143239</x:v>
      </x:c>
      <x:c r="K920" t="str">
        <x:v>nominal_vdd</x:v>
      </x:c>
      <x:c r="L920" t="str">
        <x:v>model_nominal_vdd</x:v>
      </x:c>
      <x:c r="M920" t="n">
        <x:v>1.1</x:v>
      </x:c>
      <x:c r="N920" t="str">
        <x:v>simulation</x:v>
      </x:c>
      <x:c r="O920" t="str">
        <x:v>ngspice</x:v>
      </x:c>
      <x:c r="P920" t="str">
        <x:v>397141eb8a813045075ac2be3098d3b136ebaf4d597c08fca627922a75e443b7</x:v>
      </x:c>
      <x:c r="Q920" t="str">
        <x:v>data/raw/ptm45_lp_vds_1p1v_raw.txt</x:v>
      </x:c>
    </x:row>
    <x:row r="921">
      <x:c r="A921" t="str">
        <x:v>PTM</x:v>
      </x:c>
      <x:c r="B921" t="str">
        <x:v>NMOS</x:v>
      </x:c>
      <x:c r="C921" s="97" t="n">
        <x:v>45</x:v>
      </x:c>
      <x:c r="D921" s="97" t="str">
        <x:v>LP</x:v>
      </x:c>
      <x:c r="E921" s="99" t="n">
        <x:v>1</x:v>
      </x:c>
      <x:c r="F921" s="99" t="n">
        <x:v>0.045</x:v>
      </x:c>
      <x:c r="G921" s="99" t="n">
        <x:v>25</x:v>
      </x:c>
      <x:c r="H921" s="99" t="n">
        <x:v>1.1</x:v>
      </x:c>
      <x:c r="I921" s="99" t="n">
        <x:v>0.6800000000000006</x:v>
      </x:c>
      <x:c r="J921" s="98" t="n">
        <x:v>0.00008274115145077109</x:v>
      </x:c>
      <x:c r="K921" t="str">
        <x:v>nominal_vdd</x:v>
      </x:c>
      <x:c r="L921" t="str">
        <x:v>model_nominal_vdd</x:v>
      </x:c>
      <x:c r="M921" t="n">
        <x:v>1.1</x:v>
      </x:c>
      <x:c r="N921" t="str">
        <x:v>simulation</x:v>
      </x:c>
      <x:c r="O921" t="str">
        <x:v>ngspice</x:v>
      </x:c>
      <x:c r="P921" t="str">
        <x:v>397141eb8a813045075ac2be3098d3b136ebaf4d597c08fca627922a75e443b7</x:v>
      </x:c>
      <x:c r="Q921" t="str">
        <x:v>data/raw/ptm45_lp_vds_1p1v_raw.txt</x:v>
      </x:c>
    </x:row>
    <x:row r="922">
      <x:c r="A922" t="str">
        <x:v>PTM</x:v>
      </x:c>
      <x:c r="B922" t="str">
        <x:v>NMOS</x:v>
      </x:c>
      <x:c r="C922" s="97" t="n">
        <x:v>45</x:v>
      </x:c>
      <x:c r="D922" s="97" t="str">
        <x:v>LP</x:v>
      </x:c>
      <x:c r="E922" s="99" t="n">
        <x:v>1</x:v>
      </x:c>
      <x:c r="F922" s="99" t="n">
        <x:v>0.045</x:v>
      </x:c>
      <x:c r="G922" s="99" t="n">
        <x:v>25</x:v>
      </x:c>
      <x:c r="H922" s="99" t="n">
        <x:v>1.1</x:v>
      </x:c>
      <x:c r="I922" s="99" t="n">
        <x:v>0.6850000000000006</x:v>
      </x:c>
      <x:c r="J922" s="98" t="n">
        <x:v>0.00008668163527010635</x:v>
      </x:c>
      <x:c r="K922" t="str">
        <x:v>nominal_vdd</x:v>
      </x:c>
      <x:c r="L922" t="str">
        <x:v>model_nominal_vdd</x:v>
      </x:c>
      <x:c r="M922" t="n">
        <x:v>1.1</x:v>
      </x:c>
      <x:c r="N922" t="str">
        <x:v>simulation</x:v>
      </x:c>
      <x:c r="O922" t="str">
        <x:v>ngspice</x:v>
      </x:c>
      <x:c r="P922" t="str">
        <x:v>397141eb8a813045075ac2be3098d3b136ebaf4d597c08fca627922a75e443b7</x:v>
      </x:c>
      <x:c r="Q922" t="str">
        <x:v>data/raw/ptm45_lp_vds_1p1v_raw.txt</x:v>
      </x:c>
    </x:row>
    <x:row r="923">
      <x:c r="A923" t="str">
        <x:v>PTM</x:v>
      </x:c>
      <x:c r="B923" t="str">
        <x:v>NMOS</x:v>
      </x:c>
      <x:c r="C923" s="97" t="n">
        <x:v>45</x:v>
      </x:c>
      <x:c r="D923" s="97" t="str">
        <x:v>LP</x:v>
      </x:c>
      <x:c r="E923" s="99" t="n">
        <x:v>1</x:v>
      </x:c>
      <x:c r="F923" s="99" t="n">
        <x:v>0.045</x:v>
      </x:c>
      <x:c r="G923" s="99" t="n">
        <x:v>25</x:v>
      </x:c>
      <x:c r="H923" s="99" t="n">
        <x:v>1.1</x:v>
      </x:c>
      <x:c r="I923" s="99" t="n">
        <x:v>0.6900000000000006</x:v>
      </x:c>
      <x:c r="J923" s="98" t="n">
        <x:v>0.00009070221304262191</x:v>
      </x:c>
      <x:c r="K923" t="str">
        <x:v>nominal_vdd</x:v>
      </x:c>
      <x:c r="L923" t="str">
        <x:v>model_nominal_vdd</x:v>
      </x:c>
      <x:c r="M923" t="n">
        <x:v>1.1</x:v>
      </x:c>
      <x:c r="N923" t="str">
        <x:v>simulation</x:v>
      </x:c>
      <x:c r="O923" t="str">
        <x:v>ngspice</x:v>
      </x:c>
      <x:c r="P923" t="str">
        <x:v>397141eb8a813045075ac2be3098d3b136ebaf4d597c08fca627922a75e443b7</x:v>
      </x:c>
      <x:c r="Q923" t="str">
        <x:v>data/raw/ptm45_lp_vds_1p1v_raw.txt</x:v>
      </x:c>
    </x:row>
    <x:row r="924">
      <x:c r="A924" t="str">
        <x:v>PTM</x:v>
      </x:c>
      <x:c r="B924" t="str">
        <x:v>NMOS</x:v>
      </x:c>
      <x:c r="C924" s="97" t="n">
        <x:v>45</x:v>
      </x:c>
      <x:c r="D924" s="97" t="str">
        <x:v>LP</x:v>
      </x:c>
      <x:c r="E924" s="99" t="n">
        <x:v>1</x:v>
      </x:c>
      <x:c r="F924" s="99" t="n">
        <x:v>0.045</x:v>
      </x:c>
      <x:c r="G924" s="99" t="n">
        <x:v>25</x:v>
      </x:c>
      <x:c r="H924" s="99" t="n">
        <x:v>1.1</x:v>
      </x:c>
      <x:c r="I924" s="99" t="n">
        <x:v>0.6950000000000006</x:v>
      </x:c>
      <x:c r="J924" s="98" t="n">
        <x:v>0.00009479995589045445</x:v>
      </x:c>
      <x:c r="K924" t="str">
        <x:v>nominal_vdd</x:v>
      </x:c>
      <x:c r="L924" t="str">
        <x:v>model_nominal_vdd</x:v>
      </x:c>
      <x:c r="M924" t="n">
        <x:v>1.1</x:v>
      </x:c>
      <x:c r="N924" t="str">
        <x:v>simulation</x:v>
      </x:c>
      <x:c r="O924" t="str">
        <x:v>ngspice</x:v>
      </x:c>
      <x:c r="P924" t="str">
        <x:v>397141eb8a813045075ac2be3098d3b136ebaf4d597c08fca627922a75e443b7</x:v>
      </x:c>
      <x:c r="Q924" t="str">
        <x:v>data/raw/ptm45_lp_vds_1p1v_raw.txt</x:v>
      </x:c>
    </x:row>
    <x:row r="925">
      <x:c r="A925" t="str">
        <x:v>PTM</x:v>
      </x:c>
      <x:c r="B925" t="str">
        <x:v>NMOS</x:v>
      </x:c>
      <x:c r="C925" s="97" t="n">
        <x:v>45</x:v>
      </x:c>
      <x:c r="D925" s="97" t="str">
        <x:v>LP</x:v>
      </x:c>
      <x:c r="E925" s="99" t="n">
        <x:v>1</x:v>
      </x:c>
      <x:c r="F925" s="99" t="n">
        <x:v>0.045</x:v>
      </x:c>
      <x:c r="G925" s="99" t="n">
        <x:v>25</x:v>
      </x:c>
      <x:c r="H925" s="99" t="n">
        <x:v>1.1</x:v>
      </x:c>
      <x:c r="I925" s="99" t="n">
        <x:v>0.7000000000000006</x:v>
      </x:c>
      <x:c r="J925" s="98" t="n">
        <x:v>0.00009897193378384545</x:v>
      </x:c>
      <x:c r="K925" t="str">
        <x:v>nominal_vdd</x:v>
      </x:c>
      <x:c r="L925" t="str">
        <x:v>model_nominal_vdd</x:v>
      </x:c>
      <x:c r="M925" t="n">
        <x:v>1.1</x:v>
      </x:c>
      <x:c r="N925" t="str">
        <x:v>simulation</x:v>
      </x:c>
      <x:c r="O925" t="str">
        <x:v>ngspice</x:v>
      </x:c>
      <x:c r="P925" t="str">
        <x:v>397141eb8a813045075ac2be3098d3b136ebaf4d597c08fca627922a75e443b7</x:v>
      </x:c>
      <x:c r="Q925" t="str">
        <x:v>data/raw/ptm45_lp_vds_1p1v_raw.txt</x:v>
      </x:c>
    </x:row>
    <x:row r="926">
      <x:c r="A926" t="str">
        <x:v>PTM</x:v>
      </x:c>
      <x:c r="B926" t="str">
        <x:v>NMOS</x:v>
      </x:c>
      <x:c r="C926" s="97" t="n">
        <x:v>45</x:v>
      </x:c>
      <x:c r="D926" s="97" t="str">
        <x:v>LP</x:v>
      </x:c>
      <x:c r="E926" s="99" t="n">
        <x:v>1</x:v>
      </x:c>
      <x:c r="F926" s="99" t="n">
        <x:v>0.045</x:v>
      </x:c>
      <x:c r="G926" s="99" t="n">
        <x:v>25</x:v>
      </x:c>
      <x:c r="H926" s="99" t="n">
        <x:v>1.1</x:v>
      </x:c>
      <x:c r="I926" s="99" t="n">
        <x:v>0.7050000000000006</x:v>
      </x:c>
      <x:c r="J926" s="98" t="n">
        <x:v>0.0001032152308411885</x:v>
      </x:c>
      <x:c r="K926" t="str">
        <x:v>nominal_vdd</x:v>
      </x:c>
      <x:c r="L926" t="str">
        <x:v>model_nominal_vdd</x:v>
      </x:c>
      <x:c r="M926" t="n">
        <x:v>1.1</x:v>
      </x:c>
      <x:c r="N926" t="str">
        <x:v>simulation</x:v>
      </x:c>
      <x:c r="O926" t="str">
        <x:v>ngspice</x:v>
      </x:c>
      <x:c r="P926" t="str">
        <x:v>397141eb8a813045075ac2be3098d3b136ebaf4d597c08fca627922a75e443b7</x:v>
      </x:c>
      <x:c r="Q926" t="str">
        <x:v>data/raw/ptm45_lp_vds_1p1v_raw.txt</x:v>
      </x:c>
    </x:row>
    <x:row r="927">
      <x:c r="A927" t="str">
        <x:v>PTM</x:v>
      </x:c>
      <x:c r="B927" t="str">
        <x:v>NMOS</x:v>
      </x:c>
      <x:c r="C927" s="97" t="n">
        <x:v>45</x:v>
      </x:c>
      <x:c r="D927" s="97" t="str">
        <x:v>LP</x:v>
      </x:c>
      <x:c r="E927" s="99" t="n">
        <x:v>1</x:v>
      </x:c>
      <x:c r="F927" s="99" t="n">
        <x:v>0.045</x:v>
      </x:c>
      <x:c r="G927" s="99" t="n">
        <x:v>25</x:v>
      </x:c>
      <x:c r="H927" s="99" t="n">
        <x:v>1.1</x:v>
      </x:c>
      <x:c r="I927" s="99" t="n">
        <x:v>0.7100000000000006</x:v>
      </x:c>
      <x:c r="J927" s="98" t="n">
        <x:v>0.0001075269589865843</x:v>
      </x:c>
      <x:c r="K927" t="str">
        <x:v>nominal_vdd</x:v>
      </x:c>
      <x:c r="L927" t="str">
        <x:v>model_nominal_vdd</x:v>
      </x:c>
      <x:c r="M927" t="n">
        <x:v>1.1</x:v>
      </x:c>
      <x:c r="N927" t="str">
        <x:v>simulation</x:v>
      </x:c>
      <x:c r="O927" t="str">
        <x:v>ngspice</x:v>
      </x:c>
      <x:c r="P927" t="str">
        <x:v>397141eb8a813045075ac2be3098d3b136ebaf4d597c08fca627922a75e443b7</x:v>
      </x:c>
      <x:c r="Q927" t="str">
        <x:v>data/raw/ptm45_lp_vds_1p1v_raw.txt</x:v>
      </x:c>
    </x:row>
    <x:row r="928">
      <x:c r="A928" t="str">
        <x:v>PTM</x:v>
      </x:c>
      <x:c r="B928" t="str">
        <x:v>NMOS</x:v>
      </x:c>
      <x:c r="C928" s="97" t="n">
        <x:v>45</x:v>
      </x:c>
      <x:c r="D928" s="97" t="str">
        <x:v>LP</x:v>
      </x:c>
      <x:c r="E928" s="99" t="n">
        <x:v>1</x:v>
      </x:c>
      <x:c r="F928" s="99" t="n">
        <x:v>0.045</x:v>
      </x:c>
      <x:c r="G928" s="99" t="n">
        <x:v>25</x:v>
      </x:c>
      <x:c r="H928" s="99" t="n">
        <x:v>1.1</x:v>
      </x:c>
      <x:c r="I928" s="99" t="n">
        <x:v>0.7150000000000006</x:v>
      </x:c>
      <x:c r="J928" s="98" t="n">
        <x:v>0.0001119042699900652</x:v>
      </x:c>
      <x:c r="K928" t="str">
        <x:v>nominal_vdd</x:v>
      </x:c>
      <x:c r="L928" t="str">
        <x:v>model_nominal_vdd</x:v>
      </x:c>
      <x:c r="M928" t="n">
        <x:v>1.1</x:v>
      </x:c>
      <x:c r="N928" t="str">
        <x:v>simulation</x:v>
      </x:c>
      <x:c r="O928" t="str">
        <x:v>ngspice</x:v>
      </x:c>
      <x:c r="P928" t="str">
        <x:v>397141eb8a813045075ac2be3098d3b136ebaf4d597c08fca627922a75e443b7</x:v>
      </x:c>
      <x:c r="Q928" t="str">
        <x:v>data/raw/ptm45_lp_vds_1p1v_raw.txt</x:v>
      </x:c>
    </x:row>
    <x:row r="929">
      <x:c r="A929" t="str">
        <x:v>PTM</x:v>
      </x:c>
      <x:c r="B929" t="str">
        <x:v>NMOS</x:v>
      </x:c>
      <x:c r="C929" s="97" t="n">
        <x:v>45</x:v>
      </x:c>
      <x:c r="D929" s="97" t="str">
        <x:v>LP</x:v>
      </x:c>
      <x:c r="E929" s="99" t="n">
        <x:v>1</x:v>
      </x:c>
      <x:c r="F929" s="99" t="n">
        <x:v>0.045</x:v>
      </x:c>
      <x:c r="G929" s="99" t="n">
        <x:v>25</x:v>
      </x:c>
      <x:c r="H929" s="99" t="n">
        <x:v>1.1</x:v>
      </x:c>
      <x:c r="I929" s="99" t="n">
        <x:v>0.7200000000000006</x:v>
      </x:c>
      <x:c r="J929" s="98" t="n">
        <x:v>0.0001163443659390512</x:v>
      </x:c>
      <x:c r="K929" t="str">
        <x:v>nominal_vdd</x:v>
      </x:c>
      <x:c r="L929" t="str">
        <x:v>model_nominal_vdd</x:v>
      </x:c>
      <x:c r="M929" t="n">
        <x:v>1.1</x:v>
      </x:c>
      <x:c r="N929" t="str">
        <x:v>simulation</x:v>
      </x:c>
      <x:c r="O929" t="str">
        <x:v>ngspice</x:v>
      </x:c>
      <x:c r="P929" t="str">
        <x:v>397141eb8a813045075ac2be3098d3b136ebaf4d597c08fca627922a75e443b7</x:v>
      </x:c>
      <x:c r="Q929" t="str">
        <x:v>data/raw/ptm45_lp_vds_1p1v_raw.txt</x:v>
      </x:c>
    </x:row>
    <x:row r="930">
      <x:c r="A930" t="str">
        <x:v>PTM</x:v>
      </x:c>
      <x:c r="B930" t="str">
        <x:v>NMOS</x:v>
      </x:c>
      <x:c r="C930" s="97" t="n">
        <x:v>45</x:v>
      </x:c>
      <x:c r="D930" s="97" t="str">
        <x:v>LP</x:v>
      </x:c>
      <x:c r="E930" s="99" t="n">
        <x:v>1</x:v>
      </x:c>
      <x:c r="F930" s="99" t="n">
        <x:v>0.045</x:v>
      </x:c>
      <x:c r="G930" s="99" t="n">
        <x:v>25</x:v>
      </x:c>
      <x:c r="H930" s="99" t="n">
        <x:v>1.1</x:v>
      </x:c>
      <x:c r="I930" s="99" t="n">
        <x:v>0.7250000000000006</x:v>
      </x:c>
      <x:c r="J930" s="98" t="n">
        <x:v>0.0001208445082083672</x:v>
      </x:c>
      <x:c r="K930" t="str">
        <x:v>nominal_vdd</x:v>
      </x:c>
      <x:c r="L930" t="str">
        <x:v>model_nominal_vdd</x:v>
      </x:c>
      <x:c r="M930" t="n">
        <x:v>1.1</x:v>
      </x:c>
      <x:c r="N930" t="str">
        <x:v>simulation</x:v>
      </x:c>
      <x:c r="O930" t="str">
        <x:v>ngspice</x:v>
      </x:c>
      <x:c r="P930" t="str">
        <x:v>397141eb8a813045075ac2be3098d3b136ebaf4d597c08fca627922a75e443b7</x:v>
      </x:c>
      <x:c r="Q930" t="str">
        <x:v>data/raw/ptm45_lp_vds_1p1v_raw.txt</x:v>
      </x:c>
    </x:row>
    <x:row r="931">
      <x:c r="A931" t="str">
        <x:v>PTM</x:v>
      </x:c>
      <x:c r="B931" t="str">
        <x:v>NMOS</x:v>
      </x:c>
      <x:c r="C931" s="97" t="n">
        <x:v>45</x:v>
      </x:c>
      <x:c r="D931" s="97" t="str">
        <x:v>LP</x:v>
      </x:c>
      <x:c r="E931" s="99" t="n">
        <x:v>1</x:v>
      </x:c>
      <x:c r="F931" s="99" t="n">
        <x:v>0.045</x:v>
      </x:c>
      <x:c r="G931" s="99" t="n">
        <x:v>25</x:v>
      </x:c>
      <x:c r="H931" s="99" t="n">
        <x:v>1.1</x:v>
      </x:c>
      <x:c r="I931" s="99" t="n">
        <x:v>0.7300000000000006</x:v>
      </x:c>
      <x:c r="J931" s="98" t="n">
        <x:v>0.0001254020250104838</x:v>
      </x:c>
      <x:c r="K931" t="str">
        <x:v>nominal_vdd</x:v>
      </x:c>
      <x:c r="L931" t="str">
        <x:v>model_nominal_vdd</x:v>
      </x:c>
      <x:c r="M931" t="n">
        <x:v>1.1</x:v>
      </x:c>
      <x:c r="N931" t="str">
        <x:v>simulation</x:v>
      </x:c>
      <x:c r="O931" t="str">
        <x:v>ngspice</x:v>
      </x:c>
      <x:c r="P931" t="str">
        <x:v>397141eb8a813045075ac2be3098d3b136ebaf4d597c08fca627922a75e443b7</x:v>
      </x:c>
      <x:c r="Q931" t="str">
        <x:v>data/raw/ptm45_lp_vds_1p1v_raw.txt</x:v>
      </x:c>
    </x:row>
    <x:row r="932">
      <x:c r="A932" t="str">
        <x:v>PTM</x:v>
      </x:c>
      <x:c r="B932" t="str">
        <x:v>NMOS</x:v>
      </x:c>
      <x:c r="C932" s="97" t="n">
        <x:v>45</x:v>
      </x:c>
      <x:c r="D932" s="97" t="str">
        <x:v>LP</x:v>
      </x:c>
      <x:c r="E932" s="99" t="n">
        <x:v>1</x:v>
      </x:c>
      <x:c r="F932" s="99" t="n">
        <x:v>0.045</x:v>
      </x:c>
      <x:c r="G932" s="99" t="n">
        <x:v>25</x:v>
      </x:c>
      <x:c r="H932" s="99" t="n">
        <x:v>1.1</x:v>
      </x:c>
      <x:c r="I932" s="99" t="n">
        <x:v>0.7350000000000007</x:v>
      </x:c>
      <x:c r="J932" s="98" t="n">
        <x:v>0.0001300143176180472</x:v>
      </x:c>
      <x:c r="K932" t="str">
        <x:v>nominal_vdd</x:v>
      </x:c>
      <x:c r="L932" t="str">
        <x:v>model_nominal_vdd</x:v>
      </x:c>
      <x:c r="M932" t="n">
        <x:v>1.1</x:v>
      </x:c>
      <x:c r="N932" t="str">
        <x:v>simulation</x:v>
      </x:c>
      <x:c r="O932" t="str">
        <x:v>ngspice</x:v>
      </x:c>
      <x:c r="P932" t="str">
        <x:v>397141eb8a813045075ac2be3098d3b136ebaf4d597c08fca627922a75e443b7</x:v>
      </x:c>
      <x:c r="Q932" t="str">
        <x:v>data/raw/ptm45_lp_vds_1p1v_raw.txt</x:v>
      </x:c>
    </x:row>
    <x:row r="933">
      <x:c r="A933" t="str">
        <x:v>PTM</x:v>
      </x:c>
      <x:c r="B933" t="str">
        <x:v>NMOS</x:v>
      </x:c>
      <x:c r="C933" s="97" t="n">
        <x:v>45</x:v>
      </x:c>
      <x:c r="D933" s="97" t="str">
        <x:v>LP</x:v>
      </x:c>
      <x:c r="E933" s="99" t="n">
        <x:v>1</x:v>
      </x:c>
      <x:c r="F933" s="99" t="n">
        <x:v>0.045</x:v>
      </x:c>
      <x:c r="G933" s="99" t="n">
        <x:v>25</x:v>
      </x:c>
      <x:c r="H933" s="99" t="n">
        <x:v>1.1</x:v>
      </x:c>
      <x:c r="I933" s="99" t="n">
        <x:v>0.7400000000000007</x:v>
      </x:c>
      <x:c r="J933" s="98" t="n">
        <x:v>0.0001346788653575842</x:v>
      </x:c>
      <x:c r="K933" t="str">
        <x:v>nominal_vdd</x:v>
      </x:c>
      <x:c r="L933" t="str">
        <x:v>model_nominal_vdd</x:v>
      </x:c>
      <x:c r="M933" t="n">
        <x:v>1.1</x:v>
      </x:c>
      <x:c r="N933" t="str">
        <x:v>simulation</x:v>
      </x:c>
      <x:c r="O933" t="str">
        <x:v>ngspice</x:v>
      </x:c>
      <x:c r="P933" t="str">
        <x:v>397141eb8a813045075ac2be3098d3b136ebaf4d597c08fca627922a75e443b7</x:v>
      </x:c>
      <x:c r="Q933" t="str">
        <x:v>data/raw/ptm45_lp_vds_1p1v_raw.txt</x:v>
      </x:c>
    </x:row>
    <x:row r="934">
      <x:c r="A934" t="str">
        <x:v>PTM</x:v>
      </x:c>
      <x:c r="B934" t="str">
        <x:v>NMOS</x:v>
      </x:c>
      <x:c r="C934" s="97" t="n">
        <x:v>45</x:v>
      </x:c>
      <x:c r="D934" s="97" t="str">
        <x:v>LP</x:v>
      </x:c>
      <x:c r="E934" s="99" t="n">
        <x:v>1</x:v>
      </x:c>
      <x:c r="F934" s="99" t="n">
        <x:v>0.045</x:v>
      </x:c>
      <x:c r="G934" s="99" t="n">
        <x:v>25</x:v>
      </x:c>
      <x:c r="H934" s="99" t="n">
        <x:v>1.1</x:v>
      </x:c>
      <x:c r="I934" s="99" t="n">
        <x:v>0.7450000000000007</x:v>
      </x:c>
      <x:c r="J934" s="98" t="n">
        <x:v>0.0001393932294771137</x:v>
      </x:c>
      <x:c r="K934" t="str">
        <x:v>nominal_vdd</x:v>
      </x:c>
      <x:c r="L934" t="str">
        <x:v>model_nominal_vdd</x:v>
      </x:c>
      <x:c r="M934" t="n">
        <x:v>1.1</x:v>
      </x:c>
      <x:c r="N934" t="str">
        <x:v>simulation</x:v>
      </x:c>
      <x:c r="O934" t="str">
        <x:v>ngspice</x:v>
      </x:c>
      <x:c r="P934" t="str">
        <x:v>397141eb8a813045075ac2be3098d3b136ebaf4d597c08fca627922a75e443b7</x:v>
      </x:c>
      <x:c r="Q934" t="str">
        <x:v>data/raw/ptm45_lp_vds_1p1v_raw.txt</x:v>
      </x:c>
    </x:row>
    <x:row r="935">
      <x:c r="A935" t="str">
        <x:v>PTM</x:v>
      </x:c>
      <x:c r="B935" t="str">
        <x:v>NMOS</x:v>
      </x:c>
      <x:c r="C935" s="97" t="n">
        <x:v>45</x:v>
      </x:c>
      <x:c r="D935" s="97" t="str">
        <x:v>LP</x:v>
      </x:c>
      <x:c r="E935" s="99" t="n">
        <x:v>1</x:v>
      </x:c>
      <x:c r="F935" s="99" t="n">
        <x:v>0.045</x:v>
      </x:c>
      <x:c r="G935" s="99" t="n">
        <x:v>25</x:v>
      </x:c>
      <x:c r="H935" s="99" t="n">
        <x:v>1.1</x:v>
      </x:c>
      <x:c r="I935" s="99" t="n">
        <x:v>0.7500000000000007</x:v>
      </x:c>
      <x:c r="J935" s="98" t="n">
        <x:v>0.0001441550559916308</x:v>
      </x:c>
      <x:c r="K935" t="str">
        <x:v>nominal_vdd</x:v>
      </x:c>
      <x:c r="L935" t="str">
        <x:v>model_nominal_vdd</x:v>
      </x:c>
      <x:c r="M935" t="n">
        <x:v>1.1</x:v>
      </x:c>
      <x:c r="N935" t="str">
        <x:v>simulation</x:v>
      </x:c>
      <x:c r="O935" t="str">
        <x:v>ngspice</x:v>
      </x:c>
      <x:c r="P935" t="str">
        <x:v>397141eb8a813045075ac2be3098d3b136ebaf4d597c08fca627922a75e443b7</x:v>
      </x:c>
      <x:c r="Q935" t="str">
        <x:v>data/raw/ptm45_lp_vds_1p1v_raw.txt</x:v>
      </x:c>
    </x:row>
    <x:row r="936">
      <x:c r="A936" t="str">
        <x:v>PTM</x:v>
      </x:c>
      <x:c r="B936" t="str">
        <x:v>NMOS</x:v>
      </x:c>
      <x:c r="C936" s="97" t="n">
        <x:v>45</x:v>
      </x:c>
      <x:c r="D936" s="97" t="str">
        <x:v>LP</x:v>
      </x:c>
      <x:c r="E936" s="99" t="n">
        <x:v>1</x:v>
      </x:c>
      <x:c r="F936" s="99" t="n">
        <x:v>0.045</x:v>
      </x:c>
      <x:c r="G936" s="99" t="n">
        <x:v>25</x:v>
      </x:c>
      <x:c r="H936" s="99" t="n">
        <x:v>1.1</x:v>
      </x:c>
      <x:c r="I936" s="99" t="n">
        <x:v>0.7550000000000007</x:v>
      </x:c>
      <x:c r="J936" s="98" t="n">
        <x:v>0.0001489620776095081</x:v>
      </x:c>
      <x:c r="K936" t="str">
        <x:v>nominal_vdd</x:v>
      </x:c>
      <x:c r="L936" t="str">
        <x:v>model_nominal_vdd</x:v>
      </x:c>
      <x:c r="M936" t="n">
        <x:v>1.1</x:v>
      </x:c>
      <x:c r="N936" t="str">
        <x:v>simulation</x:v>
      </x:c>
      <x:c r="O936" t="str">
        <x:v>ngspice</x:v>
      </x:c>
      <x:c r="P936" t="str">
        <x:v>397141eb8a813045075ac2be3098d3b136ebaf4d597c08fca627922a75e443b7</x:v>
      </x:c>
      <x:c r="Q936" t="str">
        <x:v>data/raw/ptm45_lp_vds_1p1v_raw.txt</x:v>
      </x:c>
    </x:row>
    <x:row r="937">
      <x:c r="A937" t="str">
        <x:v>PTM</x:v>
      </x:c>
      <x:c r="B937" t="str">
        <x:v>NMOS</x:v>
      </x:c>
      <x:c r="C937" s="97" t="n">
        <x:v>45</x:v>
      </x:c>
      <x:c r="D937" s="97" t="str">
        <x:v>LP</x:v>
      </x:c>
      <x:c r="E937" s="99" t="n">
        <x:v>1</x:v>
      </x:c>
      <x:c r="F937" s="99" t="n">
        <x:v>0.045</x:v>
      </x:c>
      <x:c r="G937" s="99" t="n">
        <x:v>25</x:v>
      </x:c>
      <x:c r="H937" s="99" t="n">
        <x:v>1.1</x:v>
      </x:c>
      <x:c r="I937" s="99" t="n">
        <x:v>0.7600000000000007</x:v>
      </x:c>
      <x:c r="J937" s="98" t="n">
        <x:v>0.000153812114840301</x:v>
      </x:c>
      <x:c r="K937" t="str">
        <x:v>nominal_vdd</x:v>
      </x:c>
      <x:c r="L937" t="str">
        <x:v>model_nominal_vdd</x:v>
      </x:c>
      <x:c r="M937" t="n">
        <x:v>1.1</x:v>
      </x:c>
      <x:c r="N937" t="str">
        <x:v>simulation</x:v>
      </x:c>
      <x:c r="O937" t="str">
        <x:v>ngspice</x:v>
      </x:c>
      <x:c r="P937" t="str">
        <x:v>397141eb8a813045075ac2be3098d3b136ebaf4d597c08fca627922a75e443b7</x:v>
      </x:c>
      <x:c r="Q937" t="str">
        <x:v>data/raw/ptm45_lp_vds_1p1v_raw.txt</x:v>
      </x:c>
    </x:row>
    <x:row r="938">
      <x:c r="A938" t="str">
        <x:v>PTM</x:v>
      </x:c>
      <x:c r="B938" t="str">
        <x:v>NMOS</x:v>
      </x:c>
      <x:c r="C938" s="97" t="n">
        <x:v>45</x:v>
      </x:c>
      <x:c r="D938" s="97" t="str">
        <x:v>LP</x:v>
      </x:c>
      <x:c r="E938" s="99" t="n">
        <x:v>1</x:v>
      </x:c>
      <x:c r="F938" s="99" t="n">
        <x:v>0.045</x:v>
      </x:c>
      <x:c r="G938" s="99" t="n">
        <x:v>25</x:v>
      </x:c>
      <x:c r="H938" s="99" t="n">
        <x:v>1.1</x:v>
      </x:c>
      <x:c r="I938" s="99" t="n">
        <x:v>0.7650000000000007</x:v>
      </x:c>
      <x:c r="J938" s="98" t="n">
        <x:v>0.0001587030763804585</x:v>
      </x:c>
      <x:c r="K938" t="str">
        <x:v>nominal_vdd</x:v>
      </x:c>
      <x:c r="L938" t="str">
        <x:v>model_nominal_vdd</x:v>
      </x:c>
      <x:c r="M938" t="n">
        <x:v>1.1</x:v>
      </x:c>
      <x:c r="N938" t="str">
        <x:v>simulation</x:v>
      </x:c>
      <x:c r="O938" t="str">
        <x:v>ngspice</x:v>
      </x:c>
      <x:c r="P938" t="str">
        <x:v>397141eb8a813045075ac2be3098d3b136ebaf4d597c08fca627922a75e443b7</x:v>
      </x:c>
      <x:c r="Q938" t="str">
        <x:v>data/raw/ptm45_lp_vds_1p1v_raw.txt</x:v>
      </x:c>
    </x:row>
    <x:row r="939">
      <x:c r="A939" t="str">
        <x:v>PTM</x:v>
      </x:c>
      <x:c r="B939" t="str">
        <x:v>NMOS</x:v>
      </x:c>
      <x:c r="C939" s="97" t="n">
        <x:v>45</x:v>
      </x:c>
      <x:c r="D939" s="97" t="str">
        <x:v>LP</x:v>
      </x:c>
      <x:c r="E939" s="99" t="n">
        <x:v>1</x:v>
      </x:c>
      <x:c r="F939" s="99" t="n">
        <x:v>0.045</x:v>
      </x:c>
      <x:c r="G939" s="99" t="n">
        <x:v>25</x:v>
      </x:c>
      <x:c r="H939" s="99" t="n">
        <x:v>1.1</x:v>
      </x:c>
      <x:c r="I939" s="99" t="n">
        <x:v>0.7700000000000007</x:v>
      </x:c>
      <x:c r="J939" s="98" t="n">
        <x:v>0.0001636329588685269</x:v>
      </x:c>
      <x:c r="K939" t="str">
        <x:v>nominal_vdd</x:v>
      </x:c>
      <x:c r="L939" t="str">
        <x:v>model_nominal_vdd</x:v>
      </x:c>
      <x:c r="M939" t="n">
        <x:v>1.1</x:v>
      </x:c>
      <x:c r="N939" t="str">
        <x:v>simulation</x:v>
      </x:c>
      <x:c r="O939" t="str">
        <x:v>ngspice</x:v>
      </x:c>
      <x:c r="P939" t="str">
        <x:v>397141eb8a813045075ac2be3098d3b136ebaf4d597c08fca627922a75e443b7</x:v>
      </x:c>
      <x:c r="Q939" t="str">
        <x:v>data/raw/ptm45_lp_vds_1p1v_raw.txt</x:v>
      </x:c>
    </x:row>
    <x:row r="940">
      <x:c r="A940" t="str">
        <x:v>PTM</x:v>
      </x:c>
      <x:c r="B940" t="str">
        <x:v>NMOS</x:v>
      </x:c>
      <x:c r="C940" s="97" t="n">
        <x:v>45</x:v>
      </x:c>
      <x:c r="D940" s="97" t="str">
        <x:v>LP</x:v>
      </x:c>
      <x:c r="E940" s="99" t="n">
        <x:v>1</x:v>
      </x:c>
      <x:c r="F940" s="99" t="n">
        <x:v>0.045</x:v>
      </x:c>
      <x:c r="G940" s="99" t="n">
        <x:v>25</x:v>
      </x:c>
      <x:c r="H940" s="99" t="n">
        <x:v>1.1</x:v>
      </x:c>
      <x:c r="I940" s="99" t="n">
        <x:v>0.7750000000000007</x:v>
      </x:c>
      <x:c r="J940" s="98" t="n">
        <x:v>0.0001685998460957582</x:v>
      </x:c>
      <x:c r="K940" t="str">
        <x:v>nominal_vdd</x:v>
      </x:c>
      <x:c r="L940" t="str">
        <x:v>model_nominal_vdd</x:v>
      </x:c>
      <x:c r="M940" t="n">
        <x:v>1.1</x:v>
      </x:c>
      <x:c r="N940" t="str">
        <x:v>simulation</x:v>
      </x:c>
      <x:c r="O940" t="str">
        <x:v>ngspice</x:v>
      </x:c>
      <x:c r="P940" t="str">
        <x:v>397141eb8a813045075ac2be3098d3b136ebaf4d597c08fca627922a75e443b7</x:v>
      </x:c>
      <x:c r="Q940" t="str">
        <x:v>data/raw/ptm45_lp_vds_1p1v_raw.txt</x:v>
      </x:c>
    </x:row>
    <x:row r="941">
      <x:c r="A941" t="str">
        <x:v>PTM</x:v>
      </x:c>
      <x:c r="B941" t="str">
        <x:v>NMOS</x:v>
      </x:c>
      <x:c r="C941" s="97" t="n">
        <x:v>45</x:v>
      </x:c>
      <x:c r="D941" s="97" t="str">
        <x:v>LP</x:v>
      </x:c>
      <x:c r="E941" s="99" t="n">
        <x:v>1</x:v>
      </x:c>
      <x:c r="F941" s="99" t="n">
        <x:v>0.045</x:v>
      </x:c>
      <x:c r="G941" s="99" t="n">
        <x:v>25</x:v>
      </x:c>
      <x:c r="H941" s="99" t="n">
        <x:v>1.1</x:v>
      </x:c>
      <x:c r="I941" s="99" t="n">
        <x:v>0.7800000000000007</x:v>
      </x:c>
      <x:c r="J941" s="98" t="n">
        <x:v>0.0001736019077519425</x:v>
      </x:c>
      <x:c r="K941" t="str">
        <x:v>nominal_vdd</x:v>
      </x:c>
      <x:c r="L941" t="str">
        <x:v>model_nominal_vdd</x:v>
      </x:c>
      <x:c r="M941" t="n">
        <x:v>1.1</x:v>
      </x:c>
      <x:c r="N941" t="str">
        <x:v>simulation</x:v>
      </x:c>
      <x:c r="O941" t="str">
        <x:v>ngspice</x:v>
      </x:c>
      <x:c r="P941" t="str">
        <x:v>397141eb8a813045075ac2be3098d3b136ebaf4d597c08fca627922a75e443b7</x:v>
      </x:c>
      <x:c r="Q941" t="str">
        <x:v>data/raw/ptm45_lp_vds_1p1v_raw.txt</x:v>
      </x:c>
    </x:row>
    <x:row r="942">
      <x:c r="A942" t="str">
        <x:v>PTM</x:v>
      </x:c>
      <x:c r="B942" t="str">
        <x:v>NMOS</x:v>
      </x:c>
      <x:c r="C942" s="97" t="n">
        <x:v>45</x:v>
      </x:c>
      <x:c r="D942" s="97" t="str">
        <x:v>LP</x:v>
      </x:c>
      <x:c r="E942" s="99" t="n">
        <x:v>1</x:v>
      </x:c>
      <x:c r="F942" s="99" t="n">
        <x:v>0.045</x:v>
      </x:c>
      <x:c r="G942" s="99" t="n">
        <x:v>25</x:v>
      </x:c>
      <x:c r="H942" s="99" t="n">
        <x:v>1.1</x:v>
      </x:c>
      <x:c r="I942" s="99" t="n">
        <x:v>0.7850000000000007</x:v>
      </x:c>
      <x:c r="J942" s="98" t="n">
        <x:v>0.0001786373977799468</x:v>
      </x:c>
      <x:c r="K942" t="str">
        <x:v>nominal_vdd</x:v>
      </x:c>
      <x:c r="L942" t="str">
        <x:v>model_nominal_vdd</x:v>
      </x:c>
      <x:c r="M942" t="n">
        <x:v>1.1</x:v>
      </x:c>
      <x:c r="N942" t="str">
        <x:v>simulation</x:v>
      </x:c>
      <x:c r="O942" t="str">
        <x:v>ngspice</x:v>
      </x:c>
      <x:c r="P942" t="str">
        <x:v>397141eb8a813045075ac2be3098d3b136ebaf4d597c08fca627922a75e443b7</x:v>
      </x:c>
      <x:c r="Q942" t="str">
        <x:v>data/raw/ptm45_lp_vds_1p1v_raw.txt</x:v>
      </x:c>
    </x:row>
    <x:row r="943">
      <x:c r="A943" t="str">
        <x:v>PTM</x:v>
      </x:c>
      <x:c r="B943" t="str">
        <x:v>NMOS</x:v>
      </x:c>
      <x:c r="C943" s="97" t="n">
        <x:v>45</x:v>
      </x:c>
      <x:c r="D943" s="97" t="str">
        <x:v>LP</x:v>
      </x:c>
      <x:c r="E943" s="99" t="n">
        <x:v>1</x:v>
      </x:c>
      <x:c r="F943" s="99" t="n">
        <x:v>0.045</x:v>
      </x:c>
      <x:c r="G943" s="99" t="n">
        <x:v>25</x:v>
      </x:c>
      <x:c r="H943" s="99" t="n">
        <x:v>1.1</x:v>
      </x:c>
      <x:c r="I943" s="99" t="n">
        <x:v>0.7900000000000007</x:v>
      </x:c>
      <x:c r="J943" s="98" t="n">
        <x:v>0.00018370465240598</x:v>
      </x:c>
      <x:c r="K943" t="str">
        <x:v>nominal_vdd</x:v>
      </x:c>
      <x:c r="L943" t="str">
        <x:v>model_nominal_vdd</x:v>
      </x:c>
      <x:c r="M943" t="n">
        <x:v>1.1</x:v>
      </x:c>
      <x:c r="N943" t="str">
        <x:v>simulation</x:v>
      </x:c>
      <x:c r="O943" t="str">
        <x:v>ngspice</x:v>
      </x:c>
      <x:c r="P943" t="str">
        <x:v>397141eb8a813045075ac2be3098d3b136ebaf4d597c08fca627922a75e443b7</x:v>
      </x:c>
      <x:c r="Q943" t="str">
        <x:v>data/raw/ptm45_lp_vds_1p1v_raw.txt</x:v>
      </x:c>
    </x:row>
    <x:row r="944">
      <x:c r="A944" t="str">
        <x:v>PTM</x:v>
      </x:c>
      <x:c r="B944" t="str">
        <x:v>NMOS</x:v>
      </x:c>
      <x:c r="C944" s="97" t="n">
        <x:v>45</x:v>
      </x:c>
      <x:c r="D944" s="97" t="str">
        <x:v>LP</x:v>
      </x:c>
      <x:c r="E944" s="99" t="n">
        <x:v>1</x:v>
      </x:c>
      <x:c r="F944" s="99" t="n">
        <x:v>0.045</x:v>
      </x:c>
      <x:c r="G944" s="99" t="n">
        <x:v>25</x:v>
      </x:c>
      <x:c r="H944" s="99" t="n">
        <x:v>1.1</x:v>
      </x:c>
      <x:c r="I944" s="99" t="n">
        <x:v>0.7950000000000007</x:v>
      </x:c>
      <x:c r="J944" s="98" t="n">
        <x:v>0.0001888020879062449</x:v>
      </x:c>
      <x:c r="K944" t="str">
        <x:v>nominal_vdd</x:v>
      </x:c>
      <x:c r="L944" t="str">
        <x:v>model_nominal_vdd</x:v>
      </x:c>
      <x:c r="M944" t="n">
        <x:v>1.1</x:v>
      </x:c>
      <x:c r="N944" t="str">
        <x:v>simulation</x:v>
      </x:c>
      <x:c r="O944" t="str">
        <x:v>ngspice</x:v>
      </x:c>
      <x:c r="P944" t="str">
        <x:v>397141eb8a813045075ac2be3098d3b136ebaf4d597c08fca627922a75e443b7</x:v>
      </x:c>
      <x:c r="Q944" t="str">
        <x:v>data/raw/ptm45_lp_vds_1p1v_raw.txt</x:v>
      </x:c>
    </x:row>
    <x:row r="945">
      <x:c r="A945" t="str">
        <x:v>PTM</x:v>
      </x:c>
      <x:c r="B945" t="str">
        <x:v>NMOS</x:v>
      </x:c>
      <x:c r="C945" s="97" t="n">
        <x:v>45</x:v>
      </x:c>
      <x:c r="D945" s="97" t="str">
        <x:v>LP</x:v>
      </x:c>
      <x:c r="E945" s="99" t="n">
        <x:v>1</x:v>
      </x:c>
      <x:c r="F945" s="99" t="n">
        <x:v>0.045</x:v>
      </x:c>
      <x:c r="G945" s="99" t="n">
        <x:v>25</x:v>
      </x:c>
      <x:c r="H945" s="99" t="n">
        <x:v>1.1</x:v>
      </x:c>
      <x:c r="I945" s="99" t="n">
        <x:v>0.8000000000000007</x:v>
      </x:c>
      <x:c r="J945" s="98" t="n">
        <x:v>0.0001939281981645185</x:v>
      </x:c>
      <x:c r="K945" t="str">
        <x:v>nominal_vdd</x:v>
      </x:c>
      <x:c r="L945" t="str">
        <x:v>model_nominal_vdd</x:v>
      </x:c>
      <x:c r="M945" t="n">
        <x:v>1.1</x:v>
      </x:c>
      <x:c r="N945" t="str">
        <x:v>simulation</x:v>
      </x:c>
      <x:c r="O945" t="str">
        <x:v>ngspice</x:v>
      </x:c>
      <x:c r="P945" t="str">
        <x:v>397141eb8a813045075ac2be3098d3b136ebaf4d597c08fca627922a75e443b7</x:v>
      </x:c>
      <x:c r="Q945" t="str">
        <x:v>data/raw/ptm45_lp_vds_1p1v_raw.txt</x:v>
      </x:c>
    </x:row>
    <x:row r="946">
      <x:c r="A946" t="str">
        <x:v>PTM</x:v>
      </x:c>
      <x:c r="B946" t="str">
        <x:v>NMOS</x:v>
      </x:c>
      <x:c r="C946" s="97" t="n">
        <x:v>45</x:v>
      </x:c>
      <x:c r="D946" s="97" t="str">
        <x:v>LP</x:v>
      </x:c>
      <x:c r="E946" s="99" t="n">
        <x:v>1</x:v>
      </x:c>
      <x:c r="F946" s="99" t="n">
        <x:v>0.045</x:v>
      </x:c>
      <x:c r="G946" s="99" t="n">
        <x:v>25</x:v>
      </x:c>
      <x:c r="H946" s="99" t="n">
        <x:v>1.1</x:v>
      </x:c>
      <x:c r="I946" s="99" t="n">
        <x:v>0.8050000000000007</x:v>
      </x:c>
      <x:c r="J946" s="98" t="n">
        <x:v>0.0001990815520691398</x:v>
      </x:c>
      <x:c r="K946" t="str">
        <x:v>nominal_vdd</x:v>
      </x:c>
      <x:c r="L946" t="str">
        <x:v>model_nominal_vdd</x:v>
      </x:c>
      <x:c r="M946" t="n">
        <x:v>1.1</x:v>
      </x:c>
      <x:c r="N946" t="str">
        <x:v>simulation</x:v>
      </x:c>
      <x:c r="O946" t="str">
        <x:v>ngspice</x:v>
      </x:c>
      <x:c r="P946" t="str">
        <x:v>397141eb8a813045075ac2be3098d3b136ebaf4d597c08fca627922a75e443b7</x:v>
      </x:c>
      <x:c r="Q946" t="str">
        <x:v>data/raw/ptm45_lp_vds_1p1v_raw.txt</x:v>
      </x:c>
    </x:row>
    <x:row r="947">
      <x:c r="A947" t="str">
        <x:v>PTM</x:v>
      </x:c>
      <x:c r="B947" t="str">
        <x:v>NMOS</x:v>
      </x:c>
      <x:c r="C947" s="97" t="n">
        <x:v>45</x:v>
      </x:c>
      <x:c r="D947" s="97" t="str">
        <x:v>LP</x:v>
      </x:c>
      <x:c r="E947" s="99" t="n">
        <x:v>1</x:v>
      </x:c>
      <x:c r="F947" s="99" t="n">
        <x:v>0.045</x:v>
      </x:c>
      <x:c r="G947" s="99" t="n">
        <x:v>25</x:v>
      </x:c>
      <x:c r="H947" s="99" t="n">
        <x:v>1.1</x:v>
      </x:c>
      <x:c r="I947" s="99" t="n">
        <x:v>0.8100000000000007</x:v>
      </x:c>
      <x:c r="J947" s="98" t="n">
        <x:v>0.0002042607907924118</x:v>
      </x:c>
      <x:c r="K947" t="str">
        <x:v>nominal_vdd</x:v>
      </x:c>
      <x:c r="L947" t="str">
        <x:v>model_nominal_vdd</x:v>
      </x:c>
      <x:c r="M947" t="n">
        <x:v>1.1</x:v>
      </x:c>
      <x:c r="N947" t="str">
        <x:v>simulation</x:v>
      </x:c>
      <x:c r="O947" t="str">
        <x:v>ngspice</x:v>
      </x:c>
      <x:c r="P947" t="str">
        <x:v>397141eb8a813045075ac2be3098d3b136ebaf4d597c08fca627922a75e443b7</x:v>
      </x:c>
      <x:c r="Q947" t="str">
        <x:v>data/raw/ptm45_lp_vds_1p1v_raw.txt</x:v>
      </x:c>
    </x:row>
    <x:row r="948">
      <x:c r="A948" t="str">
        <x:v>PTM</x:v>
      </x:c>
      <x:c r="B948" t="str">
        <x:v>NMOS</x:v>
      </x:c>
      <x:c r="C948" s="97" t="n">
        <x:v>45</x:v>
      </x:c>
      <x:c r="D948" s="97" t="str">
        <x:v>LP</x:v>
      </x:c>
      <x:c r="E948" s="99" t="n">
        <x:v>1</x:v>
      </x:c>
      <x:c r="F948" s="99" t="n">
        <x:v>0.045</x:v>
      </x:c>
      <x:c r="G948" s="99" t="n">
        <x:v>25</x:v>
      </x:c>
      <x:c r="H948" s="99" t="n">
        <x:v>1.1</x:v>
      </x:c>
      <x:c r="I948" s="99" t="n">
        <x:v>0.8150000000000007</x:v>
      </x:c>
      <x:c r="J948" s="98" t="n">
        <x:v>0.0002094646249900284</x:v>
      </x:c>
      <x:c r="K948" t="str">
        <x:v>nominal_vdd</x:v>
      </x:c>
      <x:c r="L948" t="str">
        <x:v>model_nominal_vdd</x:v>
      </x:c>
      <x:c r="M948" t="n">
        <x:v>1.1</x:v>
      </x:c>
      <x:c r="N948" t="str">
        <x:v>simulation</x:v>
      </x:c>
      <x:c r="O948" t="str">
        <x:v>ngspice</x:v>
      </x:c>
      <x:c r="P948" t="str">
        <x:v>397141eb8a813045075ac2be3098d3b136ebaf4d597c08fca627922a75e443b7</x:v>
      </x:c>
      <x:c r="Q948" t="str">
        <x:v>data/raw/ptm45_lp_vds_1p1v_raw.txt</x:v>
      </x:c>
    </x:row>
    <x:row r="949">
      <x:c r="A949" t="str">
        <x:v>PTM</x:v>
      </x:c>
      <x:c r="B949" t="str">
        <x:v>NMOS</x:v>
      </x:c>
      <x:c r="C949" s="97" t="n">
        <x:v>45</x:v>
      </x:c>
      <x:c r="D949" s="97" t="str">
        <x:v>LP</x:v>
      </x:c>
      <x:c r="E949" s="99" t="n">
        <x:v>1</x:v>
      </x:c>
      <x:c r="F949" s="99" t="n">
        <x:v>0.045</x:v>
      </x:c>
      <x:c r="G949" s="99" t="n">
        <x:v>25</x:v>
      </x:c>
      <x:c r="H949" s="99" t="n">
        <x:v>1.1</x:v>
      </x:c>
      <x:c r="I949" s="99" t="n">
        <x:v>0.8200000000000007</x:v>
      </x:c>
      <x:c r="J949" s="98" t="n">
        <x:v>0.0002146918319533532</x:v>
      </x:c>
      <x:c r="K949" t="str">
        <x:v>nominal_vdd</x:v>
      </x:c>
      <x:c r="L949" t="str">
        <x:v>model_nominal_vdd</x:v>
      </x:c>
      <x:c r="M949" t="n">
        <x:v>1.1</x:v>
      </x:c>
      <x:c r="N949" t="str">
        <x:v>simulation</x:v>
      </x:c>
      <x:c r="O949" t="str">
        <x:v>ngspice</x:v>
      </x:c>
      <x:c r="P949" t="str">
        <x:v>397141eb8a813045075ac2be3098d3b136ebaf4d597c08fca627922a75e443b7</x:v>
      </x:c>
      <x:c r="Q949" t="str">
        <x:v>data/raw/ptm45_lp_vds_1p1v_raw.txt</x:v>
      </x:c>
    </x:row>
    <x:row r="950">
      <x:c r="A950" t="str">
        <x:v>PTM</x:v>
      </x:c>
      <x:c r="B950" t="str">
        <x:v>NMOS</x:v>
      </x:c>
      <x:c r="C950" s="97" t="n">
        <x:v>45</x:v>
      </x:c>
      <x:c r="D950" s="97" t="str">
        <x:v>LP</x:v>
      </x:c>
      <x:c r="E950" s="99" t="n">
        <x:v>1</x:v>
      </x:c>
      <x:c r="F950" s="99" t="n">
        <x:v>0.045</x:v>
      </x:c>
      <x:c r="G950" s="99" t="n">
        <x:v>25</x:v>
      </x:c>
      <x:c r="H950" s="99" t="n">
        <x:v>1.1</x:v>
      </x:c>
      <x:c r="I950" s="99" t="n">
        <x:v>0.8250000000000007</x:v>
      </x:c>
      <x:c r="J950" s="98" t="n">
        <x:v>0.0002199412527428092</x:v>
      </x:c>
      <x:c r="K950" t="str">
        <x:v>nominal_vdd</x:v>
      </x:c>
      <x:c r="L950" t="str">
        <x:v>model_nominal_vdd</x:v>
      </x:c>
      <x:c r="M950" t="n">
        <x:v>1.1</x:v>
      </x:c>
      <x:c r="N950" t="str">
        <x:v>simulation</x:v>
      </x:c>
      <x:c r="O950" t="str">
        <x:v>ngspice</x:v>
      </x:c>
      <x:c r="P950" t="str">
        <x:v>397141eb8a813045075ac2be3098d3b136ebaf4d597c08fca627922a75e443b7</x:v>
      </x:c>
      <x:c r="Q950" t="str">
        <x:v>data/raw/ptm45_lp_vds_1p1v_raw.txt</x:v>
      </x:c>
    </x:row>
    <x:row r="951">
      <x:c r="A951" t="str">
        <x:v>PTM</x:v>
      </x:c>
      <x:c r="B951" t="str">
        <x:v>NMOS</x:v>
      </x:c>
      <x:c r="C951" s="97" t="n">
        <x:v>45</x:v>
      </x:c>
      <x:c r="D951" s="97" t="str">
        <x:v>LP</x:v>
      </x:c>
      <x:c r="E951" s="99" t="n">
        <x:v>1</x:v>
      </x:c>
      <x:c r="F951" s="99" t="n">
        <x:v>0.045</x:v>
      </x:c>
      <x:c r="G951" s="99" t="n">
        <x:v>25</x:v>
      </x:c>
      <x:c r="H951" s="99" t="n">
        <x:v>1.1</x:v>
      </x:c>
      <x:c r="I951" s="99" t="n">
        <x:v>0.8300000000000007</x:v>
      </x:c>
      <x:c r="J951" s="98" t="n">
        <x:v>0.0002252117893265782</x:v>
      </x:c>
      <x:c r="K951" t="str">
        <x:v>nominal_vdd</x:v>
      </x:c>
      <x:c r="L951" t="str">
        <x:v>model_nominal_vdd</x:v>
      </x:c>
      <x:c r="M951" t="n">
        <x:v>1.1</x:v>
      </x:c>
      <x:c r="N951" t="str">
        <x:v>simulation</x:v>
      </x:c>
      <x:c r="O951" t="str">
        <x:v>ngspice</x:v>
      </x:c>
      <x:c r="P951" t="str">
        <x:v>397141eb8a813045075ac2be3098d3b136ebaf4d597c08fca627922a75e443b7</x:v>
      </x:c>
      <x:c r="Q951" t="str">
        <x:v>data/raw/ptm45_lp_vds_1p1v_raw.txt</x:v>
      </x:c>
    </x:row>
    <x:row r="952">
      <x:c r="A952" t="str">
        <x:v>PTM</x:v>
      </x:c>
      <x:c r="B952" t="str">
        <x:v>NMOS</x:v>
      </x:c>
      <x:c r="C952" s="97" t="n">
        <x:v>45</x:v>
      </x:c>
      <x:c r="D952" s="97" t="str">
        <x:v>LP</x:v>
      </x:c>
      <x:c r="E952" s="99" t="n">
        <x:v>1</x:v>
      </x:c>
      <x:c r="F952" s="99" t="n">
        <x:v>0.045</x:v>
      </x:c>
      <x:c r="G952" s="99" t="n">
        <x:v>25</x:v>
      </x:c>
      <x:c r="H952" s="99" t="n">
        <x:v>1.1</x:v>
      </x:c>
      <x:c r="I952" s="99" t="n">
        <x:v>0.8350000000000007</x:v>
      </x:c>
      <x:c r="J952" s="98" t="n">
        <x:v>0.0002305024017450677</x:v>
      </x:c>
      <x:c r="K952" t="str">
        <x:v>nominal_vdd</x:v>
      </x:c>
      <x:c r="L952" t="str">
        <x:v>model_nominal_vdd</x:v>
      </x:c>
      <x:c r="M952" t="n">
        <x:v>1.1</x:v>
      </x:c>
      <x:c r="N952" t="str">
        <x:v>simulation</x:v>
      </x:c>
      <x:c r="O952" t="str">
        <x:v>ngspice</x:v>
      </x:c>
      <x:c r="P952" t="str">
        <x:v>397141eb8a813045075ac2be3098d3b136ebaf4d597c08fca627922a75e443b7</x:v>
      </x:c>
      <x:c r="Q952" t="str">
        <x:v>data/raw/ptm45_lp_vds_1p1v_raw.txt</x:v>
      </x:c>
    </x:row>
    <x:row r="953">
      <x:c r="A953" t="str">
        <x:v>PTM</x:v>
      </x:c>
      <x:c r="B953" t="str">
        <x:v>NMOS</x:v>
      </x:c>
      <x:c r="C953" s="97" t="n">
        <x:v>45</x:v>
      </x:c>
      <x:c r="D953" s="97" t="str">
        <x:v>LP</x:v>
      </x:c>
      <x:c r="E953" s="99" t="n">
        <x:v>1</x:v>
      </x:c>
      <x:c r="F953" s="99" t="n">
        <x:v>0.045</x:v>
      </x:c>
      <x:c r="G953" s="99" t="n">
        <x:v>25</x:v>
      </x:c>
      <x:c r="H953" s="99" t="n">
        <x:v>1.1</x:v>
      </x:c>
      <x:c r="I953" s="99" t="n">
        <x:v>0.8400000000000007</x:v>
      </x:c>
      <x:c r="J953" s="98" t="n">
        <x:v>0.0002358121053182578</x:v>
      </x:c>
      <x:c r="K953" t="str">
        <x:v>nominal_vdd</x:v>
      </x:c>
      <x:c r="L953" t="str">
        <x:v>model_nominal_vdd</x:v>
      </x:c>
      <x:c r="M953" t="n">
        <x:v>1.1</x:v>
      </x:c>
      <x:c r="N953" t="str">
        <x:v>simulation</x:v>
      </x:c>
      <x:c r="O953" t="str">
        <x:v>ngspice</x:v>
      </x:c>
      <x:c r="P953" t="str">
        <x:v>397141eb8a813045075ac2be3098d3b136ebaf4d597c08fca627922a75e443b7</x:v>
      </x:c>
      <x:c r="Q953" t="str">
        <x:v>data/raw/ptm45_lp_vds_1p1v_raw.txt</x:v>
      </x:c>
    </x:row>
    <x:row r="954">
      <x:c r="A954" t="str">
        <x:v>PTM</x:v>
      </x:c>
      <x:c r="B954" t="str">
        <x:v>NMOS</x:v>
      </x:c>
      <x:c r="C954" s="97" t="n">
        <x:v>45</x:v>
      </x:c>
      <x:c r="D954" s="97" t="str">
        <x:v>LP</x:v>
      </x:c>
      <x:c r="E954" s="99" t="n">
        <x:v>1</x:v>
      </x:c>
      <x:c r="F954" s="99" t="n">
        <x:v>0.045</x:v>
      </x:c>
      <x:c r="G954" s="99" t="n">
        <x:v>25</x:v>
      </x:c>
      <x:c r="H954" s="99" t="n">
        <x:v>1.1</x:v>
      </x:c>
      <x:c r="I954" s="99" t="n">
        <x:v>0.8450000000000008</x:v>
      </x:c>
      <x:c r="J954" s="98" t="n">
        <x:v>0.0002411399679100366</x:v>
      </x:c>
      <x:c r="K954" t="str">
        <x:v>nominal_vdd</x:v>
      </x:c>
      <x:c r="L954" t="str">
        <x:v>model_nominal_vdd</x:v>
      </x:c>
      <x:c r="M954" t="n">
        <x:v>1.1</x:v>
      </x:c>
      <x:c r="N954" t="str">
        <x:v>simulation</x:v>
      </x:c>
      <x:c r="O954" t="str">
        <x:v>ngspice</x:v>
      </x:c>
      <x:c r="P954" t="str">
        <x:v>397141eb8a813045075ac2be3098d3b136ebaf4d597c08fca627922a75e443b7</x:v>
      </x:c>
      <x:c r="Q954" t="str">
        <x:v>data/raw/ptm45_lp_vds_1p1v_raw.txt</x:v>
      </x:c>
    </x:row>
    <x:row r="955">
      <x:c r="A955" t="str">
        <x:v>PTM</x:v>
      </x:c>
      <x:c r="B955" t="str">
        <x:v>NMOS</x:v>
      </x:c>
      <x:c r="C955" s="97" t="n">
        <x:v>45</x:v>
      </x:c>
      <x:c r="D955" s="97" t="str">
        <x:v>LP</x:v>
      </x:c>
      <x:c r="E955" s="99" t="n">
        <x:v>1</x:v>
      </x:c>
      <x:c r="F955" s="99" t="n">
        <x:v>0.045</x:v>
      </x:c>
      <x:c r="G955" s="99" t="n">
        <x:v>25</x:v>
      </x:c>
      <x:c r="H955" s="99" t="n">
        <x:v>1.1</x:v>
      </x:c>
      <x:c r="I955" s="99" t="n">
        <x:v>0.8500000000000008</x:v>
      </x:c>
      <x:c r="J955" s="98" t="n">
        <x:v>0.0002464851072609993</x:v>
      </x:c>
      <x:c r="K955" t="str">
        <x:v>nominal_vdd</x:v>
      </x:c>
      <x:c r="L955" t="str">
        <x:v>model_nominal_vdd</x:v>
      </x:c>
      <x:c r="M955" t="n">
        <x:v>1.1</x:v>
      </x:c>
      <x:c r="N955" t="str">
        <x:v>simulation</x:v>
      </x:c>
      <x:c r="O955" t="str">
        <x:v>ngspice</x:v>
      </x:c>
      <x:c r="P955" t="str">
        <x:v>397141eb8a813045075ac2be3098d3b136ebaf4d597c08fca627922a75e443b7</x:v>
      </x:c>
      <x:c r="Q955" t="str">
        <x:v>data/raw/ptm45_lp_vds_1p1v_raw.txt</x:v>
      </x:c>
    </x:row>
    <x:row r="956">
      <x:c r="A956" t="str">
        <x:v>PTM</x:v>
      </x:c>
      <x:c r="B956" t="str">
        <x:v>NMOS</x:v>
      </x:c>
      <x:c r="C956" s="97" t="n">
        <x:v>45</x:v>
      </x:c>
      <x:c r="D956" s="97" t="str">
        <x:v>LP</x:v>
      </x:c>
      <x:c r="E956" s="99" t="n">
        <x:v>1</x:v>
      </x:c>
      <x:c r="F956" s="99" t="n">
        <x:v>0.045</x:v>
      </x:c>
      <x:c r="G956" s="99" t="n">
        <x:v>25</x:v>
      </x:c>
      <x:c r="H956" s="99" t="n">
        <x:v>1.1</x:v>
      </x:c>
      <x:c r="I956" s="99" t="n">
        <x:v>0.8550000000000008</x:v>
      </x:c>
      <x:c r="J956" s="98" t="n">
        <x:v>0.0002518466883987931</x:v>
      </x:c>
      <x:c r="K956" t="str">
        <x:v>nominal_vdd</x:v>
      </x:c>
      <x:c r="L956" t="str">
        <x:v>model_nominal_vdd</x:v>
      </x:c>
      <x:c r="M956" t="n">
        <x:v>1.1</x:v>
      </x:c>
      <x:c r="N956" t="str">
        <x:v>simulation</x:v>
      </x:c>
      <x:c r="O956" t="str">
        <x:v>ngspice</x:v>
      </x:c>
      <x:c r="P956" t="str">
        <x:v>397141eb8a813045075ac2be3098d3b136ebaf4d597c08fca627922a75e443b7</x:v>
      </x:c>
      <x:c r="Q956" t="str">
        <x:v>data/raw/ptm45_lp_vds_1p1v_raw.txt</x:v>
      </x:c>
    </x:row>
    <x:row r="957">
      <x:c r="A957" t="str">
        <x:v>PTM</x:v>
      </x:c>
      <x:c r="B957" t="str">
        <x:v>NMOS</x:v>
      </x:c>
      <x:c r="C957" s="97" t="n">
        <x:v>45</x:v>
      </x:c>
      <x:c r="D957" s="97" t="str">
        <x:v>LP</x:v>
      </x:c>
      <x:c r="E957" s="99" t="n">
        <x:v>1</x:v>
      </x:c>
      <x:c r="F957" s="99" t="n">
        <x:v>0.045</x:v>
      </x:c>
      <x:c r="G957" s="99" t="n">
        <x:v>25</x:v>
      </x:c>
      <x:c r="H957" s="99" t="n">
        <x:v>1.1</x:v>
      </x:c>
      <x:c r="I957" s="99" t="n">
        <x:v>0.8600000000000008</x:v>
      </x:c>
      <x:c r="J957" s="98" t="n">
        <x:v>0.0002572239211330581</x:v>
      </x:c>
      <x:c r="K957" t="str">
        <x:v>nominal_vdd</x:v>
      </x:c>
      <x:c r="L957" t="str">
        <x:v>model_nominal_vdd</x:v>
      </x:c>
      <x:c r="M957" t="n">
        <x:v>1.1</x:v>
      </x:c>
      <x:c r="N957" t="str">
        <x:v>simulation</x:v>
      </x:c>
      <x:c r="O957" t="str">
        <x:v>ngspice</x:v>
      </x:c>
      <x:c r="P957" t="str">
        <x:v>397141eb8a813045075ac2be3098d3b136ebaf4d597c08fca627922a75e443b7</x:v>
      </x:c>
      <x:c r="Q957" t="str">
        <x:v>data/raw/ptm45_lp_vds_1p1v_raw.txt</x:v>
      </x:c>
    </x:row>
    <x:row r="958">
      <x:c r="A958" t="str">
        <x:v>PTM</x:v>
      </x:c>
      <x:c r="B958" t="str">
        <x:v>NMOS</x:v>
      </x:c>
      <x:c r="C958" s="97" t="n">
        <x:v>45</x:v>
      </x:c>
      <x:c r="D958" s="97" t="str">
        <x:v>LP</x:v>
      </x:c>
      <x:c r="E958" s="99" t="n">
        <x:v>1</x:v>
      </x:c>
      <x:c r="F958" s="99" t="n">
        <x:v>0.045</x:v>
      </x:c>
      <x:c r="G958" s="99" t="n">
        <x:v>25</x:v>
      </x:c>
      <x:c r="H958" s="99" t="n">
        <x:v>1.1</x:v>
      </x:c>
      <x:c r="I958" s="99" t="n">
        <x:v>0.8650000000000008</x:v>
      </x:c>
      <x:c r="J958" s="98" t="n">
        <x:v>0.0002626160577606355</x:v>
      </x:c>
      <x:c r="K958" t="str">
        <x:v>nominal_vdd</x:v>
      </x:c>
      <x:c r="L958" t="str">
        <x:v>model_nominal_vdd</x:v>
      </x:c>
      <x:c r="M958" t="n">
        <x:v>1.1</x:v>
      </x:c>
      <x:c r="N958" t="str">
        <x:v>simulation</x:v>
      </x:c>
      <x:c r="O958" t="str">
        <x:v>ngspice</x:v>
      </x:c>
      <x:c r="P958" t="str">
        <x:v>397141eb8a813045075ac2be3098d3b136ebaf4d597c08fca627922a75e443b7</x:v>
      </x:c>
      <x:c r="Q958" t="str">
        <x:v>data/raw/ptm45_lp_vds_1p1v_raw.txt</x:v>
      </x:c>
    </x:row>
    <x:row r="959">
      <x:c r="A959" t="str">
        <x:v>PTM</x:v>
      </x:c>
      <x:c r="B959" t="str">
        <x:v>NMOS</x:v>
      </x:c>
      <x:c r="C959" s="97" t="n">
        <x:v>45</x:v>
      </x:c>
      <x:c r="D959" s="97" t="str">
        <x:v>LP</x:v>
      </x:c>
      <x:c r="E959" s="99" t="n">
        <x:v>1</x:v>
      </x:c>
      <x:c r="F959" s="99" t="n">
        <x:v>0.045</x:v>
      </x:c>
      <x:c r="G959" s="99" t="n">
        <x:v>25</x:v>
      </x:c>
      <x:c r="H959" s="99" t="n">
        <x:v>1.1</x:v>
      </x:c>
      <x:c r="I959" s="99" t="n">
        <x:v>0.8700000000000008</x:v>
      </x:c>
      <x:c r="J959" s="98" t="n">
        <x:v>0.0002680223903168005</x:v>
      </x:c>
      <x:c r="K959" t="str">
        <x:v>nominal_vdd</x:v>
      </x:c>
      <x:c r="L959" t="str">
        <x:v>model_nominal_vdd</x:v>
      </x:c>
      <x:c r="M959" t="n">
        <x:v>1.1</x:v>
      </x:c>
      <x:c r="N959" t="str">
        <x:v>simulation</x:v>
      </x:c>
      <x:c r="O959" t="str">
        <x:v>ngspice</x:v>
      </x:c>
      <x:c r="P959" t="str">
        <x:v>397141eb8a813045075ac2be3098d3b136ebaf4d597c08fca627922a75e443b7</x:v>
      </x:c>
      <x:c r="Q959" t="str">
        <x:v>data/raw/ptm45_lp_vds_1p1v_raw.txt</x:v>
      </x:c>
    </x:row>
    <x:row r="960">
      <x:c r="A960" t="str">
        <x:v>PTM</x:v>
      </x:c>
      <x:c r="B960" t="str">
        <x:v>NMOS</x:v>
      </x:c>
      <x:c r="C960" s="97" t="n">
        <x:v>45</x:v>
      </x:c>
      <x:c r="D960" s="97" t="str">
        <x:v>LP</x:v>
      </x:c>
      <x:c r="E960" s="99" t="n">
        <x:v>1</x:v>
      </x:c>
      <x:c r="F960" s="99" t="n">
        <x:v>0.045</x:v>
      </x:c>
      <x:c r="G960" s="99" t="n">
        <x:v>25</x:v>
      </x:c>
      <x:c r="H960" s="99" t="n">
        <x:v>1.1</x:v>
      </x:c>
      <x:c r="I960" s="99" t="n">
        <x:v>0.8750000000000008</x:v>
      </x:c>
      <x:c r="J960" s="98" t="n">
        <x:v>0.000273442248904699</x:v>
      </x:c>
      <x:c r="K960" t="str">
        <x:v>nominal_vdd</x:v>
      </x:c>
      <x:c r="L960" t="str">
        <x:v>model_nominal_vdd</x:v>
      </x:c>
      <x:c r="M960" t="n">
        <x:v>1.1</x:v>
      </x:c>
      <x:c r="N960" t="str">
        <x:v>simulation</x:v>
      </x:c>
      <x:c r="O960" t="str">
        <x:v>ngspice</x:v>
      </x:c>
      <x:c r="P960" t="str">
        <x:v>397141eb8a813045075ac2be3098d3b136ebaf4d597c08fca627922a75e443b7</x:v>
      </x:c>
      <x:c r="Q960" t="str">
        <x:v>data/raw/ptm45_lp_vds_1p1v_raw.txt</x:v>
      </x:c>
    </x:row>
    <x:row r="961">
      <x:c r="A961" t="str">
        <x:v>PTM</x:v>
      </x:c>
      <x:c r="B961" t="str">
        <x:v>NMOS</x:v>
      </x:c>
      <x:c r="C961" s="97" t="n">
        <x:v>45</x:v>
      </x:c>
      <x:c r="D961" s="97" t="str">
        <x:v>LP</x:v>
      </x:c>
      <x:c r="E961" s="99" t="n">
        <x:v>1</x:v>
      </x:c>
      <x:c r="F961" s="99" t="n">
        <x:v>0.045</x:v>
      </x:c>
      <x:c r="G961" s="99" t="n">
        <x:v>25</x:v>
      </x:c>
      <x:c r="H961" s="99" t="n">
        <x:v>1.1</x:v>
      </x:c>
      <x:c r="I961" s="99" t="n">
        <x:v>0.8800000000000008</x:v>
      </x:c>
      <x:c r="J961" s="98" t="n">
        <x:v>0.0002788749992555167</x:v>
      </x:c>
      <x:c r="K961" t="str">
        <x:v>nominal_vdd</x:v>
      </x:c>
      <x:c r="L961" t="str">
        <x:v>model_nominal_vdd</x:v>
      </x:c>
      <x:c r="M961" t="n">
        <x:v>1.1</x:v>
      </x:c>
      <x:c r="N961" t="str">
        <x:v>simulation</x:v>
      </x:c>
      <x:c r="O961" t="str">
        <x:v>ngspice</x:v>
      </x:c>
      <x:c r="P961" t="str">
        <x:v>397141eb8a813045075ac2be3098d3b136ebaf4d597c08fca627922a75e443b7</x:v>
      </x:c>
      <x:c r="Q961" t="str">
        <x:v>data/raw/ptm45_lp_vds_1p1v_raw.txt</x:v>
      </x:c>
    </x:row>
    <x:row r="962">
      <x:c r="A962" t="str">
        <x:v>PTM</x:v>
      </x:c>
      <x:c r="B962" t="str">
        <x:v>NMOS</x:v>
      </x:c>
      <x:c r="C962" s="97" t="n">
        <x:v>45</x:v>
      </x:c>
      <x:c r="D962" s="97" t="str">
        <x:v>LP</x:v>
      </x:c>
      <x:c r="E962" s="99" t="n">
        <x:v>1</x:v>
      </x:c>
      <x:c r="F962" s="99" t="n">
        <x:v>0.045</x:v>
      </x:c>
      <x:c r="G962" s="99" t="n">
        <x:v>25</x:v>
      </x:c>
      <x:c r="H962" s="99" t="n">
        <x:v>1.1</x:v>
      </x:c>
      <x:c r="I962" s="99" t="n">
        <x:v>0.8850000000000008</x:v>
      </x:c>
      <x:c r="J962" s="98" t="n">
        <x:v>0.0002843200407592443</x:v>
      </x:c>
      <x:c r="K962" t="str">
        <x:v>nominal_vdd</x:v>
      </x:c>
      <x:c r="L962" t="str">
        <x:v>model_nominal_vdd</x:v>
      </x:c>
      <x:c r="M962" t="n">
        <x:v>1.1</x:v>
      </x:c>
      <x:c r="N962" t="str">
        <x:v>simulation</x:v>
      </x:c>
      <x:c r="O962" t="str">
        <x:v>ngspice</x:v>
      </x:c>
      <x:c r="P962" t="str">
        <x:v>397141eb8a813045075ac2be3098d3b136ebaf4d597c08fca627922a75e443b7</x:v>
      </x:c>
      <x:c r="Q962" t="str">
        <x:v>data/raw/ptm45_lp_vds_1p1v_raw.txt</x:v>
      </x:c>
    </x:row>
    <x:row r="963">
      <x:c r="A963" t="str">
        <x:v>PTM</x:v>
      </x:c>
      <x:c r="B963" t="str">
        <x:v>NMOS</x:v>
      </x:c>
      <x:c r="C963" s="97" t="n">
        <x:v>45</x:v>
      </x:c>
      <x:c r="D963" s="97" t="str">
        <x:v>LP</x:v>
      </x:c>
      <x:c r="E963" s="99" t="n">
        <x:v>1</x:v>
      </x:c>
      <x:c r="F963" s="99" t="n">
        <x:v>0.045</x:v>
      </x:c>
      <x:c r="G963" s="99" t="n">
        <x:v>25</x:v>
      </x:c>
      <x:c r="H963" s="99" t="n">
        <x:v>1.1</x:v>
      </x:c>
      <x:c r="I963" s="99" t="n">
        <x:v>0.8900000000000008</x:v>
      </x:c>
      <x:c r="J963" s="98" t="n">
        <x:v>0.0002897768045298032</x:v>
      </x:c>
      <x:c r="K963" t="str">
        <x:v>nominal_vdd</x:v>
      </x:c>
      <x:c r="L963" t="str">
        <x:v>model_nominal_vdd</x:v>
      </x:c>
      <x:c r="M963" t="n">
        <x:v>1.1</x:v>
      </x:c>
      <x:c r="N963" t="str">
        <x:v>simulation</x:v>
      </x:c>
      <x:c r="O963" t="str">
        <x:v>ngspice</x:v>
      </x:c>
      <x:c r="P963" t="str">
        <x:v>397141eb8a813045075ac2be3098d3b136ebaf4d597c08fca627922a75e443b7</x:v>
      </x:c>
      <x:c r="Q963" t="str">
        <x:v>data/raw/ptm45_lp_vds_1p1v_raw.txt</x:v>
      </x:c>
    </x:row>
    <x:row r="964">
      <x:c r="A964" t="str">
        <x:v>PTM</x:v>
      </x:c>
      <x:c r="B964" t="str">
        <x:v>NMOS</x:v>
      </x:c>
      <x:c r="C964" s="97" t="n">
        <x:v>45</x:v>
      </x:c>
      <x:c r="D964" s="97" t="str">
        <x:v>LP</x:v>
      </x:c>
      <x:c r="E964" s="99" t="n">
        <x:v>1</x:v>
      </x:c>
      <x:c r="F964" s="99" t="n">
        <x:v>0.045</x:v>
      </x:c>
      <x:c r="G964" s="99" t="n">
        <x:v>25</x:v>
      </x:c>
      <x:c r="H964" s="99" t="n">
        <x:v>1.1</x:v>
      </x:c>
      <x:c r="I964" s="99" t="n">
        <x:v>0.8950000000000008</x:v>
      </x:c>
      <x:c r="J964" s="98" t="n">
        <x:v>0.0002952447515655954</x:v>
      </x:c>
      <x:c r="K964" t="str">
        <x:v>nominal_vdd</x:v>
      </x:c>
      <x:c r="L964" t="str">
        <x:v>model_nominal_vdd</x:v>
      </x:c>
      <x:c r="M964" t="n">
        <x:v>1.1</x:v>
      </x:c>
      <x:c r="N964" t="str">
        <x:v>simulation</x:v>
      </x:c>
      <x:c r="O964" t="str">
        <x:v>ngspice</x:v>
      </x:c>
      <x:c r="P964" t="str">
        <x:v>397141eb8a813045075ac2be3098d3b136ebaf4d597c08fca627922a75e443b7</x:v>
      </x:c>
      <x:c r="Q964" t="str">
        <x:v>data/raw/ptm45_lp_vds_1p1v_raw.txt</x:v>
      </x:c>
    </x:row>
    <x:row r="965">
      <x:c r="A965" t="str">
        <x:v>PTM</x:v>
      </x:c>
      <x:c r="B965" t="str">
        <x:v>NMOS</x:v>
      </x:c>
      <x:c r="C965" s="97" t="n">
        <x:v>45</x:v>
      </x:c>
      <x:c r="D965" s="97" t="str">
        <x:v>LP</x:v>
      </x:c>
      <x:c r="E965" s="99" t="n">
        <x:v>1</x:v>
      </x:c>
      <x:c r="F965" s="99" t="n">
        <x:v>0.045</x:v>
      </x:c>
      <x:c r="G965" s="99" t="n">
        <x:v>25</x:v>
      </x:c>
      <x:c r="H965" s="99" t="n">
        <x:v>1.1</x:v>
      </x:c>
      <x:c r="I965" s="99" t="n">
        <x:v>0.9000000000000008</x:v>
      </x:c>
      <x:c r="J965" s="98" t="n">
        <x:v>0.0003007233710036346</x:v>
      </x:c>
      <x:c r="K965" t="str">
        <x:v>nominal_vdd</x:v>
      </x:c>
      <x:c r="L965" t="str">
        <x:v>model_nominal_vdd</x:v>
      </x:c>
      <x:c r="M965" t="n">
        <x:v>1.1</x:v>
      </x:c>
      <x:c r="N965" t="str">
        <x:v>simulation</x:v>
      </x:c>
      <x:c r="O965" t="str">
        <x:v>ngspice</x:v>
      </x:c>
      <x:c r="P965" t="str">
        <x:v>397141eb8a813045075ac2be3098d3b136ebaf4d597c08fca627922a75e443b7</x:v>
      </x:c>
      <x:c r="Q965" t="str">
        <x:v>data/raw/ptm45_lp_vds_1p1v_raw.txt</x:v>
      </x:c>
    </x:row>
    <x:row r="966">
      <x:c r="A966" t="str">
        <x:v>PTM</x:v>
      </x:c>
      <x:c r="B966" t="str">
        <x:v>NMOS</x:v>
      </x:c>
      <x:c r="C966" s="97" t="n">
        <x:v>45</x:v>
      </x:c>
      <x:c r="D966" s="97" t="str">
        <x:v>LP</x:v>
      </x:c>
      <x:c r="E966" s="99" t="n">
        <x:v>1</x:v>
      </x:c>
      <x:c r="F966" s="99" t="n">
        <x:v>0.045</x:v>
      </x:c>
      <x:c r="G966" s="99" t="n">
        <x:v>25</x:v>
      </x:c>
      <x:c r="H966" s="99" t="n">
        <x:v>1.1</x:v>
      </x:c>
      <x:c r="I966" s="99" t="n">
        <x:v>0.9050000000000008</x:v>
      </x:c>
      <x:c r="J966" s="98" t="n">
        <x:v>0.0003062121784650397</x:v>
      </x:c>
      <x:c r="K966" t="str">
        <x:v>nominal_vdd</x:v>
      </x:c>
      <x:c r="L966" t="str">
        <x:v>model_nominal_vdd</x:v>
      </x:c>
      <x:c r="M966" t="n">
        <x:v>1.1</x:v>
      </x:c>
      <x:c r="N966" t="str">
        <x:v>simulation</x:v>
      </x:c>
      <x:c r="O966" t="str">
        <x:v>ngspice</x:v>
      </x:c>
      <x:c r="P966" t="str">
        <x:v>397141eb8a813045075ac2be3098d3b136ebaf4d597c08fca627922a75e443b7</x:v>
      </x:c>
      <x:c r="Q966" t="str">
        <x:v>data/raw/ptm45_lp_vds_1p1v_raw.txt</x:v>
      </x:c>
    </x:row>
    <x:row r="967">
      <x:c r="A967" t="str">
        <x:v>PTM</x:v>
      </x:c>
      <x:c r="B967" t="str">
        <x:v>NMOS</x:v>
      </x:c>
      <x:c r="C967" s="97" t="n">
        <x:v>45</x:v>
      </x:c>
      <x:c r="D967" s="97" t="str">
        <x:v>LP</x:v>
      </x:c>
      <x:c r="E967" s="99" t="n">
        <x:v>1</x:v>
      </x:c>
      <x:c r="F967" s="99" t="n">
        <x:v>0.045</x:v>
      </x:c>
      <x:c r="G967" s="99" t="n">
        <x:v>25</x:v>
      </x:c>
      <x:c r="H967" s="99" t="n">
        <x:v>1.1</x:v>
      </x:c>
      <x:c r="I967" s="99" t="n">
        <x:v>0.9100000000000008</x:v>
      </x:c>
      <x:c r="J967" s="98" t="n">
        <x:v>0.0003117107144892192</x:v>
      </x:c>
      <x:c r="K967" t="str">
        <x:v>nominal_vdd</x:v>
      </x:c>
      <x:c r="L967" t="str">
        <x:v>model_nominal_vdd</x:v>
      </x:c>
      <x:c r="M967" t="n">
        <x:v>1.1</x:v>
      </x:c>
      <x:c r="N967" t="str">
        <x:v>simulation</x:v>
      </x:c>
      <x:c r="O967" t="str">
        <x:v>ngspice</x:v>
      </x:c>
      <x:c r="P967" t="str">
        <x:v>397141eb8a813045075ac2be3098d3b136ebaf4d597c08fca627922a75e443b7</x:v>
      </x:c>
      <x:c r="Q967" t="str">
        <x:v>data/raw/ptm45_lp_vds_1p1v_raw.txt</x:v>
      </x:c>
    </x:row>
    <x:row r="968">
      <x:c r="A968" t="str">
        <x:v>PTM</x:v>
      </x:c>
      <x:c r="B968" t="str">
        <x:v>NMOS</x:v>
      </x:c>
      <x:c r="C968" s="97" t="n">
        <x:v>45</x:v>
      </x:c>
      <x:c r="D968" s="97" t="str">
        <x:v>LP</x:v>
      </x:c>
      <x:c r="E968" s="99" t="n">
        <x:v>1</x:v>
      </x:c>
      <x:c r="F968" s="99" t="n">
        <x:v>0.045</x:v>
      </x:c>
      <x:c r="G968" s="99" t="n">
        <x:v>25</x:v>
      </x:c>
      <x:c r="H968" s="99" t="n">
        <x:v>1.1</x:v>
      </x:c>
      <x:c r="I968" s="99" t="n">
        <x:v>0.9150000000000008</x:v>
      </x:c>
      <x:c r="J968" s="98" t="n">
        <x:v>0.0003172185430539053</x:v>
      </x:c>
      <x:c r="K968" t="str">
        <x:v>nominal_vdd</x:v>
      </x:c>
      <x:c r="L968" t="str">
        <x:v>model_nominal_vdd</x:v>
      </x:c>
      <x:c r="M968" t="n">
        <x:v>1.1</x:v>
      </x:c>
      <x:c r="N968" t="str">
        <x:v>simulation</x:v>
      </x:c>
      <x:c r="O968" t="str">
        <x:v>ngspice</x:v>
      </x:c>
      <x:c r="P968" t="str">
        <x:v>397141eb8a813045075ac2be3098d3b136ebaf4d597c08fca627922a75e443b7</x:v>
      </x:c>
      <x:c r="Q968" t="str">
        <x:v>data/raw/ptm45_lp_vds_1p1v_raw.txt</x:v>
      </x:c>
    </x:row>
    <x:row r="969">
      <x:c r="A969" t="str">
        <x:v>PTM</x:v>
      </x:c>
      <x:c r="B969" t="str">
        <x:v>NMOS</x:v>
      </x:c>
      <x:c r="C969" s="97" t="n">
        <x:v>45</x:v>
      </x:c>
      <x:c r="D969" s="97" t="str">
        <x:v>LP</x:v>
      </x:c>
      <x:c r="E969" s="99" t="n">
        <x:v>1</x:v>
      </x:c>
      <x:c r="F969" s="99" t="n">
        <x:v>0.045</x:v>
      </x:c>
      <x:c r="G969" s="99" t="n">
        <x:v>25</x:v>
      </x:c>
      <x:c r="H969" s="99" t="n">
        <x:v>1.1</x:v>
      </x:c>
      <x:c r="I969" s="99" t="n">
        <x:v>0.9200000000000008</x:v>
      </x:c>
      <x:c r="J969" s="98" t="n">
        <x:v>0.0003227352501779184</x:v>
      </x:c>
      <x:c r="K969" t="str">
        <x:v>nominal_vdd</x:v>
      </x:c>
      <x:c r="L969" t="str">
        <x:v>model_nominal_vdd</x:v>
      </x:c>
      <x:c r="M969" t="n">
        <x:v>1.1</x:v>
      </x:c>
      <x:c r="N969" t="str">
        <x:v>simulation</x:v>
      </x:c>
      <x:c r="O969" t="str">
        <x:v>ngspice</x:v>
      </x:c>
      <x:c r="P969" t="str">
        <x:v>397141eb8a813045075ac2be3098d3b136ebaf4d597c08fca627922a75e443b7</x:v>
      </x:c>
      <x:c r="Q969" t="str">
        <x:v>data/raw/ptm45_lp_vds_1p1v_raw.txt</x:v>
      </x:c>
    </x:row>
    <x:row r="970">
      <x:c r="A970" t="str">
        <x:v>PTM</x:v>
      </x:c>
      <x:c r="B970" t="str">
        <x:v>NMOS</x:v>
      </x:c>
      <x:c r="C970" s="97" t="n">
        <x:v>45</x:v>
      </x:c>
      <x:c r="D970" s="97" t="str">
        <x:v>LP</x:v>
      </x:c>
      <x:c r="E970" s="99" t="n">
        <x:v>1</x:v>
      </x:c>
      <x:c r="F970" s="99" t="n">
        <x:v>0.045</x:v>
      </x:c>
      <x:c r="G970" s="99" t="n">
        <x:v>25</x:v>
      </x:c>
      <x:c r="H970" s="99" t="n">
        <x:v>1.1</x:v>
      </x:c>
      <x:c r="I970" s="99" t="n">
        <x:v>0.9250000000000008</x:v>
      </x:c>
      <x:c r="J970" s="98" t="n">
        <x:v>0.0003282604426034506</x:v>
      </x:c>
      <x:c r="K970" t="str">
        <x:v>nominal_vdd</x:v>
      </x:c>
      <x:c r="L970" t="str">
        <x:v>model_nominal_vdd</x:v>
      </x:c>
      <x:c r="M970" t="n">
        <x:v>1.1</x:v>
      </x:c>
      <x:c r="N970" t="str">
        <x:v>simulation</x:v>
      </x:c>
      <x:c r="O970" t="str">
        <x:v>ngspice</x:v>
      </x:c>
      <x:c r="P970" t="str">
        <x:v>397141eb8a813045075ac2be3098d3b136ebaf4d597c08fca627922a75e443b7</x:v>
      </x:c>
      <x:c r="Q970" t="str">
        <x:v>data/raw/ptm45_lp_vds_1p1v_raw.txt</x:v>
      </x:c>
    </x:row>
    <x:row r="971">
      <x:c r="A971" t="str">
        <x:v>PTM</x:v>
      </x:c>
      <x:c r="B971" t="str">
        <x:v>NMOS</x:v>
      </x:c>
      <x:c r="C971" s="97" t="n">
        <x:v>45</x:v>
      </x:c>
      <x:c r="D971" s="97" t="str">
        <x:v>LP</x:v>
      </x:c>
      <x:c r="E971" s="99" t="n">
        <x:v>1</x:v>
      </x:c>
      <x:c r="F971" s="99" t="n">
        <x:v>0.045</x:v>
      </x:c>
      <x:c r="G971" s="99" t="n">
        <x:v>25</x:v>
      </x:c>
      <x:c r="H971" s="99" t="n">
        <x:v>1.1</x:v>
      </x:c>
      <x:c r="I971" s="99" t="n">
        <x:v>0.9300000000000008</x:v>
      </x:c>
      <x:c r="J971" s="98" t="n">
        <x:v>0.0003337937465545165</x:v>
      </x:c>
      <x:c r="K971" t="str">
        <x:v>nominal_vdd</x:v>
      </x:c>
      <x:c r="L971" t="str">
        <x:v>model_nominal_vdd</x:v>
      </x:c>
      <x:c r="M971" t="n">
        <x:v>1.1</x:v>
      </x:c>
      <x:c r="N971" t="str">
        <x:v>simulation</x:v>
      </x:c>
      <x:c r="O971" t="str">
        <x:v>ngspice</x:v>
      </x:c>
      <x:c r="P971" t="str">
        <x:v>397141eb8a813045075ac2be3098d3b136ebaf4d597c08fca627922a75e443b7</x:v>
      </x:c>
      <x:c r="Q971" t="str">
        <x:v>data/raw/ptm45_lp_vds_1p1v_raw.txt</x:v>
      </x:c>
    </x:row>
    <x:row r="972">
      <x:c r="A972" t="str">
        <x:v>PTM</x:v>
      </x:c>
      <x:c r="B972" t="str">
        <x:v>NMOS</x:v>
      </x:c>
      <x:c r="C972" s="97" t="n">
        <x:v>45</x:v>
      </x:c>
      <x:c r="D972" s="97" t="str">
        <x:v>LP</x:v>
      </x:c>
      <x:c r="E972" s="99" t="n">
        <x:v>1</x:v>
      </x:c>
      <x:c r="F972" s="99" t="n">
        <x:v>0.045</x:v>
      </x:c>
      <x:c r="G972" s="99" t="n">
        <x:v>25</x:v>
      </x:c>
      <x:c r="H972" s="99" t="n">
        <x:v>1.1</x:v>
      </x:c>
      <x:c r="I972" s="99" t="n">
        <x:v>0.9350000000000008</x:v>
      </x:c>
      <x:c r="J972" s="98" t="n">
        <x:v>0.0003393348065682451</x:v>
      </x:c>
      <x:c r="K972" t="str">
        <x:v>nominal_vdd</x:v>
      </x:c>
      <x:c r="L972" t="str">
        <x:v>model_nominal_vdd</x:v>
      </x:c>
      <x:c r="M972" t="n">
        <x:v>1.1</x:v>
      </x:c>
      <x:c r="N972" t="str">
        <x:v>simulation</x:v>
      </x:c>
      <x:c r="O972" t="str">
        <x:v>ngspice</x:v>
      </x:c>
      <x:c r="P972" t="str">
        <x:v>397141eb8a813045075ac2be3098d3b136ebaf4d597c08fca627922a75e443b7</x:v>
      </x:c>
      <x:c r="Q972" t="str">
        <x:v>data/raw/ptm45_lp_vds_1p1v_raw.txt</x:v>
      </x:c>
    </x:row>
    <x:row r="973">
      <x:c r="A973" t="str">
        <x:v>PTM</x:v>
      </x:c>
      <x:c r="B973" t="str">
        <x:v>NMOS</x:v>
      </x:c>
      <x:c r="C973" s="97" t="n">
        <x:v>45</x:v>
      </x:c>
      <x:c r="D973" s="97" t="str">
        <x:v>LP</x:v>
      </x:c>
      <x:c r="E973" s="99" t="n">
        <x:v>1</x:v>
      </x:c>
      <x:c r="F973" s="99" t="n">
        <x:v>0.045</x:v>
      </x:c>
      <x:c r="G973" s="99" t="n">
        <x:v>25</x:v>
      </x:c>
      <x:c r="H973" s="99" t="n">
        <x:v>1.1</x:v>
      </x:c>
      <x:c r="I973" s="99" t="n">
        <x:v>0.9400000000000008</x:v>
      </x:c>
      <x:c r="J973" s="98" t="n">
        <x:v>0.0003448832843955786</x:v>
      </x:c>
      <x:c r="K973" t="str">
        <x:v>nominal_vdd</x:v>
      </x:c>
      <x:c r="L973" t="str">
        <x:v>model_nominal_vdd</x:v>
      </x:c>
      <x:c r="M973" t="n">
        <x:v>1.1</x:v>
      </x:c>
      <x:c r="N973" t="str">
        <x:v>simulation</x:v>
      </x:c>
      <x:c r="O973" t="str">
        <x:v>ngspice</x:v>
      </x:c>
      <x:c r="P973" t="str">
        <x:v>397141eb8a813045075ac2be3098d3b136ebaf4d597c08fca627922a75e443b7</x:v>
      </x:c>
      <x:c r="Q973" t="str">
        <x:v>data/raw/ptm45_lp_vds_1p1v_raw.txt</x:v>
      </x:c>
    </x:row>
    <x:row r="974">
      <x:c r="A974" t="str">
        <x:v>PTM</x:v>
      </x:c>
      <x:c r="B974" t="str">
        <x:v>NMOS</x:v>
      </x:c>
      <x:c r="C974" s="97" t="n">
        <x:v>45</x:v>
      </x:c>
      <x:c r="D974" s="97" t="str">
        <x:v>LP</x:v>
      </x:c>
      <x:c r="E974" s="99" t="n">
        <x:v>1</x:v>
      </x:c>
      <x:c r="F974" s="99" t="n">
        <x:v>0.045</x:v>
      </x:c>
      <x:c r="G974" s="99" t="n">
        <x:v>25</x:v>
      </x:c>
      <x:c r="H974" s="99" t="n">
        <x:v>1.1</x:v>
      </x:c>
      <x:c r="I974" s="99" t="n">
        <x:v>0.9450000000000008</x:v>
      </x:c>
      <x:c r="J974" s="98" t="n">
        <x:v>0.0003504388579680403</x:v>
      </x:c>
      <x:c r="K974" t="str">
        <x:v>nominal_vdd</x:v>
      </x:c>
      <x:c r="L974" t="str">
        <x:v>model_nominal_vdd</x:v>
      </x:c>
      <x:c r="M974" t="n">
        <x:v>1.1</x:v>
      </x:c>
      <x:c r="N974" t="str">
        <x:v>simulation</x:v>
      </x:c>
      <x:c r="O974" t="str">
        <x:v>ngspice</x:v>
      </x:c>
      <x:c r="P974" t="str">
        <x:v>397141eb8a813045075ac2be3098d3b136ebaf4d597c08fca627922a75e443b7</x:v>
      </x:c>
      <x:c r="Q974" t="str">
        <x:v>data/raw/ptm45_lp_vds_1p1v_raw.txt</x:v>
      </x:c>
    </x:row>
    <x:row r="975">
      <x:c r="A975" t="str">
        <x:v>PTM</x:v>
      </x:c>
      <x:c r="B975" t="str">
        <x:v>NMOS</x:v>
      </x:c>
      <x:c r="C975" s="97" t="n">
        <x:v>45</x:v>
      </x:c>
      <x:c r="D975" s="97" t="str">
        <x:v>LP</x:v>
      </x:c>
      <x:c r="E975" s="99" t="n">
        <x:v>1</x:v>
      </x:c>
      <x:c r="F975" s="99" t="n">
        <x:v>0.045</x:v>
      </x:c>
      <x:c r="G975" s="99" t="n">
        <x:v>25</x:v>
      </x:c>
      <x:c r="H975" s="99" t="n">
        <x:v>1.1</x:v>
      </x:c>
      <x:c r="I975" s="99" t="n">
        <x:v>0.9500000000000008</x:v>
      </x:c>
      <x:c r="J975" s="98" t="n">
        <x:v>0.0003560012204272656</x:v>
      </x:c>
      <x:c r="K975" t="str">
        <x:v>nominal_vdd</x:v>
      </x:c>
      <x:c r="L975" t="str">
        <x:v>model_nominal_vdd</x:v>
      </x:c>
      <x:c r="M975" t="n">
        <x:v>1.1</x:v>
      </x:c>
      <x:c r="N975" t="str">
        <x:v>simulation</x:v>
      </x:c>
      <x:c r="O975" t="str">
        <x:v>ngspice</x:v>
      </x:c>
      <x:c r="P975" t="str">
        <x:v>397141eb8a813045075ac2be3098d3b136ebaf4d597c08fca627922a75e443b7</x:v>
      </x:c>
      <x:c r="Q975" t="str">
        <x:v>data/raw/ptm45_lp_vds_1p1v_raw.txt</x:v>
      </x:c>
    </x:row>
    <x:row r="976">
      <x:c r="A976" t="str">
        <x:v>PTM</x:v>
      </x:c>
      <x:c r="B976" t="str">
        <x:v>NMOS</x:v>
      </x:c>
      <x:c r="C976" s="97" t="n">
        <x:v>45</x:v>
      </x:c>
      <x:c r="D976" s="97" t="str">
        <x:v>LP</x:v>
      </x:c>
      <x:c r="E976" s="99" t="n">
        <x:v>1</x:v>
      </x:c>
      <x:c r="F976" s="99" t="n">
        <x:v>0.045</x:v>
      </x:c>
      <x:c r="G976" s="99" t="n">
        <x:v>25</x:v>
      </x:c>
      <x:c r="H976" s="99" t="n">
        <x:v>1.1</x:v>
      </x:c>
      <x:c r="I976" s="99" t="n">
        <x:v>0.9550000000000008</x:v>
      </x:c>
      <x:c r="J976" s="98" t="n">
        <x:v>0.0003615700792139971</x:v>
      </x:c>
      <x:c r="K976" t="str">
        <x:v>nominal_vdd</x:v>
      </x:c>
      <x:c r="L976" t="str">
        <x:v>model_nominal_vdd</x:v>
      </x:c>
      <x:c r="M976" t="n">
        <x:v>1.1</x:v>
      </x:c>
      <x:c r="N976" t="str">
        <x:v>simulation</x:v>
      </x:c>
      <x:c r="O976" t="str">
        <x:v>ngspice</x:v>
      </x:c>
      <x:c r="P976" t="str">
        <x:v>397141eb8a813045075ac2be3098d3b136ebaf4d597c08fca627922a75e443b7</x:v>
      </x:c>
      <x:c r="Q976" t="str">
        <x:v>data/raw/ptm45_lp_vds_1p1v_raw.txt</x:v>
      </x:c>
    </x:row>
    <x:row r="977">
      <x:c r="A977" t="str">
        <x:v>PTM</x:v>
      </x:c>
      <x:c r="B977" t="str">
        <x:v>NMOS</x:v>
      </x:c>
      <x:c r="C977" s="97" t="n">
        <x:v>45</x:v>
      </x:c>
      <x:c r="D977" s="97" t="str">
        <x:v>LP</x:v>
      </x:c>
      <x:c r="E977" s="99" t="n">
        <x:v>1</x:v>
      </x:c>
      <x:c r="F977" s="99" t="n">
        <x:v>0.045</x:v>
      </x:c>
      <x:c r="G977" s="99" t="n">
        <x:v>25</x:v>
      </x:c>
      <x:c r="H977" s="99" t="n">
        <x:v>1.1</x:v>
      </x:c>
      <x:c r="I977" s="99" t="n">
        <x:v>0.9600000000000009</x:v>
      </x:c>
      <x:c r="J977" s="98" t="n">
        <x:v>0.0003671451552133924</x:v>
      </x:c>
      <x:c r="K977" t="str">
        <x:v>nominal_vdd</x:v>
      </x:c>
      <x:c r="L977" t="str">
        <x:v>model_nominal_vdd</x:v>
      </x:c>
      <x:c r="M977" t="n">
        <x:v>1.1</x:v>
      </x:c>
      <x:c r="N977" t="str">
        <x:v>simulation</x:v>
      </x:c>
      <x:c r="O977" t="str">
        <x:v>ngspice</x:v>
      </x:c>
      <x:c r="P977" t="str">
        <x:v>397141eb8a813045075ac2be3098d3b136ebaf4d597c08fca627922a75e443b7</x:v>
      </x:c>
      <x:c r="Q977" t="str">
        <x:v>data/raw/ptm45_lp_vds_1p1v_raw.txt</x:v>
      </x:c>
    </x:row>
    <x:row r="978">
      <x:c r="A978" t="str">
        <x:v>PTM</x:v>
      </x:c>
      <x:c r="B978" t="str">
        <x:v>NMOS</x:v>
      </x:c>
      <x:c r="C978" s="97" t="n">
        <x:v>45</x:v>
      </x:c>
      <x:c r="D978" s="97" t="str">
        <x:v>LP</x:v>
      </x:c>
      <x:c r="E978" s="99" t="n">
        <x:v>1</x:v>
      </x:c>
      <x:c r="F978" s="99" t="n">
        <x:v>0.045</x:v>
      </x:c>
      <x:c r="G978" s="99" t="n">
        <x:v>25</x:v>
      </x:c>
      <x:c r="H978" s="99" t="n">
        <x:v>1.1</x:v>
      </x:c>
      <x:c r="I978" s="99" t="n">
        <x:v>0.9650000000000009</x:v>
      </x:c>
      <x:c r="J978" s="98" t="n">
        <x:v>0.0003727261819535733</x:v>
      </x:c>
      <x:c r="K978" t="str">
        <x:v>nominal_vdd</x:v>
      </x:c>
      <x:c r="L978" t="str">
        <x:v>model_nominal_vdd</x:v>
      </x:c>
      <x:c r="M978" t="n">
        <x:v>1.1</x:v>
      </x:c>
      <x:c r="N978" t="str">
        <x:v>simulation</x:v>
      </x:c>
      <x:c r="O978" t="str">
        <x:v>ngspice</x:v>
      </x:c>
      <x:c r="P978" t="str">
        <x:v>397141eb8a813045075ac2be3098d3b136ebaf4d597c08fca627922a75e443b7</x:v>
      </x:c>
      <x:c r="Q978" t="str">
        <x:v>data/raw/ptm45_lp_vds_1p1v_raw.txt</x:v>
      </x:c>
    </x:row>
    <x:row r="979">
      <x:c r="A979" t="str">
        <x:v>PTM</x:v>
      </x:c>
      <x:c r="B979" t="str">
        <x:v>NMOS</x:v>
      </x:c>
      <x:c r="C979" s="97" t="n">
        <x:v>45</x:v>
      </x:c>
      <x:c r="D979" s="97" t="str">
        <x:v>LP</x:v>
      </x:c>
      <x:c r="E979" s="99" t="n">
        <x:v>1</x:v>
      </x:c>
      <x:c r="F979" s="99" t="n">
        <x:v>0.045</x:v>
      </x:c>
      <x:c r="G979" s="99" t="n">
        <x:v>25</x:v>
      </x:c>
      <x:c r="H979" s="99" t="n">
        <x:v>1.1</x:v>
      </x:c>
      <x:c r="I979" s="99" t="n">
        <x:v>0.9700000000000009</x:v>
      </x:c>
      <x:c r="J979" s="98" t="n">
        <x:v>0.0003783129048543825</x:v>
      </x:c>
      <x:c r="K979" t="str">
        <x:v>nominal_vdd</x:v>
      </x:c>
      <x:c r="L979" t="str">
        <x:v>model_nominal_vdd</x:v>
      </x:c>
      <x:c r="M979" t="n">
        <x:v>1.1</x:v>
      </x:c>
      <x:c r="N979" t="str">
        <x:v>simulation</x:v>
      </x:c>
      <x:c r="O979" t="str">
        <x:v>ngspice</x:v>
      </x:c>
      <x:c r="P979" t="str">
        <x:v>397141eb8a813045075ac2be3098d3b136ebaf4d597c08fca627922a75e443b7</x:v>
      </x:c>
      <x:c r="Q979" t="str">
        <x:v>data/raw/ptm45_lp_vds_1p1v_raw.txt</x:v>
      </x:c>
    </x:row>
    <x:row r="980">
      <x:c r="A980" t="str">
        <x:v>PTM</x:v>
      </x:c>
      <x:c r="B980" t="str">
        <x:v>NMOS</x:v>
      </x:c>
      <x:c r="C980" s="97" t="n">
        <x:v>45</x:v>
      </x:c>
      <x:c r="D980" s="97" t="str">
        <x:v>LP</x:v>
      </x:c>
      <x:c r="E980" s="99" t="n">
        <x:v>1</x:v>
      </x:c>
      <x:c r="F980" s="99" t="n">
        <x:v>0.045</x:v>
      </x:c>
      <x:c r="G980" s="99" t="n">
        <x:v>25</x:v>
      </x:c>
      <x:c r="H980" s="99" t="n">
        <x:v>1.1</x:v>
      </x:c>
      <x:c r="I980" s="99" t="n">
        <x:v>0.9750000000000009</x:v>
      </x:c>
      <x:c r="J980" s="98" t="n">
        <x:v>0.0003839050805235301</x:v>
      </x:c>
      <x:c r="K980" t="str">
        <x:v>nominal_vdd</x:v>
      </x:c>
      <x:c r="L980" t="str">
        <x:v>model_nominal_vdd</x:v>
      </x:c>
      <x:c r="M980" t="n">
        <x:v>1.1</x:v>
      </x:c>
      <x:c r="N980" t="str">
        <x:v>simulation</x:v>
      </x:c>
      <x:c r="O980" t="str">
        <x:v>ngspice</x:v>
      </x:c>
      <x:c r="P980" t="str">
        <x:v>397141eb8a813045075ac2be3098d3b136ebaf4d597c08fca627922a75e443b7</x:v>
      </x:c>
      <x:c r="Q980" t="str">
        <x:v>data/raw/ptm45_lp_vds_1p1v_raw.txt</x:v>
      </x:c>
    </x:row>
    <x:row r="981">
      <x:c r="A981" t="str">
        <x:v>PTM</x:v>
      </x:c>
      <x:c r="B981" t="str">
        <x:v>NMOS</x:v>
      </x:c>
      <x:c r="C981" s="97" t="n">
        <x:v>45</x:v>
      </x:c>
      <x:c r="D981" s="97" t="str">
        <x:v>LP</x:v>
      </x:c>
      <x:c r="E981" s="99" t="n">
        <x:v>1</x:v>
      </x:c>
      <x:c r="F981" s="99" t="n">
        <x:v>0.045</x:v>
      </x:c>
      <x:c r="G981" s="99" t="n">
        <x:v>25</x:v>
      </x:c>
      <x:c r="H981" s="99" t="n">
        <x:v>1.1</x:v>
      </x:c>
      <x:c r="I981" s="99" t="n">
        <x:v>0.9800000000000009</x:v>
      </x:c>
      <x:c r="J981" s="98" t="n">
        <x:v>0.0003895024760973407</x:v>
      </x:c>
      <x:c r="K981" t="str">
        <x:v>nominal_vdd</x:v>
      </x:c>
      <x:c r="L981" t="str">
        <x:v>model_nominal_vdd</x:v>
      </x:c>
      <x:c r="M981" t="n">
        <x:v>1.1</x:v>
      </x:c>
      <x:c r="N981" t="str">
        <x:v>simulation</x:v>
      </x:c>
      <x:c r="O981" t="str">
        <x:v>ngspice</x:v>
      </x:c>
      <x:c r="P981" t="str">
        <x:v>397141eb8a813045075ac2be3098d3b136ebaf4d597c08fca627922a75e443b7</x:v>
      </x:c>
      <x:c r="Q981" t="str">
        <x:v>data/raw/ptm45_lp_vds_1p1v_raw.txt</x:v>
      </x:c>
    </x:row>
    <x:row r="982">
      <x:c r="A982" t="str">
        <x:v>PTM</x:v>
      </x:c>
      <x:c r="B982" t="str">
        <x:v>NMOS</x:v>
      </x:c>
      <x:c r="C982" s="97" t="n">
        <x:v>45</x:v>
      </x:c>
      <x:c r="D982" s="97" t="str">
        <x:v>LP</x:v>
      </x:c>
      <x:c r="E982" s="99" t="n">
        <x:v>1</x:v>
      </x:c>
      <x:c r="F982" s="99" t="n">
        <x:v>0.045</x:v>
      </x:c>
      <x:c r="G982" s="99" t="n">
        <x:v>25</x:v>
      </x:c>
      <x:c r="H982" s="99" t="n">
        <x:v>1.1</x:v>
      </x:c>
      <x:c r="I982" s="99" t="n">
        <x:v>0.9850000000000009</x:v>
      </x:c>
      <x:c r="J982" s="98" t="n">
        <x:v>0.0003951048686234433</x:v>
      </x:c>
      <x:c r="K982" t="str">
        <x:v>nominal_vdd</x:v>
      </x:c>
      <x:c r="L982" t="str">
        <x:v>model_nominal_vdd</x:v>
      </x:c>
      <x:c r="M982" t="n">
        <x:v>1.1</x:v>
      </x:c>
      <x:c r="N982" t="str">
        <x:v>simulation</x:v>
      </x:c>
      <x:c r="O982" t="str">
        <x:v>ngspice</x:v>
      </x:c>
      <x:c r="P982" t="str">
        <x:v>397141eb8a813045075ac2be3098d3b136ebaf4d597c08fca627922a75e443b7</x:v>
      </x:c>
      <x:c r="Q982" t="str">
        <x:v>data/raw/ptm45_lp_vds_1p1v_raw.txt</x:v>
      </x:c>
    </x:row>
    <x:row r="983">
      <x:c r="A983" t="str">
        <x:v>PTM</x:v>
      </x:c>
      <x:c r="B983" t="str">
        <x:v>NMOS</x:v>
      </x:c>
      <x:c r="C983" s="97" t="n">
        <x:v>45</x:v>
      </x:c>
      <x:c r="D983" s="97" t="str">
        <x:v>LP</x:v>
      </x:c>
      <x:c r="E983" s="99" t="n">
        <x:v>1</x:v>
      </x:c>
      <x:c r="F983" s="99" t="n">
        <x:v>0.045</x:v>
      </x:c>
      <x:c r="G983" s="99" t="n">
        <x:v>25</x:v>
      </x:c>
      <x:c r="H983" s="99" t="n">
        <x:v>1.1</x:v>
      </x:c>
      <x:c r="I983" s="99" t="n">
        <x:v>0.9900000000000009</x:v>
      </x:c>
      <x:c r="J983" s="98" t="n">
        <x:v>0.0004007120444829216</x:v>
      </x:c>
      <x:c r="K983" t="str">
        <x:v>nominal_vdd</x:v>
      </x:c>
      <x:c r="L983" t="str">
        <x:v>model_nominal_vdd</x:v>
      </x:c>
      <x:c r="M983" t="n">
        <x:v>1.1</x:v>
      </x:c>
      <x:c r="N983" t="str">
        <x:v>simulation</x:v>
      </x:c>
      <x:c r="O983" t="str">
        <x:v>ngspice</x:v>
      </x:c>
      <x:c r="P983" t="str">
        <x:v>397141eb8a813045075ac2be3098d3b136ebaf4d597c08fca627922a75e443b7</x:v>
      </x:c>
      <x:c r="Q983" t="str">
        <x:v>data/raw/ptm45_lp_vds_1p1v_raw.txt</x:v>
      </x:c>
    </x:row>
    <x:row r="984">
      <x:c r="A984" t="str">
        <x:v>PTM</x:v>
      </x:c>
      <x:c r="B984" t="str">
        <x:v>NMOS</x:v>
      </x:c>
      <x:c r="C984" s="97" t="n">
        <x:v>45</x:v>
      </x:c>
      <x:c r="D984" s="97" t="str">
        <x:v>LP</x:v>
      </x:c>
      <x:c r="E984" s="99" t="n">
        <x:v>1</x:v>
      </x:c>
      <x:c r="F984" s="99" t="n">
        <x:v>0.045</x:v>
      </x:c>
      <x:c r="G984" s="99" t="n">
        <x:v>25</x:v>
      </x:c>
      <x:c r="H984" s="99" t="n">
        <x:v>1.1</x:v>
      </x:c>
      <x:c r="I984" s="99" t="n">
        <x:v>0.9950000000000009</x:v>
      </x:c>
      <x:c r="J984" s="98" t="n">
        <x:v>0.0004063237988494811</x:v>
      </x:c>
      <x:c r="K984" t="str">
        <x:v>nominal_vdd</x:v>
      </x:c>
      <x:c r="L984" t="str">
        <x:v>model_nominal_vdd</x:v>
      </x:c>
      <x:c r="M984" t="n">
        <x:v>1.1</x:v>
      </x:c>
      <x:c r="N984" t="str">
        <x:v>simulation</x:v>
      </x:c>
      <x:c r="O984" t="str">
        <x:v>ngspice</x:v>
      </x:c>
      <x:c r="P984" t="str">
        <x:v>397141eb8a813045075ac2be3098d3b136ebaf4d597c08fca627922a75e443b7</x:v>
      </x:c>
      <x:c r="Q984" t="str">
        <x:v>data/raw/ptm45_lp_vds_1p1v_raw.txt</x:v>
      </x:c>
    </x:row>
    <x:row r="985">
      <x:c r="A985" t="str">
        <x:v>PTM</x:v>
      </x:c>
      <x:c r="B985" t="str">
        <x:v>NMOS</x:v>
      </x:c>
      <x:c r="C985" s="97" t="n">
        <x:v>45</x:v>
      </x:c>
      <x:c r="D985" s="97" t="str">
        <x:v>LP</x:v>
      </x:c>
      <x:c r="E985" s="99" t="n">
        <x:v>1</x:v>
      </x:c>
      <x:c r="F985" s="99" t="n">
        <x:v>0.045</x:v>
      </x:c>
      <x:c r="G985" s="99" t="n">
        <x:v>25</x:v>
      </x:c>
      <x:c r="H985" s="99" t="n">
        <x:v>1.1</x:v>
      </x:c>
      <x:c r="I985" s="99" t="n">
        <x:v>1.000000000000001</x:v>
      </x:c>
      <x:c r="J985" s="98" t="n">
        <x:v>0.0004119399351833774</x:v>
      </x:c>
      <x:c r="K985" t="str">
        <x:v>nominal_vdd</x:v>
      </x:c>
      <x:c r="L985" t="str">
        <x:v>model_nominal_vdd</x:v>
      </x:c>
      <x:c r="M985" t="n">
        <x:v>1.1</x:v>
      </x:c>
      <x:c r="N985" t="str">
        <x:v>simulation</x:v>
      </x:c>
      <x:c r="O985" t="str">
        <x:v>ngspice</x:v>
      </x:c>
      <x:c r="P985" t="str">
        <x:v>397141eb8a813045075ac2be3098d3b136ebaf4d597c08fca627922a75e443b7</x:v>
      </x:c>
      <x:c r="Q985" t="str">
        <x:v>data/raw/ptm45_lp_vds_1p1v_raw.txt</x:v>
      </x:c>
    </x:row>
    <x:row r="986">
      <x:c r="A986" t="str">
        <x:v>PTM</x:v>
      </x:c>
      <x:c r="B986" t="str">
        <x:v>NMOS</x:v>
      </x:c>
      <x:c r="C986" s="97" t="n">
        <x:v>45</x:v>
      </x:c>
      <x:c r="D986" s="97" t="str">
        <x:v>LP</x:v>
      </x:c>
      <x:c r="E986" s="99" t="n">
        <x:v>1</x:v>
      </x:c>
      <x:c r="F986" s="99" t="n">
        <x:v>0.045</x:v>
      </x:c>
      <x:c r="G986" s="99" t="n">
        <x:v>25</x:v>
      </x:c>
      <x:c r="H986" s="99" t="n">
        <x:v>1.1</x:v>
      </x:c>
      <x:c r="I986" s="99" t="n">
        <x:v>1.005000000000001</x:v>
      </x:c>
      <x:c r="J986" s="98" t="n">
        <x:v>0.0004175602647579022</x:v>
      </x:c>
      <x:c r="K986" t="str">
        <x:v>nominal_vdd</x:v>
      </x:c>
      <x:c r="L986" t="str">
        <x:v>model_nominal_vdd</x:v>
      </x:c>
      <x:c r="M986" t="n">
        <x:v>1.1</x:v>
      </x:c>
      <x:c r="N986" t="str">
        <x:v>simulation</x:v>
      </x:c>
      <x:c r="O986" t="str">
        <x:v>ngspice</x:v>
      </x:c>
      <x:c r="P986" t="str">
        <x:v>397141eb8a813045075ac2be3098d3b136ebaf4d597c08fca627922a75e443b7</x:v>
      </x:c>
      <x:c r="Q986" t="str">
        <x:v>data/raw/ptm45_lp_vds_1p1v_raw.txt</x:v>
      </x:c>
    </x:row>
    <x:row r="987">
      <x:c r="A987" t="str">
        <x:v>PTM</x:v>
      </x:c>
      <x:c r="B987" t="str">
        <x:v>NMOS</x:v>
      </x:c>
      <x:c r="C987" s="97" t="n">
        <x:v>45</x:v>
      </x:c>
      <x:c r="D987" s="97" t="str">
        <x:v>LP</x:v>
      </x:c>
      <x:c r="E987" s="99" t="n">
        <x:v>1</x:v>
      </x:c>
      <x:c r="F987" s="99" t="n">
        <x:v>0.045</x:v>
      </x:c>
      <x:c r="G987" s="99" t="n">
        <x:v>25</x:v>
      </x:c>
      <x:c r="H987" s="99" t="n">
        <x:v>1.1</x:v>
      </x:c>
      <x:c r="I987" s="99" t="n">
        <x:v>1.010000000000001</x:v>
      </x:c>
      <x:c r="J987" s="98" t="n">
        <x:v>0.0004231846062164169</x:v>
      </x:c>
      <x:c r="K987" t="str">
        <x:v>nominal_vdd</x:v>
      </x:c>
      <x:c r="L987" t="str">
        <x:v>model_nominal_vdd</x:v>
      </x:c>
      <x:c r="M987" t="n">
        <x:v>1.1</x:v>
      </x:c>
      <x:c r="N987" t="str">
        <x:v>simulation</x:v>
      </x:c>
      <x:c r="O987" t="str">
        <x:v>ngspice</x:v>
      </x:c>
      <x:c r="P987" t="str">
        <x:v>397141eb8a813045075ac2be3098d3b136ebaf4d597c08fca627922a75e443b7</x:v>
      </x:c>
      <x:c r="Q987" t="str">
        <x:v>data/raw/ptm45_lp_vds_1p1v_raw.txt</x:v>
      </x:c>
    </x:row>
    <x:row r="988">
      <x:c r="A988" t="str">
        <x:v>PTM</x:v>
      </x:c>
      <x:c r="B988" t="str">
        <x:v>NMOS</x:v>
      </x:c>
      <x:c r="C988" s="97" t="n">
        <x:v>45</x:v>
      </x:c>
      <x:c r="D988" s="97" t="str">
        <x:v>LP</x:v>
      </x:c>
      <x:c r="E988" s="99" t="n">
        <x:v>1</x:v>
      </x:c>
      <x:c r="F988" s="99" t="n">
        <x:v>0.045</x:v>
      </x:c>
      <x:c r="G988" s="99" t="n">
        <x:v>25</x:v>
      </x:c>
      <x:c r="H988" s="99" t="n">
        <x:v>1.1</x:v>
      </x:c>
      <x:c r="I988" s="99" t="n">
        <x:v>1.015000000000001</x:v>
      </x:c>
      <x:c r="J988" s="98" t="n">
        <x:v>0.0004288127851579412</x:v>
      </x:c>
      <x:c r="K988" t="str">
        <x:v>nominal_vdd</x:v>
      </x:c>
      <x:c r="L988" t="str">
        <x:v>model_nominal_vdd</x:v>
      </x:c>
      <x:c r="M988" t="n">
        <x:v>1.1</x:v>
      </x:c>
      <x:c r="N988" t="str">
        <x:v>simulation</x:v>
      </x:c>
      <x:c r="O988" t="str">
        <x:v>ngspice</x:v>
      </x:c>
      <x:c r="P988" t="str">
        <x:v>397141eb8a813045075ac2be3098d3b136ebaf4d597c08fca627922a75e443b7</x:v>
      </x:c>
      <x:c r="Q988" t="str">
        <x:v>data/raw/ptm45_lp_vds_1p1v_raw.txt</x:v>
      </x:c>
    </x:row>
    <x:row r="989">
      <x:c r="A989" t="str">
        <x:v>PTM</x:v>
      </x:c>
      <x:c r="B989" t="str">
        <x:v>NMOS</x:v>
      </x:c>
      <x:c r="C989" s="97" t="n">
        <x:v>45</x:v>
      </x:c>
      <x:c r="D989" s="97" t="str">
        <x:v>LP</x:v>
      </x:c>
      <x:c r="E989" s="99" t="n">
        <x:v>1</x:v>
      </x:c>
      <x:c r="F989" s="99" t="n">
        <x:v>0.045</x:v>
      </x:c>
      <x:c r="G989" s="99" t="n">
        <x:v>25</x:v>
      </x:c>
      <x:c r="H989" s="99" t="n">
        <x:v>1.1</x:v>
      </x:c>
      <x:c r="I989" s="99" t="n">
        <x:v>1.02</x:v>
      </x:c>
      <x:c r="J989" s="98" t="n">
        <x:v>0.0004344446337494926</x:v>
      </x:c>
      <x:c r="K989" t="str">
        <x:v>nominal_vdd</x:v>
      </x:c>
      <x:c r="L989" t="str">
        <x:v>model_nominal_vdd</x:v>
      </x:c>
      <x:c r="M989" t="n">
        <x:v>1.1</x:v>
      </x:c>
      <x:c r="N989" t="str">
        <x:v>simulation</x:v>
      </x:c>
      <x:c r="O989" t="str">
        <x:v>ngspice</x:v>
      </x:c>
      <x:c r="P989" t="str">
        <x:v>397141eb8a813045075ac2be3098d3b136ebaf4d597c08fca627922a75e443b7</x:v>
      </x:c>
      <x:c r="Q989" t="str">
        <x:v>data/raw/ptm45_lp_vds_1p1v_raw.txt</x:v>
      </x:c>
    </x:row>
    <x:row r="990">
      <x:c r="A990" t="str">
        <x:v>PTM</x:v>
      </x:c>
      <x:c r="B990" t="str">
        <x:v>NMOS</x:v>
      </x:c>
      <x:c r="C990" s="97" t="n">
        <x:v>45</x:v>
      </x:c>
      <x:c r="D990" s="97" t="str">
        <x:v>LP</x:v>
      </x:c>
      <x:c r="E990" s="99" t="n">
        <x:v>1</x:v>
      </x:c>
      <x:c r="F990" s="99" t="n">
        <x:v>0.045</x:v>
      </x:c>
      <x:c r="G990" s="99" t="n">
        <x:v>25</x:v>
      </x:c>
      <x:c r="H990" s="99" t="n">
        <x:v>1.1</x:v>
      </x:c>
      <x:c r="I990" s="99" t="n">
        <x:v>1.025</x:v>
      </x:c>
      <x:c r="J990" s="98" t="n">
        <x:v>0.0004400799903634552</x:v>
      </x:c>
      <x:c r="K990" t="str">
        <x:v>nominal_vdd</x:v>
      </x:c>
      <x:c r="L990" t="str">
        <x:v>model_nominal_vdd</x:v>
      </x:c>
      <x:c r="M990" t="n">
        <x:v>1.1</x:v>
      </x:c>
      <x:c r="N990" t="str">
        <x:v>simulation</x:v>
      </x:c>
      <x:c r="O990" t="str">
        <x:v>ngspice</x:v>
      </x:c>
      <x:c r="P990" t="str">
        <x:v>397141eb8a813045075ac2be3098d3b136ebaf4d597c08fca627922a75e443b7</x:v>
      </x:c>
      <x:c r="Q990" t="str">
        <x:v>data/raw/ptm45_lp_vds_1p1v_raw.txt</x:v>
      </x:c>
    </x:row>
    <x:row r="991">
      <x:c r="A991" t="str">
        <x:v>PTM</x:v>
      </x:c>
      <x:c r="B991" t="str">
        <x:v>NMOS</x:v>
      </x:c>
      <x:c r="C991" s="97" t="n">
        <x:v>45</x:v>
      </x:c>
      <x:c r="D991" s="97" t="str">
        <x:v>LP</x:v>
      </x:c>
      <x:c r="E991" s="99" t="n">
        <x:v>1</x:v>
      </x:c>
      <x:c r="F991" s="99" t="n">
        <x:v>0.045</x:v>
      </x:c>
      <x:c r="G991" s="99" t="n">
        <x:v>25</x:v>
      </x:c>
      <x:c r="H991" s="99" t="n">
        <x:v>1.1</x:v>
      </x:c>
      <x:c r="I991" s="99" t="n">
        <x:v>1.03</x:v>
      </x:c>
      <x:c r="J991" s="98" t="n">
        <x:v>0.0004457186992383044</x:v>
      </x:c>
      <x:c r="K991" t="str">
        <x:v>nominal_vdd</x:v>
      </x:c>
      <x:c r="L991" t="str">
        <x:v>model_nominal_vdd</x:v>
      </x:c>
      <x:c r="M991" t="n">
        <x:v>1.1</x:v>
      </x:c>
      <x:c r="N991" t="str">
        <x:v>simulation</x:v>
      </x:c>
      <x:c r="O991" t="str">
        <x:v>ngspice</x:v>
      </x:c>
      <x:c r="P991" t="str">
        <x:v>397141eb8a813045075ac2be3098d3b136ebaf4d597c08fca627922a75e443b7</x:v>
      </x:c>
      <x:c r="Q991" t="str">
        <x:v>data/raw/ptm45_lp_vds_1p1v_raw.txt</x:v>
      </x:c>
    </x:row>
    <x:row r="992">
      <x:c r="A992" t="str">
        <x:v>PTM</x:v>
      </x:c>
      <x:c r="B992" t="str">
        <x:v>NMOS</x:v>
      </x:c>
      <x:c r="C992" s="97" t="n">
        <x:v>45</x:v>
      </x:c>
      <x:c r="D992" s="97" t="str">
        <x:v>LP</x:v>
      </x:c>
      <x:c r="E992" s="99" t="n">
        <x:v>1</x:v>
      </x:c>
      <x:c r="F992" s="99" t="n">
        <x:v>0.045</x:v>
      </x:c>
      <x:c r="G992" s="99" t="n">
        <x:v>25</x:v>
      </x:c>
      <x:c r="H992" s="99" t="n">
        <x:v>1.1</x:v>
      </x:c>
      <x:c r="I992" s="99" t="n">
        <x:v>1.035</x:v>
      </x:c>
      <x:c r="J992" s="98" t="n">
        <x:v>0.0004513606101611933</x:v>
      </x:c>
      <x:c r="K992" t="str">
        <x:v>nominal_vdd</x:v>
      </x:c>
      <x:c r="L992" t="str">
        <x:v>model_nominal_vdd</x:v>
      </x:c>
      <x:c r="M992" t="n">
        <x:v>1.1</x:v>
      </x:c>
      <x:c r="N992" t="str">
        <x:v>simulation</x:v>
      </x:c>
      <x:c r="O992" t="str">
        <x:v>ngspice</x:v>
      </x:c>
      <x:c r="P992" t="str">
        <x:v>397141eb8a813045075ac2be3098d3b136ebaf4d597c08fca627922a75e443b7</x:v>
      </x:c>
      <x:c r="Q992" t="str">
        <x:v>data/raw/ptm45_lp_vds_1p1v_raw.txt</x:v>
      </x:c>
    </x:row>
    <x:row r="993">
      <x:c r="A993" t="str">
        <x:v>PTM</x:v>
      </x:c>
      <x:c r="B993" t="str">
        <x:v>NMOS</x:v>
      </x:c>
      <x:c r="C993" s="97" t="n">
        <x:v>45</x:v>
      </x:c>
      <x:c r="D993" s="97" t="str">
        <x:v>LP</x:v>
      </x:c>
      <x:c r="E993" s="99" t="n">
        <x:v>1</x:v>
      </x:c>
      <x:c r="F993" s="99" t="n">
        <x:v>0.045</x:v>
      </x:c>
      <x:c r="G993" s="99" t="n">
        <x:v>25</x:v>
      </x:c>
      <x:c r="H993" s="99" t="n">
        <x:v>1.1</x:v>
      </x:c>
      <x:c r="I993" s="99" t="n">
        <x:v>1.04</x:v>
      </x:c>
      <x:c r="J993" s="98" t="n">
        <x:v>0.0004570055781709562</x:v>
      </x:c>
      <x:c r="K993" t="str">
        <x:v>nominal_vdd</x:v>
      </x:c>
      <x:c r="L993" t="str">
        <x:v>model_nominal_vdd</x:v>
      </x:c>
      <x:c r="M993" t="n">
        <x:v>1.1</x:v>
      </x:c>
      <x:c r="N993" t="str">
        <x:v>simulation</x:v>
      </x:c>
      <x:c r="O993" t="str">
        <x:v>ngspice</x:v>
      </x:c>
      <x:c r="P993" t="str">
        <x:v>397141eb8a813045075ac2be3098d3b136ebaf4d597c08fca627922a75e443b7</x:v>
      </x:c>
      <x:c r="Q993" t="str">
        <x:v>data/raw/ptm45_lp_vds_1p1v_raw.txt</x:v>
      </x:c>
    </x:row>
    <x:row r="994">
      <x:c r="A994" t="str">
        <x:v>PTM</x:v>
      </x:c>
      <x:c r="B994" t="str">
        <x:v>NMOS</x:v>
      </x:c>
      <x:c r="C994" s="97" t="n">
        <x:v>45</x:v>
      </x:c>
      <x:c r="D994" s="97" t="str">
        <x:v>LP</x:v>
      </x:c>
      <x:c r="E994" s="99" t="n">
        <x:v>1</x:v>
      </x:c>
      <x:c r="F994" s="99" t="n">
        <x:v>0.045</x:v>
      </x:c>
      <x:c r="G994" s="99" t="n">
        <x:v>25</x:v>
      </x:c>
      <x:c r="H994" s="99" t="n">
        <x:v>1.1</x:v>
      </x:c>
      <x:c r="I994" s="99" t="n">
        <x:v>1.045</x:v>
      </x:c>
      <x:c r="J994" s="98" t="n">
        <x:v>0.0004626534632801392</x:v>
      </x:c>
      <x:c r="K994" t="str">
        <x:v>nominal_vdd</x:v>
      </x:c>
      <x:c r="L994" t="str">
        <x:v>model_nominal_vdd</x:v>
      </x:c>
      <x:c r="M994" t="n">
        <x:v>1.1</x:v>
      </x:c>
      <x:c r="N994" t="str">
        <x:v>simulation</x:v>
      </x:c>
      <x:c r="O994" t="str">
        <x:v>ngspice</x:v>
      </x:c>
      <x:c r="P994" t="str">
        <x:v>397141eb8a813045075ac2be3098d3b136ebaf4d597c08fca627922a75e443b7</x:v>
      </x:c>
      <x:c r="Q994" t="str">
        <x:v>data/raw/ptm45_lp_vds_1p1v_raw.txt</x:v>
      </x:c>
    </x:row>
    <x:row r="995">
      <x:c r="A995" t="str">
        <x:v>PTM</x:v>
      </x:c>
      <x:c r="B995" t="str">
        <x:v>NMOS</x:v>
      </x:c>
      <x:c r="C995" s="97" t="n">
        <x:v>45</x:v>
      </x:c>
      <x:c r="D995" s="97" t="str">
        <x:v>LP</x:v>
      </x:c>
      <x:c r="E995" s="99" t="n">
        <x:v>1</x:v>
      </x:c>
      <x:c r="F995" s="99" t="n">
        <x:v>0.045</x:v>
      </x:c>
      <x:c r="G995" s="99" t="n">
        <x:v>25</x:v>
      </x:c>
      <x:c r="H995" s="99" t="n">
        <x:v>1.1</x:v>
      </x:c>
      <x:c r="I995" s="99" t="n">
        <x:v>1.05</x:v>
      </x:c>
      <x:c r="J995" s="98" t="n">
        <x:v>0.0004683041302148402</x:v>
      </x:c>
      <x:c r="K995" t="str">
        <x:v>nominal_vdd</x:v>
      </x:c>
      <x:c r="L995" t="str">
        <x:v>model_nominal_vdd</x:v>
      </x:c>
      <x:c r="M995" t="n">
        <x:v>1.1</x:v>
      </x:c>
      <x:c r="N995" t="str">
        <x:v>simulation</x:v>
      </x:c>
      <x:c r="O995" t="str">
        <x:v>ngspice</x:v>
      </x:c>
      <x:c r="P995" t="str">
        <x:v>397141eb8a813045075ac2be3098d3b136ebaf4d597c08fca627922a75e443b7</x:v>
      </x:c>
      <x:c r="Q995" t="str">
        <x:v>data/raw/ptm45_lp_vds_1p1v_raw.txt</x:v>
      </x:c>
    </x:row>
    <x:row r="996">
      <x:c r="A996" t="str">
        <x:v>PTM</x:v>
      </x:c>
      <x:c r="B996" t="str">
        <x:v>NMOS</x:v>
      </x:c>
      <x:c r="C996" s="97" t="n">
        <x:v>45</x:v>
      </x:c>
      <x:c r="D996" s="97" t="str">
        <x:v>LP</x:v>
      </x:c>
      <x:c r="E996" s="99" t="n">
        <x:v>1</x:v>
      </x:c>
      <x:c r="F996" s="99" t="n">
        <x:v>0.045</x:v>
      </x:c>
      <x:c r="G996" s="99" t="n">
        <x:v>25</x:v>
      </x:c>
      <x:c r="H996" s="99" t="n">
        <x:v>1.1</x:v>
      </x:c>
      <x:c r="I996" s="99" t="n">
        <x:v>1.055</x:v>
      </x:c>
      <x:c r="J996" s="98" t="n">
        <x:v>0.0004739574481711273</x:v>
      </x:c>
      <x:c r="K996" t="str">
        <x:v>nominal_vdd</x:v>
      </x:c>
      <x:c r="L996" t="str">
        <x:v>model_nominal_vdd</x:v>
      </x:c>
      <x:c r="M996" t="n">
        <x:v>1.1</x:v>
      </x:c>
      <x:c r="N996" t="str">
        <x:v>simulation</x:v>
      </x:c>
      <x:c r="O996" t="str">
        <x:v>ngspice</x:v>
      </x:c>
      <x:c r="P996" t="str">
        <x:v>397141eb8a813045075ac2be3098d3b136ebaf4d597c08fca627922a75e443b7</x:v>
      </x:c>
      <x:c r="Q996" t="str">
        <x:v>data/raw/ptm45_lp_vds_1p1v_raw.txt</x:v>
      </x:c>
    </x:row>
    <x:row r="997">
      <x:c r="A997" t="str">
        <x:v>PTM</x:v>
      </x:c>
      <x:c r="B997" t="str">
        <x:v>NMOS</x:v>
      </x:c>
      <x:c r="C997" s="97" t="n">
        <x:v>45</x:v>
      </x:c>
      <x:c r="D997" s="97" t="str">
        <x:v>LP</x:v>
      </x:c>
      <x:c r="E997" s="99" t="n">
        <x:v>1</x:v>
      </x:c>
      <x:c r="F997" s="99" t="n">
        <x:v>0.045</x:v>
      </x:c>
      <x:c r="G997" s="99" t="n">
        <x:v>25</x:v>
      </x:c>
      <x:c r="H997" s="99" t="n">
        <x:v>1.1</x:v>
      </x:c>
      <x:c r="I997" s="99" t="n">
        <x:v>1.06</x:v>
      </x:c>
      <x:c r="J997" s="98" t="n">
        <x:v>0.0004796132905869391</x:v>
      </x:c>
      <x:c r="K997" t="str">
        <x:v>nominal_vdd</x:v>
      </x:c>
      <x:c r="L997" t="str">
        <x:v>model_nominal_vdd</x:v>
      </x:c>
      <x:c r="M997" t="n">
        <x:v>1.1</x:v>
      </x:c>
      <x:c r="N997" t="str">
        <x:v>simulation</x:v>
      </x:c>
      <x:c r="O997" t="str">
        <x:v>ngspice</x:v>
      </x:c>
      <x:c r="P997" t="str">
        <x:v>397141eb8a813045075ac2be3098d3b136ebaf4d597c08fca627922a75e443b7</x:v>
      </x:c>
      <x:c r="Q997" t="str">
        <x:v>data/raw/ptm45_lp_vds_1p1v_raw.txt</x:v>
      </x:c>
    </x:row>
    <x:row r="998">
      <x:c r="A998" t="str">
        <x:v>PTM</x:v>
      </x:c>
      <x:c r="B998" t="str">
        <x:v>NMOS</x:v>
      </x:c>
      <x:c r="C998" s="97" t="n">
        <x:v>45</x:v>
      </x:c>
      <x:c r="D998" s="97" t="str">
        <x:v>LP</x:v>
      </x:c>
      <x:c r="E998" s="99" t="n">
        <x:v>1</x:v>
      </x:c>
      <x:c r="F998" s="99" t="n">
        <x:v>0.045</x:v>
      </x:c>
      <x:c r="G998" s="99" t="n">
        <x:v>25</x:v>
      </x:c>
      <x:c r="H998" s="99" t="n">
        <x:v>1.1</x:v>
      </x:c>
      <x:c r="I998" s="99" t="n">
        <x:v>1.065</x:v>
      </x:c>
      <x:c r="J998" s="98" t="n">
        <x:v>0.0004852715349284152</x:v>
      </x:c>
      <x:c r="K998" t="str">
        <x:v>nominal_vdd</x:v>
      </x:c>
      <x:c r="L998" t="str">
        <x:v>model_nominal_vdd</x:v>
      </x:c>
      <x:c r="M998" t="n">
        <x:v>1.1</x:v>
      </x:c>
      <x:c r="N998" t="str">
        <x:v>simulation</x:v>
      </x:c>
      <x:c r="O998" t="str">
        <x:v>ngspice</x:v>
      </x:c>
      <x:c r="P998" t="str">
        <x:v>397141eb8a813045075ac2be3098d3b136ebaf4d597c08fca627922a75e443b7</x:v>
      </x:c>
      <x:c r="Q998" t="str">
        <x:v>data/raw/ptm45_lp_vds_1p1v_raw.txt</x:v>
      </x:c>
    </x:row>
    <x:row r="999">
      <x:c r="A999" t="str">
        <x:v>PTM</x:v>
      </x:c>
      <x:c r="B999" t="str">
        <x:v>NMOS</x:v>
      </x:c>
      <x:c r="C999" s="97" t="n">
        <x:v>45</x:v>
      </x:c>
      <x:c r="D999" s="97" t="str">
        <x:v>LP</x:v>
      </x:c>
      <x:c r="E999" s="99" t="n">
        <x:v>1</x:v>
      </x:c>
      <x:c r="F999" s="99" t="n">
        <x:v>0.045</x:v>
      </x:c>
      <x:c r="G999" s="99" t="n">
        <x:v>25</x:v>
      </x:c>
      <x:c r="H999" s="99" t="n">
        <x:v>1.1</x:v>
      </x:c>
      <x:c r="I999" s="99" t="n">
        <x:v>1.069999999999999</x:v>
      </x:c>
      <x:c r="J999" s="98" t="n">
        <x:v>0.0004909320624897039</x:v>
      </x:c>
      <x:c r="K999" t="str">
        <x:v>nominal_vdd</x:v>
      </x:c>
      <x:c r="L999" t="str">
        <x:v>model_nominal_vdd</x:v>
      </x:c>
      <x:c r="M999" t="n">
        <x:v>1.1</x:v>
      </x:c>
      <x:c r="N999" t="str">
        <x:v>simulation</x:v>
      </x:c>
      <x:c r="O999" t="str">
        <x:v>ngspice</x:v>
      </x:c>
      <x:c r="P999" t="str">
        <x:v>397141eb8a813045075ac2be3098d3b136ebaf4d597c08fca627922a75e443b7</x:v>
      </x:c>
      <x:c r="Q999" t="str">
        <x:v>data/raw/ptm45_lp_vds_1p1v_raw.txt</x:v>
      </x:c>
    </x:row>
    <x:row r="1000">
      <x:c r="A1000" t="str">
        <x:v>PTM</x:v>
      </x:c>
      <x:c r="B1000" t="str">
        <x:v>NMOS</x:v>
      </x:c>
      <x:c r="C1000" s="97" t="n">
        <x:v>45</x:v>
      </x:c>
      <x:c r="D1000" s="97" t="str">
        <x:v>LP</x:v>
      </x:c>
      <x:c r="E1000" s="99" t="n">
        <x:v>1</x:v>
      </x:c>
      <x:c r="F1000" s="99" t="n">
        <x:v>0.045</x:v>
      </x:c>
      <x:c r="G1000" s="99" t="n">
        <x:v>25</x:v>
      </x:c>
      <x:c r="H1000" s="99" t="n">
        <x:v>1.1</x:v>
      </x:c>
      <x:c r="I1000" s="99" t="n">
        <x:v>1.074999999999999</x:v>
      </x:c>
      <x:c r="J1000" s="98" t="n">
        <x:v>0.0004965947582052865</x:v>
      </x:c>
      <x:c r="K1000" t="str">
        <x:v>nominal_vdd</x:v>
      </x:c>
      <x:c r="L1000" t="str">
        <x:v>model_nominal_vdd</x:v>
      </x:c>
      <x:c r="M1000" t="n">
        <x:v>1.1</x:v>
      </x:c>
      <x:c r="N1000" t="str">
        <x:v>simulation</x:v>
      </x:c>
      <x:c r="O1000" t="str">
        <x:v>ngspice</x:v>
      </x:c>
      <x:c r="P1000" t="str">
        <x:v>397141eb8a813045075ac2be3098d3b136ebaf4d597c08fca627922a75e443b7</x:v>
      </x:c>
      <x:c r="Q1000" t="str">
        <x:v>data/raw/ptm45_lp_vds_1p1v_raw.txt</x:v>
      </x:c>
    </x:row>
    <x:row r="1001">
      <x:c r="A1001" t="str">
        <x:v>PTM</x:v>
      </x:c>
      <x:c r="B1001" t="str">
        <x:v>NMOS</x:v>
      </x:c>
      <x:c r="C1001" s="97" t="n">
        <x:v>45</x:v>
      </x:c>
      <x:c r="D1001" s="97" t="str">
        <x:v>LP</x:v>
      </x:c>
      <x:c r="E1001" s="99" t="n">
        <x:v>1</x:v>
      </x:c>
      <x:c r="F1001" s="99" t="n">
        <x:v>0.045</x:v>
      </x:c>
      <x:c r="G1001" s="99" t="n">
        <x:v>25</x:v>
      </x:c>
      <x:c r="H1001" s="99" t="n">
        <x:v>1.1</x:v>
      </x:c>
      <x:c r="I1001" s="99" t="n">
        <x:v>1.079999999999999</x:v>
      </x:c>
      <x:c r="J1001" s="98" t="n">
        <x:v>0.0005022595104740248</x:v>
      </x:c>
      <x:c r="K1001" t="str">
        <x:v>nominal_vdd</x:v>
      </x:c>
      <x:c r="L1001" t="str">
        <x:v>model_nominal_vdd</x:v>
      </x:c>
      <x:c r="M1001" t="n">
        <x:v>1.1</x:v>
      </x:c>
      <x:c r="N1001" t="str">
        <x:v>simulation</x:v>
      </x:c>
      <x:c r="O1001" t="str">
        <x:v>ngspice</x:v>
      </x:c>
      <x:c r="P1001" t="str">
        <x:v>397141eb8a813045075ac2be3098d3b136ebaf4d597c08fca627922a75e443b7</x:v>
      </x:c>
      <x:c r="Q1001" t="str">
        <x:v>data/raw/ptm45_lp_vds_1p1v_raw.txt</x:v>
      </x:c>
    </x:row>
    <x:row r="1002">
      <x:c r="A1002" t="str">
        <x:v>PTM</x:v>
      </x:c>
      <x:c r="B1002" t="str">
        <x:v>NMOS</x:v>
      </x:c>
      <x:c r="C1002" s="97" t="n">
        <x:v>45</x:v>
      </x:c>
      <x:c r="D1002" s="97" t="str">
        <x:v>LP</x:v>
      </x:c>
      <x:c r="E1002" s="99" t="n">
        <x:v>1</x:v>
      </x:c>
      <x:c r="F1002" s="99" t="n">
        <x:v>0.045</x:v>
      </x:c>
      <x:c r="G1002" s="99" t="n">
        <x:v>25</x:v>
      </x:c>
      <x:c r="H1002" s="99" t="n">
        <x:v>1.1</x:v>
      </x:c>
      <x:c r="I1002" s="99" t="n">
        <x:v>1.084999999999999</x:v>
      </x:c>
      <x:c r="J1002" s="98" t="n">
        <x:v>0.0005079262109940988</x:v>
      </x:c>
      <x:c r="K1002" t="str">
        <x:v>nominal_vdd</x:v>
      </x:c>
      <x:c r="L1002" t="str">
        <x:v>model_nominal_vdd</x:v>
      </x:c>
      <x:c r="M1002" t="n">
        <x:v>1.1</x:v>
      </x:c>
      <x:c r="N1002" t="str">
        <x:v>simulation</x:v>
      </x:c>
      <x:c r="O1002" t="str">
        <x:v>ngspice</x:v>
      </x:c>
      <x:c r="P1002" t="str">
        <x:v>397141eb8a813045075ac2be3098d3b136ebaf4d597c08fca627922a75e443b7</x:v>
      </x:c>
      <x:c r="Q1002" t="str">
        <x:v>data/raw/ptm45_lp_vds_1p1v_raw.txt</x:v>
      </x:c>
    </x:row>
    <x:row r="1003">
      <x:c r="A1003" t="str">
        <x:v>PTM</x:v>
      </x:c>
      <x:c r="B1003" t="str">
        <x:v>NMOS</x:v>
      </x:c>
      <x:c r="C1003" s="97" t="n">
        <x:v>45</x:v>
      </x:c>
      <x:c r="D1003" s="97" t="str">
        <x:v>LP</x:v>
      </x:c>
      <x:c r="E1003" s="99" t="n">
        <x:v>1</x:v>
      </x:c>
      <x:c r="F1003" s="99" t="n">
        <x:v>0.045</x:v>
      </x:c>
      <x:c r="G1003" s="99" t="n">
        <x:v>25</x:v>
      </x:c>
      <x:c r="H1003" s="99" t="n">
        <x:v>1.1</x:v>
      </x:c>
      <x:c r="I1003" s="99" t="n">
        <x:v>1.089999999999999</x:v>
      </x:c>
      <x:c r="J1003" s="98" t="n">
        <x:v>0.0005135947546080881</x:v>
      </x:c>
      <x:c r="K1003" t="str">
        <x:v>nominal_vdd</x:v>
      </x:c>
      <x:c r="L1003" t="str">
        <x:v>model_nominal_vdd</x:v>
      </x:c>
      <x:c r="M1003" t="n">
        <x:v>1.1</x:v>
      </x:c>
      <x:c r="N1003" t="str">
        <x:v>simulation</x:v>
      </x:c>
      <x:c r="O1003" t="str">
        <x:v>ngspice</x:v>
      </x:c>
      <x:c r="P1003" t="str">
        <x:v>397141eb8a813045075ac2be3098d3b136ebaf4d597c08fca627922a75e443b7</x:v>
      </x:c>
      <x:c r="Q1003" t="str">
        <x:v>data/raw/ptm45_lp_vds_1p1v_raw.txt</x:v>
      </x:c>
    </x:row>
    <x:row r="1004">
      <x:c r="A1004" t="str">
        <x:v>PTM</x:v>
      </x:c>
      <x:c r="B1004" t="str">
        <x:v>NMOS</x:v>
      </x:c>
      <x:c r="C1004" s="97" t="n">
        <x:v>45</x:v>
      </x:c>
      <x:c r="D1004" s="97" t="str">
        <x:v>LP</x:v>
      </x:c>
      <x:c r="E1004" s="99" t="n">
        <x:v>1</x:v>
      </x:c>
      <x:c r="F1004" s="99" t="n">
        <x:v>0.045</x:v>
      </x:c>
      <x:c r="G1004" s="99" t="n">
        <x:v>25</x:v>
      </x:c>
      <x:c r="H1004" s="99" t="n">
        <x:v>1.1</x:v>
      </x:c>
      <x:c r="I1004" s="99" t="n">
        <x:v>1.094999999999999</x:v>
      </x:c>
      <x:c r="J1004" s="98" t="n">
        <x:v>0.0005192650391575358</x:v>
      </x:c>
      <x:c r="K1004" t="str">
        <x:v>nominal_vdd</x:v>
      </x:c>
      <x:c r="L1004" t="str">
        <x:v>model_nominal_vdd</x:v>
      </x:c>
      <x:c r="M1004" t="n">
        <x:v>1.1</x:v>
      </x:c>
      <x:c r="N1004" t="str">
        <x:v>simulation</x:v>
      </x:c>
      <x:c r="O1004" t="str">
        <x:v>ngspice</x:v>
      </x:c>
      <x:c r="P1004" t="str">
        <x:v>397141eb8a813045075ac2be3098d3b136ebaf4d597c08fca627922a75e443b7</x:v>
      </x:c>
      <x:c r="Q1004" t="str">
        <x:v>data/raw/ptm45_lp_vds_1p1v_raw.txt</x:v>
      </x:c>
    </x:row>
    <x:row r="1005">
      <x:c r="A1005" t="str">
        <x:v>PTM</x:v>
      </x:c>
      <x:c r="B1005" t="str">
        <x:v>NMOS</x:v>
      </x:c>
      <x:c r="C1005" s="97" t="n">
        <x:v>45</x:v>
      </x:c>
      <x:c r="D1005" s="97" t="str">
        <x:v>LP</x:v>
      </x:c>
      <x:c r="E1005" s="99" t="n">
        <x:v>1</x:v>
      </x:c>
      <x:c r="F1005" s="99" t="n">
        <x:v>0.045</x:v>
      </x:c>
      <x:c r="G1005" s="99" t="n">
        <x:v>25</x:v>
      </x:c>
      <x:c r="H1005" s="99" t="n">
        <x:v>1.1</x:v>
      </x:c>
      <x:c r="I1005" s="99" t="n">
        <x:v>1.099999999999999</x:v>
      </x:c>
      <x:c r="J1005" s="98" t="n">
        <x:v>0.0005249369653463344</x:v>
      </x:c>
      <x:c r="K1005" t="str">
        <x:v>nominal_vdd</x:v>
      </x:c>
      <x:c r="L1005" t="str">
        <x:v>model_nominal_vdd</x:v>
      </x:c>
      <x:c r="M1005" t="n">
        <x:v>1.1</x:v>
      </x:c>
      <x:c r="N1005" t="str">
        <x:v>simulation</x:v>
      </x:c>
      <x:c r="O1005" t="str">
        <x:v>ngspice</x:v>
      </x:c>
      <x:c r="P1005" t="str">
        <x:v>397141eb8a813045075ac2be3098d3b136ebaf4d597c08fca627922a75e443b7</x:v>
      </x:c>
      <x:c r="Q1005" t="str">
        <x:v>data/raw/ptm45_lp_vds_1p1v_raw.txt</x:v>
      </x:c>
    </x:row>
    <x:row r="1006">
      <x:c r="A1006" t="str">
        <x:v>PTM</x:v>
      </x:c>
      <x:c r="B1006" t="str">
        <x:v>NMOS</x:v>
      </x:c>
      <x:c r="C1006" s="97" t="n">
        <x:v>45</x:v>
      </x:c>
      <x:c r="D1006" s="97" t="str">
        <x:v>LP</x:v>
      </x:c>
      <x:c r="E1006" s="99" t="n">
        <x:v>1</x:v>
      </x:c>
      <x:c r="F1006" s="99" t="n">
        <x:v>0.045</x:v>
      </x:c>
      <x:c r="G1006" s="99" t="n">
        <x:v>25</x:v>
      </x:c>
      <x:c r="H1006" s="99" t="n">
        <x:v>1</x:v>
      </x:c>
      <x:c r="I1006" s="99" t="n">
        <x:v>-0.2</x:v>
      </x:c>
      <x:c r="J1006" s="98" t="n">
        <x:v>1.114393572961754e-12</x:v>
      </x:c>
      <x:c r="K1006" t="str">
        <x:v>common_1v</x:v>
      </x:c>
      <x:c r="L1006" t="str">
        <x:v>common_vdd</x:v>
      </x:c>
      <x:c r="M1006" t="n">
        <x:v>1.1</x:v>
      </x:c>
      <x:c r="N1006" t="str">
        <x:v>simulation</x:v>
      </x:c>
      <x:c r="O1006" t="str">
        <x:v>ngspice</x:v>
      </x:c>
      <x:c r="P1006" t="str">
        <x:v>397141eb8a813045075ac2be3098d3b136ebaf4d597c08fca627922a75e443b7</x:v>
      </x:c>
      <x:c r="Q1006" t="str">
        <x:v>data/raw/ptm45_lp_vds_1v_raw.txt</x:v>
      </x:c>
    </x:row>
    <x:row r="1007">
      <x:c r="A1007" t="str">
        <x:v>PTM</x:v>
      </x:c>
      <x:c r="B1007" t="str">
        <x:v>NMOS</x:v>
      </x:c>
      <x:c r="C1007" s="97" t="n">
        <x:v>45</x:v>
      </x:c>
      <x:c r="D1007" s="97" t="str">
        <x:v>LP</x:v>
      </x:c>
      <x:c r="E1007" s="99" t="n">
        <x:v>1</x:v>
      </x:c>
      <x:c r="F1007" s="99" t="n">
        <x:v>0.045</x:v>
      </x:c>
      <x:c r="G1007" s="99" t="n">
        <x:v>25</x:v>
      </x:c>
      <x:c r="H1007" s="99" t="n">
        <x:v>1</x:v>
      </x:c>
      <x:c r="I1007" s="99" t="n">
        <x:v>-0.195</x:v>
      </x:c>
      <x:c r="J1007" s="98" t="n">
        <x:v>1.124728504302294e-12</x:v>
      </x:c>
      <x:c r="K1007" t="str">
        <x:v>common_1v</x:v>
      </x:c>
      <x:c r="L1007" t="str">
        <x:v>common_vdd</x:v>
      </x:c>
      <x:c r="M1007" t="n">
        <x:v>1.1</x:v>
      </x:c>
      <x:c r="N1007" t="str">
        <x:v>simulation</x:v>
      </x:c>
      <x:c r="O1007" t="str">
        <x:v>ngspice</x:v>
      </x:c>
      <x:c r="P1007" t="str">
        <x:v>397141eb8a813045075ac2be3098d3b136ebaf4d597c08fca627922a75e443b7</x:v>
      </x:c>
      <x:c r="Q1007" t="str">
        <x:v>data/raw/ptm45_lp_vds_1v_raw.txt</x:v>
      </x:c>
    </x:row>
    <x:row r="1008">
      <x:c r="A1008" t="str">
        <x:v>PTM</x:v>
      </x:c>
      <x:c r="B1008" t="str">
        <x:v>NMOS</x:v>
      </x:c>
      <x:c r="C1008" s="97" t="n">
        <x:v>45</x:v>
      </x:c>
      <x:c r="D1008" s="97" t="str">
        <x:v>LP</x:v>
      </x:c>
      <x:c r="E1008" s="99" t="n">
        <x:v>1</x:v>
      </x:c>
      <x:c r="F1008" s="99" t="n">
        <x:v>0.045</x:v>
      </x:c>
      <x:c r="G1008" s="99" t="n">
        <x:v>25</x:v>
      </x:c>
      <x:c r="H1008" s="99" t="n">
        <x:v>1</x:v>
      </x:c>
      <x:c r="I1008" s="99" t="n">
        <x:v>-0.19</x:v>
      </x:c>
      <x:c r="J1008" s="98" t="n">
        <x:v>1.139010516579071e-12</x:v>
      </x:c>
      <x:c r="K1008" t="str">
        <x:v>common_1v</x:v>
      </x:c>
      <x:c r="L1008" t="str">
        <x:v>common_vdd</x:v>
      </x:c>
      <x:c r="M1008" t="n">
        <x:v>1.1</x:v>
      </x:c>
      <x:c r="N1008" t="str">
        <x:v>simulation</x:v>
      </x:c>
      <x:c r="O1008" t="str">
        <x:v>ngspice</x:v>
      </x:c>
      <x:c r="P1008" t="str">
        <x:v>397141eb8a813045075ac2be3098d3b136ebaf4d597c08fca627922a75e443b7</x:v>
      </x:c>
      <x:c r="Q1008" t="str">
        <x:v>data/raw/ptm45_lp_vds_1v_raw.txt</x:v>
      </x:c>
    </x:row>
    <x:row r="1009">
      <x:c r="A1009" t="str">
        <x:v>PTM</x:v>
      </x:c>
      <x:c r="B1009" t="str">
        <x:v>NMOS</x:v>
      </x:c>
      <x:c r="C1009" s="97" t="n">
        <x:v>45</x:v>
      </x:c>
      <x:c r="D1009" s="97" t="str">
        <x:v>LP</x:v>
      </x:c>
      <x:c r="E1009" s="99" t="n">
        <x:v>1</x:v>
      </x:c>
      <x:c r="F1009" s="99" t="n">
        <x:v>0.045</x:v>
      </x:c>
      <x:c r="G1009" s="99" t="n">
        <x:v>25</x:v>
      </x:c>
      <x:c r="H1009" s="99" t="n">
        <x:v>1</x:v>
      </x:c>
      <x:c r="I1009" s="99" t="n">
        <x:v>-0.185</x:v>
      </x:c>
      <x:c r="J1009" s="98" t="n">
        <x:v>1.155990295001871e-12</x:v>
      </x:c>
      <x:c r="K1009" t="str">
        <x:v>common_1v</x:v>
      </x:c>
      <x:c r="L1009" t="str">
        <x:v>common_vdd</x:v>
      </x:c>
      <x:c r="M1009" t="n">
        <x:v>1.1</x:v>
      </x:c>
      <x:c r="N1009" t="str">
        <x:v>simulation</x:v>
      </x:c>
      <x:c r="O1009" t="str">
        <x:v>ngspice</x:v>
      </x:c>
      <x:c r="P1009" t="str">
        <x:v>397141eb8a813045075ac2be3098d3b136ebaf4d597c08fca627922a75e443b7</x:v>
      </x:c>
      <x:c r="Q1009" t="str">
        <x:v>data/raw/ptm45_lp_vds_1v_raw.txt</x:v>
      </x:c>
    </x:row>
    <x:row r="1010">
      <x:c r="A1010" t="str">
        <x:v>PTM</x:v>
      </x:c>
      <x:c r="B1010" t="str">
        <x:v>NMOS</x:v>
      </x:c>
      <x:c r="C1010" s="97" t="n">
        <x:v>45</x:v>
      </x:c>
      <x:c r="D1010" s="97" t="str">
        <x:v>LP</x:v>
      </x:c>
      <x:c r="E1010" s="99" t="n">
        <x:v>1</x:v>
      </x:c>
      <x:c r="F1010" s="99" t="n">
        <x:v>0.045</x:v>
      </x:c>
      <x:c r="G1010" s="99" t="n">
        <x:v>25</x:v>
      </x:c>
      <x:c r="H1010" s="99" t="n">
        <x:v>1</x:v>
      </x:c>
      <x:c r="I1010" s="99" t="n">
        <x:v>-0.18</x:v>
      </x:c>
      <x:c r="J1010" s="98" t="n">
        <x:v>1.175859685930556e-12</x:v>
      </x:c>
      <x:c r="K1010" t="str">
        <x:v>common_1v</x:v>
      </x:c>
      <x:c r="L1010" t="str">
        <x:v>common_vdd</x:v>
      </x:c>
      <x:c r="M1010" t="n">
        <x:v>1.1</x:v>
      </x:c>
      <x:c r="N1010" t="str">
        <x:v>simulation</x:v>
      </x:c>
      <x:c r="O1010" t="str">
        <x:v>ngspice</x:v>
      </x:c>
      <x:c r="P1010" t="str">
        <x:v>397141eb8a813045075ac2be3098d3b136ebaf4d597c08fca627922a75e443b7</x:v>
      </x:c>
      <x:c r="Q1010" t="str">
        <x:v>data/raw/ptm45_lp_vds_1v_raw.txt</x:v>
      </x:c>
    </x:row>
    <x:row r="1011">
      <x:c r="A1011" t="str">
        <x:v>PTM</x:v>
      </x:c>
      <x:c r="B1011" t="str">
        <x:v>NMOS</x:v>
      </x:c>
      <x:c r="C1011" s="97" t="n">
        <x:v>45</x:v>
      </x:c>
      <x:c r="D1011" s="97" t="str">
        <x:v>LP</x:v>
      </x:c>
      <x:c r="E1011" s="99" t="n">
        <x:v>1</x:v>
      </x:c>
      <x:c r="F1011" s="99" t="n">
        <x:v>0.045</x:v>
      </x:c>
      <x:c r="G1011" s="99" t="n">
        <x:v>25</x:v>
      </x:c>
      <x:c r="H1011" s="99" t="n">
        <x:v>1</x:v>
      </x:c>
      <x:c r="I1011" s="99" t="n">
        <x:v>-0.175</x:v>
      </x:c>
      <x:c r="J1011" s="98" t="n">
        <x:v>1.198891947305063e-12</x:v>
      </x:c>
      <x:c r="K1011" t="str">
        <x:v>common_1v</x:v>
      </x:c>
      <x:c r="L1011" t="str">
        <x:v>common_vdd</x:v>
      </x:c>
      <x:c r="M1011" t="n">
        <x:v>1.1</x:v>
      </x:c>
      <x:c r="N1011" t="str">
        <x:v>simulation</x:v>
      </x:c>
      <x:c r="O1011" t="str">
        <x:v>ngspice</x:v>
      </x:c>
      <x:c r="P1011" t="str">
        <x:v>397141eb8a813045075ac2be3098d3b136ebaf4d597c08fca627922a75e443b7</x:v>
      </x:c>
      <x:c r="Q1011" t="str">
        <x:v>data/raw/ptm45_lp_vds_1v_raw.txt</x:v>
      </x:c>
    </x:row>
    <x:row r="1012">
      <x:c r="A1012" t="str">
        <x:v>PTM</x:v>
      </x:c>
      <x:c r="B1012" t="str">
        <x:v>NMOS</x:v>
      </x:c>
      <x:c r="C1012" s="97" t="n">
        <x:v>45</x:v>
      </x:c>
      <x:c r="D1012" s="97" t="str">
        <x:v>LP</x:v>
      </x:c>
      <x:c r="E1012" s="99" t="n">
        <x:v>1</x:v>
      </x:c>
      <x:c r="F1012" s="99" t="n">
        <x:v>0.045</x:v>
      </x:c>
      <x:c r="G1012" s="99" t="n">
        <x:v>25</x:v>
      </x:c>
      <x:c r="H1012" s="99" t="n">
        <x:v>1</x:v>
      </x:c>
      <x:c r="I1012" s="99" t="n">
        <x:v>-0.17</x:v>
      </x:c>
      <x:c r="J1012" s="98" t="n">
        <x:v>1.225439278370611e-12</x:v>
      </x:c>
      <x:c r="K1012" t="str">
        <x:v>common_1v</x:v>
      </x:c>
      <x:c r="L1012" t="str">
        <x:v>common_vdd</x:v>
      </x:c>
      <x:c r="M1012" t="n">
        <x:v>1.1</x:v>
      </x:c>
      <x:c r="N1012" t="str">
        <x:v>simulation</x:v>
      </x:c>
      <x:c r="O1012" t="str">
        <x:v>ngspice</x:v>
      </x:c>
      <x:c r="P1012" t="str">
        <x:v>397141eb8a813045075ac2be3098d3b136ebaf4d597c08fca627922a75e443b7</x:v>
      </x:c>
      <x:c r="Q1012" t="str">
        <x:v>data/raw/ptm45_lp_vds_1v_raw.txt</x:v>
      </x:c>
    </x:row>
    <x:row r="1013">
      <x:c r="A1013" t="str">
        <x:v>PTM</x:v>
      </x:c>
      <x:c r="B1013" t="str">
        <x:v>NMOS</x:v>
      </x:c>
      <x:c r="C1013" s="97" t="n">
        <x:v>45</x:v>
      </x:c>
      <x:c r="D1013" s="97" t="str">
        <x:v>LP</x:v>
      </x:c>
      <x:c r="E1013" s="99" t="n">
        <x:v>1</x:v>
      </x:c>
      <x:c r="F1013" s="99" t="n">
        <x:v>0.045</x:v>
      </x:c>
      <x:c r="G1013" s="99" t="n">
        <x:v>25</x:v>
      </x:c>
      <x:c r="H1013" s="99" t="n">
        <x:v>1</x:v>
      </x:c>
      <x:c r="I1013" s="99" t="n">
        <x:v>-0.165</x:v>
      </x:c>
      <x:c r="J1013" s="98" t="n">
        <x:v>1.255933406559433e-12</x:v>
      </x:c>
      <x:c r="K1013" t="str">
        <x:v>common_1v</x:v>
      </x:c>
      <x:c r="L1013" t="str">
        <x:v>common_vdd</x:v>
      </x:c>
      <x:c r="M1013" t="n">
        <x:v>1.1</x:v>
      </x:c>
      <x:c r="N1013" t="str">
        <x:v>simulation</x:v>
      </x:c>
      <x:c r="O1013" t="str">
        <x:v>ngspice</x:v>
      </x:c>
      <x:c r="P1013" t="str">
        <x:v>397141eb8a813045075ac2be3098d3b136ebaf4d597c08fca627922a75e443b7</x:v>
      </x:c>
      <x:c r="Q1013" t="str">
        <x:v>data/raw/ptm45_lp_vds_1v_raw.txt</x:v>
      </x:c>
    </x:row>
    <x:row r="1014">
      <x:c r="A1014" t="str">
        <x:v>PTM</x:v>
      </x:c>
      <x:c r="B1014" t="str">
        <x:v>NMOS</x:v>
      </x:c>
      <x:c r="C1014" s="97" t="n">
        <x:v>45</x:v>
      </x:c>
      <x:c r="D1014" s="97" t="str">
        <x:v>LP</x:v>
      </x:c>
      <x:c r="E1014" s="99" t="n">
        <x:v>1</x:v>
      </x:c>
      <x:c r="F1014" s="99" t="n">
        <x:v>0.045</x:v>
      </x:c>
      <x:c r="G1014" s="99" t="n">
        <x:v>25</x:v>
      </x:c>
      <x:c r="H1014" s="99" t="n">
        <x:v>1</x:v>
      </x:c>
      <x:c r="I1014" s="99" t="n">
        <x:v>-0.16</x:v>
      </x:c>
      <x:c r="J1014" s="98" t="n">
        <x:v>1.290888916606739e-12</x:v>
      </x:c>
      <x:c r="K1014" t="str">
        <x:v>common_1v</x:v>
      </x:c>
      <x:c r="L1014" t="str">
        <x:v>common_vdd</x:v>
      </x:c>
      <x:c r="M1014" t="n">
        <x:v>1.1</x:v>
      </x:c>
      <x:c r="N1014" t="str">
        <x:v>simulation</x:v>
      </x:c>
      <x:c r="O1014" t="str">
        <x:v>ngspice</x:v>
      </x:c>
      <x:c r="P1014" t="str">
        <x:v>397141eb8a813045075ac2be3098d3b136ebaf4d597c08fca627922a75e443b7</x:v>
      </x:c>
      <x:c r="Q1014" t="str">
        <x:v>data/raw/ptm45_lp_vds_1v_raw.txt</x:v>
      </x:c>
    </x:row>
    <x:row r="1015">
      <x:c r="A1015" t="str">
        <x:v>PTM</x:v>
      </x:c>
      <x:c r="B1015" t="str">
        <x:v>NMOS</x:v>
      </x:c>
      <x:c r="C1015" s="97" t="n">
        <x:v>45</x:v>
      </x:c>
      <x:c r="D1015" s="97" t="str">
        <x:v>LP</x:v>
      </x:c>
      <x:c r="E1015" s="99" t="n">
        <x:v>1</x:v>
      </x:c>
      <x:c r="F1015" s="99" t="n">
        <x:v>0.045</x:v>
      </x:c>
      <x:c r="G1015" s="99" t="n">
        <x:v>25</x:v>
      </x:c>
      <x:c r="H1015" s="99" t="n">
        <x:v>1</x:v>
      </x:c>
      <x:c r="I1015" s="99" t="n">
        <x:v>-0.155</x:v>
      </x:c>
      <x:c r="J1015" s="98" t="n">
        <x:v>1.330909109242401e-12</x:v>
      </x:c>
      <x:c r="K1015" t="str">
        <x:v>common_1v</x:v>
      </x:c>
      <x:c r="L1015" t="str">
        <x:v>common_vdd</x:v>
      </x:c>
      <x:c r="M1015" t="n">
        <x:v>1.1</x:v>
      </x:c>
      <x:c r="N1015" t="str">
        <x:v>simulation</x:v>
      </x:c>
      <x:c r="O1015" t="str">
        <x:v>ngspice</x:v>
      </x:c>
      <x:c r="P1015" t="str">
        <x:v>397141eb8a813045075ac2be3098d3b136ebaf4d597c08fca627922a75e443b7</x:v>
      </x:c>
      <x:c r="Q1015" t="str">
        <x:v>data/raw/ptm45_lp_vds_1v_raw.txt</x:v>
      </x:c>
    </x:row>
    <x:row r="1016">
      <x:c r="A1016" t="str">
        <x:v>PTM</x:v>
      </x:c>
      <x:c r="B1016" t="str">
        <x:v>NMOS</x:v>
      </x:c>
      <x:c r="C1016" s="97" t="n">
        <x:v>45</x:v>
      </x:c>
      <x:c r="D1016" s="97" t="str">
        <x:v>LP</x:v>
      </x:c>
      <x:c r="E1016" s="99" t="n">
        <x:v>1</x:v>
      </x:c>
      <x:c r="F1016" s="99" t="n">
        <x:v>0.045</x:v>
      </x:c>
      <x:c r="G1016" s="99" t="n">
        <x:v>25</x:v>
      </x:c>
      <x:c r="H1016" s="99" t="n">
        <x:v>1</x:v>
      </x:c>
      <x:c r="I1016" s="99" t="n">
        <x:v>-0.15</x:v>
      </x:c>
      <x:c r="J1016" s="98" t="n">
        <x:v>1.376694269019026e-12</x:v>
      </x:c>
      <x:c r="K1016" t="str">
        <x:v>common_1v</x:v>
      </x:c>
      <x:c r="L1016" t="str">
        <x:v>common_vdd</x:v>
      </x:c>
      <x:c r="M1016" t="n">
        <x:v>1.1</x:v>
      </x:c>
      <x:c r="N1016" t="str">
        <x:v>simulation</x:v>
      </x:c>
      <x:c r="O1016" t="str">
        <x:v>ngspice</x:v>
      </x:c>
      <x:c r="P1016" t="str">
        <x:v>397141eb8a813045075ac2be3098d3b136ebaf4d597c08fca627922a75e443b7</x:v>
      </x:c>
      <x:c r="Q1016" t="str">
        <x:v>data/raw/ptm45_lp_vds_1v_raw.txt</x:v>
      </x:c>
    </x:row>
    <x:row r="1017">
      <x:c r="A1017" t="str">
        <x:v>PTM</x:v>
      </x:c>
      <x:c r="B1017" t="str">
        <x:v>NMOS</x:v>
      </x:c>
      <x:c r="C1017" s="97" t="n">
        <x:v>45</x:v>
      </x:c>
      <x:c r="D1017" s="97" t="str">
        <x:v>LP</x:v>
      </x:c>
      <x:c r="E1017" s="99" t="n">
        <x:v>1</x:v>
      </x:c>
      <x:c r="F1017" s="99" t="n">
        <x:v>0.045</x:v>
      </x:c>
      <x:c r="G1017" s="99" t="n">
        <x:v>25</x:v>
      </x:c>
      <x:c r="H1017" s="99" t="n">
        <x:v>1</x:v>
      </x:c>
      <x:c r="I1017" s="99" t="n">
        <x:v>-0.145</x:v>
      </x:c>
      <x:c r="J1017" s="98" t="n">
        <x:v>1.429052304852317e-12</x:v>
      </x:c>
      <x:c r="K1017" t="str">
        <x:v>common_1v</x:v>
      </x:c>
      <x:c r="L1017" t="str">
        <x:v>common_vdd</x:v>
      </x:c>
      <x:c r="M1017" t="n">
        <x:v>1.1</x:v>
      </x:c>
      <x:c r="N1017" t="str">
        <x:v>simulation</x:v>
      </x:c>
      <x:c r="O1017" t="str">
        <x:v>ngspice</x:v>
      </x:c>
      <x:c r="P1017" t="str">
        <x:v>397141eb8a813045075ac2be3098d3b136ebaf4d597c08fca627922a75e443b7</x:v>
      </x:c>
      <x:c r="Q1017" t="str">
        <x:v>data/raw/ptm45_lp_vds_1v_raw.txt</x:v>
      </x:c>
    </x:row>
    <x:row r="1018">
      <x:c r="A1018" t="str">
        <x:v>PTM</x:v>
      </x:c>
      <x:c r="B1018" t="str">
        <x:v>NMOS</x:v>
      </x:c>
      <x:c r="C1018" s="97" t="n">
        <x:v>45</x:v>
      </x:c>
      <x:c r="D1018" s="97" t="str">
        <x:v>LP</x:v>
      </x:c>
      <x:c r="E1018" s="99" t="n">
        <x:v>1</x:v>
      </x:c>
      <x:c r="F1018" s="99" t="n">
        <x:v>0.045</x:v>
      </x:c>
      <x:c r="G1018" s="99" t="n">
        <x:v>25</x:v>
      </x:c>
      <x:c r="H1018" s="99" t="n">
        <x:v>1</x:v>
      </x:c>
      <x:c r="I1018" s="99" t="n">
        <x:v>-0.14</x:v>
      </x:c>
      <x:c r="J1018" s="98" t="n">
        <x:v>1.488911804458349e-12</x:v>
      </x:c>
      <x:c r="K1018" t="str">
        <x:v>common_1v</x:v>
      </x:c>
      <x:c r="L1018" t="str">
        <x:v>common_vdd</x:v>
      </x:c>
      <x:c r="M1018" t="n">
        <x:v>1.1</x:v>
      </x:c>
      <x:c r="N1018" t="str">
        <x:v>simulation</x:v>
      </x:c>
      <x:c r="O1018" t="str">
        <x:v>ngspice</x:v>
      </x:c>
      <x:c r="P1018" t="str">
        <x:v>397141eb8a813045075ac2be3098d3b136ebaf4d597c08fca627922a75e443b7</x:v>
      </x:c>
      <x:c r="Q1018" t="str">
        <x:v>data/raw/ptm45_lp_vds_1v_raw.txt</x:v>
      </x:c>
    </x:row>
    <x:row r="1019">
      <x:c r="A1019" t="str">
        <x:v>PTM</x:v>
      </x:c>
      <x:c r="B1019" t="str">
        <x:v>NMOS</x:v>
      </x:c>
      <x:c r="C1019" s="97" t="n">
        <x:v>45</x:v>
      </x:c>
      <x:c r="D1019" s="97" t="str">
        <x:v>LP</x:v>
      </x:c>
      <x:c r="E1019" s="99" t="n">
        <x:v>1</x:v>
      </x:c>
      <x:c r="F1019" s="99" t="n">
        <x:v>0.045</x:v>
      </x:c>
      <x:c r="G1019" s="99" t="n">
        <x:v>25</x:v>
      </x:c>
      <x:c r="H1019" s="99" t="n">
        <x:v>1</x:v>
      </x:c>
      <x:c r="I1019" s="99" t="n">
        <x:v>-0.135</x:v>
      </x:c>
      <x:c r="J1019" s="98" t="n">
        <x:v>1.557337616727506e-12</x:v>
      </x:c>
      <x:c r="K1019" t="str">
        <x:v>common_1v</x:v>
      </x:c>
      <x:c r="L1019" t="str">
        <x:v>common_vdd</x:v>
      </x:c>
      <x:c r="M1019" t="n">
        <x:v>1.1</x:v>
      </x:c>
      <x:c r="N1019" t="str">
        <x:v>simulation</x:v>
      </x:c>
      <x:c r="O1019" t="str">
        <x:v>ngspice</x:v>
      </x:c>
      <x:c r="P1019" t="str">
        <x:v>397141eb8a813045075ac2be3098d3b136ebaf4d597c08fca627922a75e443b7</x:v>
      </x:c>
      <x:c r="Q1019" t="str">
        <x:v>data/raw/ptm45_lp_vds_1v_raw.txt</x:v>
      </x:c>
    </x:row>
    <x:row r="1020">
      <x:c r="A1020" t="str">
        <x:v>PTM</x:v>
      </x:c>
      <x:c r="B1020" t="str">
        <x:v>NMOS</x:v>
      </x:c>
      <x:c r="C1020" s="97" t="n">
        <x:v>45</x:v>
      </x:c>
      <x:c r="D1020" s="97" t="str">
        <x:v>LP</x:v>
      </x:c>
      <x:c r="E1020" s="99" t="n">
        <x:v>1</x:v>
      </x:c>
      <x:c r="F1020" s="99" t="n">
        <x:v>0.045</x:v>
      </x:c>
      <x:c r="G1020" s="99" t="n">
        <x:v>25</x:v>
      </x:c>
      <x:c r="H1020" s="99" t="n">
        <x:v>1</x:v>
      </x:c>
      <x:c r="I1020" s="99" t="n">
        <x:v>-0.1299999999999999</x:v>
      </x:c>
      <x:c r="J1020" s="98" t="n">
        <x:v>1.635549146188096e-12</x:v>
      </x:c>
      <x:c r="K1020" t="str">
        <x:v>common_1v</x:v>
      </x:c>
      <x:c r="L1020" t="str">
        <x:v>common_vdd</x:v>
      </x:c>
      <x:c r="M1020" t="n">
        <x:v>1.1</x:v>
      </x:c>
      <x:c r="N1020" t="str">
        <x:v>simulation</x:v>
      </x:c>
      <x:c r="O1020" t="str">
        <x:v>ngspice</x:v>
      </x:c>
      <x:c r="P1020" t="str">
        <x:v>397141eb8a813045075ac2be3098d3b136ebaf4d597c08fca627922a75e443b7</x:v>
      </x:c>
      <x:c r="Q1020" t="str">
        <x:v>data/raw/ptm45_lp_vds_1v_raw.txt</x:v>
      </x:c>
    </x:row>
    <x:row r="1021">
      <x:c r="A1021" t="str">
        <x:v>PTM</x:v>
      </x:c>
      <x:c r="B1021" t="str">
        <x:v>NMOS</x:v>
      </x:c>
      <x:c r="C1021" s="97" t="n">
        <x:v>45</x:v>
      </x:c>
      <x:c r="D1021" s="97" t="str">
        <x:v>LP</x:v>
      </x:c>
      <x:c r="E1021" s="99" t="n">
        <x:v>1</x:v>
      </x:c>
      <x:c r="F1021" s="99" t="n">
        <x:v>0.045</x:v>
      </x:c>
      <x:c r="G1021" s="99" t="n">
        <x:v>25</x:v>
      </x:c>
      <x:c r="H1021" s="99" t="n">
        <x:v>1</x:v>
      </x:c>
      <x:c r="I1021" s="99" t="n">
        <x:v>-0.1249999999999999</x:v>
      </x:c>
      <x:c r="J1021" s="98" t="n">
        <x:v>1.724941612654433e-12</x:v>
      </x:c>
      <x:c r="K1021" t="str">
        <x:v>common_1v</x:v>
      </x:c>
      <x:c r="L1021" t="str">
        <x:v>common_vdd</x:v>
      </x:c>
      <x:c r="M1021" t="n">
        <x:v>1.1</x:v>
      </x:c>
      <x:c r="N1021" t="str">
        <x:v>simulation</x:v>
      </x:c>
      <x:c r="O1021" t="str">
        <x:v>ngspice</x:v>
      </x:c>
      <x:c r="P1021" t="str">
        <x:v>397141eb8a813045075ac2be3098d3b136ebaf4d597c08fca627922a75e443b7</x:v>
      </x:c>
      <x:c r="Q1021" t="str">
        <x:v>data/raw/ptm45_lp_vds_1v_raw.txt</x:v>
      </x:c>
    </x:row>
    <x:row r="1022">
      <x:c r="A1022" t="str">
        <x:v>PTM</x:v>
      </x:c>
      <x:c r="B1022" t="str">
        <x:v>NMOS</x:v>
      </x:c>
      <x:c r="C1022" s="97" t="n">
        <x:v>45</x:v>
      </x:c>
      <x:c r="D1022" s="97" t="str">
        <x:v>LP</x:v>
      </x:c>
      <x:c r="E1022" s="99" t="n">
        <x:v>1</x:v>
      </x:c>
      <x:c r="F1022" s="99" t="n">
        <x:v>0.045</x:v>
      </x:c>
      <x:c r="G1022" s="99" t="n">
        <x:v>25</x:v>
      </x:c>
      <x:c r="H1022" s="99" t="n">
        <x:v>1</x:v>
      </x:c>
      <x:c r="I1022" s="99" t="n">
        <x:v>-0.1199999999999999</x:v>
      </x:c>
      <x:c r="J1022" s="98" t="n">
        <x:v>1.827110598673053e-12</x:v>
      </x:c>
      <x:c r="K1022" t="str">
        <x:v>common_1v</x:v>
      </x:c>
      <x:c r="L1022" t="str">
        <x:v>common_vdd</x:v>
      </x:c>
      <x:c r="M1022" t="n">
        <x:v>1.1</x:v>
      </x:c>
      <x:c r="N1022" t="str">
        <x:v>simulation</x:v>
      </x:c>
      <x:c r="O1022" t="str">
        <x:v>ngspice</x:v>
      </x:c>
      <x:c r="P1022" t="str">
        <x:v>397141eb8a813045075ac2be3098d3b136ebaf4d597c08fca627922a75e443b7</x:v>
      </x:c>
      <x:c r="Q1022" t="str">
        <x:v>data/raw/ptm45_lp_vds_1v_raw.txt</x:v>
      </x:c>
    </x:row>
    <x:row r="1023">
      <x:c r="A1023" t="str">
        <x:v>PTM</x:v>
      </x:c>
      <x:c r="B1023" t="str">
        <x:v>NMOS</x:v>
      </x:c>
      <x:c r="C1023" s="97" t="n">
        <x:v>45</x:v>
      </x:c>
      <x:c r="D1023" s="97" t="str">
        <x:v>LP</x:v>
      </x:c>
      <x:c r="E1023" s="99" t="n">
        <x:v>1</x:v>
      </x:c>
      <x:c r="F1023" s="99" t="n">
        <x:v>0.045</x:v>
      </x:c>
      <x:c r="G1023" s="99" t="n">
        <x:v>25</x:v>
      </x:c>
      <x:c r="H1023" s="99" t="n">
        <x:v>1</x:v>
      </x:c>
      <x:c r="I1023" s="99" t="n">
        <x:v>-0.1149999999999999</x:v>
      </x:c>
      <x:c r="J1023" s="98" t="n">
        <x:v>1.943880279456145e-12</x:v>
      </x:c>
      <x:c r="K1023" t="str">
        <x:v>common_1v</x:v>
      </x:c>
      <x:c r="L1023" t="str">
        <x:v>common_vdd</x:v>
      </x:c>
      <x:c r="M1023" t="n">
        <x:v>1.1</x:v>
      </x:c>
      <x:c r="N1023" t="str">
        <x:v>simulation</x:v>
      </x:c>
      <x:c r="O1023" t="str">
        <x:v>ngspice</x:v>
      </x:c>
      <x:c r="P1023" t="str">
        <x:v>397141eb8a813045075ac2be3098d3b136ebaf4d597c08fca627922a75e443b7</x:v>
      </x:c>
      <x:c r="Q1023" t="str">
        <x:v>data/raw/ptm45_lp_vds_1v_raw.txt</x:v>
      </x:c>
    </x:row>
    <x:row r="1024">
      <x:c r="A1024" t="str">
        <x:v>PTM</x:v>
      </x:c>
      <x:c r="B1024" t="str">
        <x:v>NMOS</x:v>
      </x:c>
      <x:c r="C1024" s="97" t="n">
        <x:v>45</x:v>
      </x:c>
      <x:c r="D1024" s="97" t="str">
        <x:v>LP</x:v>
      </x:c>
      <x:c r="E1024" s="99" t="n">
        <x:v>1</x:v>
      </x:c>
      <x:c r="F1024" s="99" t="n">
        <x:v>0.045</x:v>
      </x:c>
      <x:c r="G1024" s="99" t="n">
        <x:v>25</x:v>
      </x:c>
      <x:c r="H1024" s="99" t="n">
        <x:v>1</x:v>
      </x:c>
      <x:c r="I1024" s="99" t="n">
        <x:v>-0.1099999999999999</x:v>
      </x:c>
      <x:c r="J1024" s="98" t="n">
        <x:v>2.077335806080723e-12</x:v>
      </x:c>
      <x:c r="K1024" t="str">
        <x:v>common_1v</x:v>
      </x:c>
      <x:c r="L1024" t="str">
        <x:v>common_vdd</x:v>
      </x:c>
      <x:c r="M1024" t="n">
        <x:v>1.1</x:v>
      </x:c>
      <x:c r="N1024" t="str">
        <x:v>simulation</x:v>
      </x:c>
      <x:c r="O1024" t="str">
        <x:v>ngspice</x:v>
      </x:c>
      <x:c r="P1024" t="str">
        <x:v>397141eb8a813045075ac2be3098d3b136ebaf4d597c08fca627922a75e443b7</x:v>
      </x:c>
      <x:c r="Q1024" t="str">
        <x:v>data/raw/ptm45_lp_vds_1v_raw.txt</x:v>
      </x:c>
    </x:row>
    <x:row r="1025">
      <x:c r="A1025" t="str">
        <x:v>PTM</x:v>
      </x:c>
      <x:c r="B1025" t="str">
        <x:v>NMOS</x:v>
      </x:c>
      <x:c r="C1025" s="97" t="n">
        <x:v>45</x:v>
      </x:c>
      <x:c r="D1025" s="97" t="str">
        <x:v>LP</x:v>
      </x:c>
      <x:c r="E1025" s="99" t="n">
        <x:v>1</x:v>
      </x:c>
      <x:c r="F1025" s="99" t="n">
        <x:v>0.045</x:v>
      </x:c>
      <x:c r="G1025" s="99" t="n">
        <x:v>25</x:v>
      </x:c>
      <x:c r="H1025" s="99" t="n">
        <x:v>1</x:v>
      </x:c>
      <x:c r="I1025" s="99" t="n">
        <x:v>-0.1049999999999999</x:v>
      </x:c>
      <x:c r="J1025" s="98" t="n">
        <x:v>2.229860394880488e-12</x:v>
      </x:c>
      <x:c r="K1025" t="str">
        <x:v>common_1v</x:v>
      </x:c>
      <x:c r="L1025" t="str">
        <x:v>common_vdd</x:v>
      </x:c>
      <x:c r="M1025" t="n">
        <x:v>1.1</x:v>
      </x:c>
      <x:c r="N1025" t="str">
        <x:v>simulation</x:v>
      </x:c>
      <x:c r="O1025" t="str">
        <x:v>ngspice</x:v>
      </x:c>
      <x:c r="P1025" t="str">
        <x:v>397141eb8a813045075ac2be3098d3b136ebaf4d597c08fca627922a75e443b7</x:v>
      </x:c>
      <x:c r="Q1025" t="str">
        <x:v>data/raw/ptm45_lp_vds_1v_raw.txt</x:v>
      </x:c>
    </x:row>
    <x:row r="1026">
      <x:c r="A1026" t="str">
        <x:v>PTM</x:v>
      </x:c>
      <x:c r="B1026" t="str">
        <x:v>NMOS</x:v>
      </x:c>
      <x:c r="C1026" s="97" t="n">
        <x:v>45</x:v>
      </x:c>
      <x:c r="D1026" s="97" t="str">
        <x:v>LP</x:v>
      </x:c>
      <x:c r="E1026" s="99" t="n">
        <x:v>1</x:v>
      </x:c>
      <x:c r="F1026" s="99" t="n">
        <x:v>0.045</x:v>
      </x:c>
      <x:c r="G1026" s="99" t="n">
        <x:v>25</x:v>
      </x:c>
      <x:c r="H1026" s="99" t="n">
        <x:v>1</x:v>
      </x:c>
      <x:c r="I1026" s="99" t="n">
        <x:v>-0.09999999999999992</x:v>
      </x:c>
      <x:c r="J1026" s="98" t="n">
        <x:v>2.404177765986292e-12</x:v>
      </x:c>
      <x:c r="K1026" t="str">
        <x:v>common_1v</x:v>
      </x:c>
      <x:c r="L1026" t="str">
        <x:v>common_vdd</x:v>
      </x:c>
      <x:c r="M1026" t="n">
        <x:v>1.1</x:v>
      </x:c>
      <x:c r="N1026" t="str">
        <x:v>simulation</x:v>
      </x:c>
      <x:c r="O1026" t="str">
        <x:v>ngspice</x:v>
      </x:c>
      <x:c r="P1026" t="str">
        <x:v>397141eb8a813045075ac2be3098d3b136ebaf4d597c08fca627922a75e443b7</x:v>
      </x:c>
      <x:c r="Q1026" t="str">
        <x:v>data/raw/ptm45_lp_vds_1v_raw.txt</x:v>
      </x:c>
    </x:row>
    <x:row r="1027">
      <x:c r="A1027" t="str">
        <x:v>PTM</x:v>
      </x:c>
      <x:c r="B1027" t="str">
        <x:v>NMOS</x:v>
      </x:c>
      <x:c r="C1027" s="97" t="n">
        <x:v>45</x:v>
      </x:c>
      <x:c r="D1027" s="97" t="str">
        <x:v>LP</x:v>
      </x:c>
      <x:c r="E1027" s="99" t="n">
        <x:v>1</x:v>
      </x:c>
      <x:c r="F1027" s="99" t="n">
        <x:v>0.045</x:v>
      </x:c>
      <x:c r="G1027" s="99" t="n">
        <x:v>25</x:v>
      </x:c>
      <x:c r="H1027" s="99" t="n">
        <x:v>1</x:v>
      </x:c>
      <x:c r="I1027" s="99" t="n">
        <x:v>-0.09499999999999992</x:v>
      </x:c>
      <x:c r="J1027" s="98" t="n">
        <x:v>2.60340067369274e-12</x:v>
      </x:c>
      <x:c r="K1027" t="str">
        <x:v>common_1v</x:v>
      </x:c>
      <x:c r="L1027" t="str">
        <x:v>common_vdd</x:v>
      </x:c>
      <x:c r="M1027" t="n">
        <x:v>1.1</x:v>
      </x:c>
      <x:c r="N1027" t="str">
        <x:v>simulation</x:v>
      </x:c>
      <x:c r="O1027" t="str">
        <x:v>ngspice</x:v>
      </x:c>
      <x:c r="P1027" t="str">
        <x:v>397141eb8a813045075ac2be3098d3b136ebaf4d597c08fca627922a75e443b7</x:v>
      </x:c>
      <x:c r="Q1027" t="str">
        <x:v>data/raw/ptm45_lp_vds_1v_raw.txt</x:v>
      </x:c>
    </x:row>
    <x:row r="1028">
      <x:c r="A1028" t="str">
        <x:v>PTM</x:v>
      </x:c>
      <x:c r="B1028" t="str">
        <x:v>NMOS</x:v>
      </x:c>
      <x:c r="C1028" s="97" t="n">
        <x:v>45</x:v>
      </x:c>
      <x:c r="D1028" s="97" t="str">
        <x:v>LP</x:v>
      </x:c>
      <x:c r="E1028" s="99" t="n">
        <x:v>1</x:v>
      </x:c>
      <x:c r="F1028" s="99" t="n">
        <x:v>0.045</x:v>
      </x:c>
      <x:c r="G1028" s="99" t="n">
        <x:v>25</x:v>
      </x:c>
      <x:c r="H1028" s="99" t="n">
        <x:v>1</x:v>
      </x:c>
      <x:c r="I1028" s="99" t="n">
        <x:v>-0.08999999999999991</x:v>
      </x:c>
      <x:c r="J1028" s="98" t="n">
        <x:v>2.831086383090201e-12</x:v>
      </x:c>
      <x:c r="K1028" t="str">
        <x:v>common_1v</x:v>
      </x:c>
      <x:c r="L1028" t="str">
        <x:v>common_vdd</x:v>
      </x:c>
      <x:c r="M1028" t="n">
        <x:v>1.1</x:v>
      </x:c>
      <x:c r="N1028" t="str">
        <x:v>simulation</x:v>
      </x:c>
      <x:c r="O1028" t="str">
        <x:v>ngspice</x:v>
      </x:c>
      <x:c r="P1028" t="str">
        <x:v>397141eb8a813045075ac2be3098d3b136ebaf4d597c08fca627922a75e443b7</x:v>
      </x:c>
      <x:c r="Q1028" t="str">
        <x:v>data/raw/ptm45_lp_vds_1v_raw.txt</x:v>
      </x:c>
    </x:row>
    <x:row r="1029">
      <x:c r="A1029" t="str">
        <x:v>PTM</x:v>
      </x:c>
      <x:c r="B1029" t="str">
        <x:v>NMOS</x:v>
      </x:c>
      <x:c r="C1029" s="97" t="n">
        <x:v>45</x:v>
      </x:c>
      <x:c r="D1029" s="97" t="str">
        <x:v>LP</x:v>
      </x:c>
      <x:c r="E1029" s="99" t="n">
        <x:v>1</x:v>
      </x:c>
      <x:c r="F1029" s="99" t="n">
        <x:v>0.045</x:v>
      </x:c>
      <x:c r="G1029" s="99" t="n">
        <x:v>25</x:v>
      </x:c>
      <x:c r="H1029" s="99" t="n">
        <x:v>1</x:v>
      </x:c>
      <x:c r="I1029" s="99" t="n">
        <x:v>-0.08499999999999991</x:v>
      </x:c>
      <x:c r="J1029" s="98" t="n">
        <x:v>3.091300073124645e-12</x:v>
      </x:c>
      <x:c r="K1029" t="str">
        <x:v>common_1v</x:v>
      </x:c>
      <x:c r="L1029" t="str">
        <x:v>common_vdd</x:v>
      </x:c>
      <x:c r="M1029" t="n">
        <x:v>1.1</x:v>
      </x:c>
      <x:c r="N1029" t="str">
        <x:v>simulation</x:v>
      </x:c>
      <x:c r="O1029" t="str">
        <x:v>ngspice</x:v>
      </x:c>
      <x:c r="P1029" t="str">
        <x:v>397141eb8a813045075ac2be3098d3b136ebaf4d597c08fca627922a75e443b7</x:v>
      </x:c>
      <x:c r="Q1029" t="str">
        <x:v>data/raw/ptm45_lp_vds_1v_raw.txt</x:v>
      </x:c>
    </x:row>
    <x:row r="1030">
      <x:c r="A1030" t="str">
        <x:v>PTM</x:v>
      </x:c>
      <x:c r="B1030" t="str">
        <x:v>NMOS</x:v>
      </x:c>
      <x:c r="C1030" s="97" t="n">
        <x:v>45</x:v>
      </x:c>
      <x:c r="D1030" s="97" t="str">
        <x:v>LP</x:v>
      </x:c>
      <x:c r="E1030" s="99" t="n">
        <x:v>1</x:v>
      </x:c>
      <x:c r="F1030" s="99" t="n">
        <x:v>0.045</x:v>
      </x:c>
      <x:c r="G1030" s="99" t="n">
        <x:v>25</x:v>
      </x:c>
      <x:c r="H1030" s="99" t="n">
        <x:v>1</x:v>
      </x:c>
      <x:c r="I1030" s="99" t="n">
        <x:v>-0.0799999999999999</x:v>
      </x:c>
      <x:c r="J1030" s="98" t="n">
        <x:v>3.388687288649685e-12</x:v>
      </x:c>
      <x:c r="K1030" t="str">
        <x:v>common_1v</x:v>
      </x:c>
      <x:c r="L1030" t="str">
        <x:v>common_vdd</x:v>
      </x:c>
      <x:c r="M1030" t="n">
        <x:v>1.1</x:v>
      </x:c>
      <x:c r="N1030" t="str">
        <x:v>simulation</x:v>
      </x:c>
      <x:c r="O1030" t="str">
        <x:v>ngspice</x:v>
      </x:c>
      <x:c r="P1030" t="str">
        <x:v>397141eb8a813045075ac2be3098d3b136ebaf4d597c08fca627922a75e443b7</x:v>
      </x:c>
      <x:c r="Q1030" t="str">
        <x:v>data/raw/ptm45_lp_vds_1v_raw.txt</x:v>
      </x:c>
    </x:row>
    <x:row r="1031">
      <x:c r="A1031" t="str">
        <x:v>PTM</x:v>
      </x:c>
      <x:c r="B1031" t="str">
        <x:v>NMOS</x:v>
      </x:c>
      <x:c r="C1031" s="97" t="n">
        <x:v>45</x:v>
      </x:c>
      <x:c r="D1031" s="97" t="str">
        <x:v>LP</x:v>
      </x:c>
      <x:c r="E1031" s="99" t="n">
        <x:v>1</x:v>
      </x:c>
      <x:c r="F1031" s="99" t="n">
        <x:v>0.045</x:v>
      </x:c>
      <x:c r="G1031" s="99" t="n">
        <x:v>25</x:v>
      </x:c>
      <x:c r="H1031" s="99" t="n">
        <x:v>1</x:v>
      </x:c>
      <x:c r="I1031" s="99" t="n">
        <x:v>-0.0749999999999999</x:v>
      </x:c>
      <x:c r="J1031" s="98" t="n">
        <x:v>3.728556725636688e-12</x:v>
      </x:c>
      <x:c r="K1031" t="str">
        <x:v>common_1v</x:v>
      </x:c>
      <x:c r="L1031" t="str">
        <x:v>common_vdd</x:v>
      </x:c>
      <x:c r="M1031" t="n">
        <x:v>1.1</x:v>
      </x:c>
      <x:c r="N1031" t="str">
        <x:v>simulation</x:v>
      </x:c>
      <x:c r="O1031" t="str">
        <x:v>ngspice</x:v>
      </x:c>
      <x:c r="P1031" t="str">
        <x:v>397141eb8a813045075ac2be3098d3b136ebaf4d597c08fca627922a75e443b7</x:v>
      </x:c>
      <x:c r="Q1031" t="str">
        <x:v>data/raw/ptm45_lp_vds_1v_raw.txt</x:v>
      </x:c>
    </x:row>
    <x:row r="1032">
      <x:c r="A1032" t="str">
        <x:v>PTM</x:v>
      </x:c>
      <x:c r="B1032" t="str">
        <x:v>NMOS</x:v>
      </x:c>
      <x:c r="C1032" s="97" t="n">
        <x:v>45</x:v>
      </x:c>
      <x:c r="D1032" s="97" t="str">
        <x:v>LP</x:v>
      </x:c>
      <x:c r="E1032" s="99" t="n">
        <x:v>1</x:v>
      </x:c>
      <x:c r="F1032" s="99" t="n">
        <x:v>0.045</x:v>
      </x:c>
      <x:c r="G1032" s="99" t="n">
        <x:v>25</x:v>
      </x:c>
      <x:c r="H1032" s="99" t="n">
        <x:v>1</x:v>
      </x:c>
      <x:c r="I1032" s="99" t="n">
        <x:v>-0.0699999999999999</x:v>
      </x:c>
      <x:c r="J1032" s="98" t="n">
        <x:v>4.116974817444895e-12</x:v>
      </x:c>
      <x:c r="K1032" t="str">
        <x:v>common_1v</x:v>
      </x:c>
      <x:c r="L1032" t="str">
        <x:v>common_vdd</x:v>
      </x:c>
      <x:c r="M1032" t="n">
        <x:v>1.1</x:v>
      </x:c>
      <x:c r="N1032" t="str">
        <x:v>simulation</x:v>
      </x:c>
      <x:c r="O1032" t="str">
        <x:v>ngspice</x:v>
      </x:c>
      <x:c r="P1032" t="str">
        <x:v>397141eb8a813045075ac2be3098d3b136ebaf4d597c08fca627922a75e443b7</x:v>
      </x:c>
      <x:c r="Q1032" t="str">
        <x:v>data/raw/ptm45_lp_vds_1v_raw.txt</x:v>
      </x:c>
    </x:row>
    <x:row r="1033">
      <x:c r="A1033" t="str">
        <x:v>PTM</x:v>
      </x:c>
      <x:c r="B1033" t="str">
        <x:v>NMOS</x:v>
      </x:c>
      <x:c r="C1033" s="97" t="n">
        <x:v>45</x:v>
      </x:c>
      <x:c r="D1033" s="97" t="str">
        <x:v>LP</x:v>
      </x:c>
      <x:c r="E1033" s="99" t="n">
        <x:v>1</x:v>
      </x:c>
      <x:c r="F1033" s="99" t="n">
        <x:v>0.045</x:v>
      </x:c>
      <x:c r="G1033" s="99" t="n">
        <x:v>25</x:v>
      </x:c>
      <x:c r="H1033" s="99" t="n">
        <x:v>1</x:v>
      </x:c>
      <x:c r="I1033" s="99" t="n">
        <x:v>-0.06499999999999989</x:v>
      </x:c>
      <x:c r="J1033" s="98" t="n">
        <x:v>4.56087379943123e-12</x:v>
      </x:c>
      <x:c r="K1033" t="str">
        <x:v>common_1v</x:v>
      </x:c>
      <x:c r="L1033" t="str">
        <x:v>common_vdd</x:v>
      </x:c>
      <x:c r="M1033" t="n">
        <x:v>1.1</x:v>
      </x:c>
      <x:c r="N1033" t="str">
        <x:v>simulation</x:v>
      </x:c>
      <x:c r="O1033" t="str">
        <x:v>ngspice</x:v>
      </x:c>
      <x:c r="P1033" t="str">
        <x:v>397141eb8a813045075ac2be3098d3b136ebaf4d597c08fca627922a75e443b7</x:v>
      </x:c>
      <x:c r="Q1033" t="str">
        <x:v>data/raw/ptm45_lp_vds_1v_raw.txt</x:v>
      </x:c>
    </x:row>
    <x:row r="1034">
      <x:c r="A1034" t="str">
        <x:v>PTM</x:v>
      </x:c>
      <x:c r="B1034" t="str">
        <x:v>NMOS</x:v>
      </x:c>
      <x:c r="C1034" s="97" t="n">
        <x:v>45</x:v>
      </x:c>
      <x:c r="D1034" s="97" t="str">
        <x:v>LP</x:v>
      </x:c>
      <x:c r="E1034" s="99" t="n">
        <x:v>1</x:v>
      </x:c>
      <x:c r="F1034" s="99" t="n">
        <x:v>0.045</x:v>
      </x:c>
      <x:c r="G1034" s="99" t="n">
        <x:v>25</x:v>
      </x:c>
      <x:c r="H1034" s="99" t="n">
        <x:v>1</x:v>
      </x:c>
      <x:c r="I1034" s="99" t="n">
        <x:v>-0.05999999999999989</x:v>
      </x:c>
      <x:c r="J1034" s="98" t="n">
        <x:v>5.06817516782873e-12</x:v>
      </x:c>
      <x:c r="K1034" t="str">
        <x:v>common_1v</x:v>
      </x:c>
      <x:c r="L1034" t="str">
        <x:v>common_vdd</x:v>
      </x:c>
      <x:c r="M1034" t="n">
        <x:v>1.1</x:v>
      </x:c>
      <x:c r="N1034" t="str">
        <x:v>simulation</x:v>
      </x:c>
      <x:c r="O1034" t="str">
        <x:v>ngspice</x:v>
      </x:c>
      <x:c r="P1034" t="str">
        <x:v>397141eb8a813045075ac2be3098d3b136ebaf4d597c08fca627922a75e443b7</x:v>
      </x:c>
      <x:c r="Q1034" t="str">
        <x:v>data/raw/ptm45_lp_vds_1v_raw.txt</x:v>
      </x:c>
    </x:row>
    <x:row r="1035">
      <x:c r="A1035" t="str">
        <x:v>PTM</x:v>
      </x:c>
      <x:c r="B1035" t="str">
        <x:v>NMOS</x:v>
      </x:c>
      <x:c r="C1035" s="97" t="n">
        <x:v>45</x:v>
      </x:c>
      <x:c r="D1035" s="97" t="str">
        <x:v>LP</x:v>
      </x:c>
      <x:c r="E1035" s="99" t="n">
        <x:v>1</x:v>
      </x:c>
      <x:c r="F1035" s="99" t="n">
        <x:v>0.045</x:v>
      </x:c>
      <x:c r="G1035" s="99" t="n">
        <x:v>25</x:v>
      </x:c>
      <x:c r="H1035" s="99" t="n">
        <x:v>1</x:v>
      </x:c>
      <x:c r="I1035" s="99" t="n">
        <x:v>-0.0549999999999999</x:v>
      </x:c>
      <x:c r="J1035" s="98" t="n">
        <x:v>5.647930720840611e-12</x:v>
      </x:c>
      <x:c r="K1035" t="str">
        <x:v>common_1v</x:v>
      </x:c>
      <x:c r="L1035" t="str">
        <x:v>common_vdd</x:v>
      </x:c>
      <x:c r="M1035" t="n">
        <x:v>1.1</x:v>
      </x:c>
      <x:c r="N1035" t="str">
        <x:v>simulation</x:v>
      </x:c>
      <x:c r="O1035" t="str">
        <x:v>ngspice</x:v>
      </x:c>
      <x:c r="P1035" t="str">
        <x:v>397141eb8a813045075ac2be3098d3b136ebaf4d597c08fca627922a75e443b7</x:v>
      </x:c>
      <x:c r="Q1035" t="str">
        <x:v>data/raw/ptm45_lp_vds_1v_raw.txt</x:v>
      </x:c>
    </x:row>
    <x:row r="1036">
      <x:c r="A1036" t="str">
        <x:v>PTM</x:v>
      </x:c>
      <x:c r="B1036" t="str">
        <x:v>NMOS</x:v>
      </x:c>
      <x:c r="C1036" s="97" t="n">
        <x:v>45</x:v>
      </x:c>
      <x:c r="D1036" s="97" t="str">
        <x:v>LP</x:v>
      </x:c>
      <x:c r="E1036" s="99" t="n">
        <x:v>1</x:v>
      </x:c>
      <x:c r="F1036" s="99" t="n">
        <x:v>0.045</x:v>
      </x:c>
      <x:c r="G1036" s="99" t="n">
        <x:v>25</x:v>
      </x:c>
      <x:c r="H1036" s="99" t="n">
        <x:v>1</x:v>
      </x:c>
      <x:c r="I1036" s="99" t="n">
        <x:v>-0.0499999999999999</x:v>
      </x:c>
      <x:c r="J1036" s="98" t="n">
        <x:v>6.310483680331215e-12</x:v>
      </x:c>
      <x:c r="K1036" t="str">
        <x:v>common_1v</x:v>
      </x:c>
      <x:c r="L1036" t="str">
        <x:v>common_vdd</x:v>
      </x:c>
      <x:c r="M1036" t="n">
        <x:v>1.1</x:v>
      </x:c>
      <x:c r="N1036" t="str">
        <x:v>simulation</x:v>
      </x:c>
      <x:c r="O1036" t="str">
        <x:v>ngspice</x:v>
      </x:c>
      <x:c r="P1036" t="str">
        <x:v>397141eb8a813045075ac2be3098d3b136ebaf4d597c08fca627922a75e443b7</x:v>
      </x:c>
      <x:c r="Q1036" t="str">
        <x:v>data/raw/ptm45_lp_vds_1v_raw.txt</x:v>
      </x:c>
    </x:row>
    <x:row r="1037">
      <x:c r="A1037" t="str">
        <x:v>PTM</x:v>
      </x:c>
      <x:c r="B1037" t="str">
        <x:v>NMOS</x:v>
      </x:c>
      <x:c r="C1037" s="97" t="n">
        <x:v>45</x:v>
      </x:c>
      <x:c r="D1037" s="97" t="str">
        <x:v>LP</x:v>
      </x:c>
      <x:c r="E1037" s="99" t="n">
        <x:v>1</x:v>
      </x:c>
      <x:c r="F1037" s="99" t="n">
        <x:v>0.045</x:v>
      </x:c>
      <x:c r="G1037" s="99" t="n">
        <x:v>25</x:v>
      </x:c>
      <x:c r="H1037" s="99" t="n">
        <x:v>1</x:v>
      </x:c>
      <x:c r="I1037" s="99" t="n">
        <x:v>-0.0449999999999999</x:v>
      </x:c>
      <x:c r="J1037" s="98" t="n">
        <x:v>7.067652746641881e-12</x:v>
      </x:c>
      <x:c r="K1037" t="str">
        <x:v>common_1v</x:v>
      </x:c>
      <x:c r="L1037" t="str">
        <x:v>common_vdd</x:v>
      </x:c>
      <x:c r="M1037" t="n">
        <x:v>1.1</x:v>
      </x:c>
      <x:c r="N1037" t="str">
        <x:v>simulation</x:v>
      </x:c>
      <x:c r="O1037" t="str">
        <x:v>ngspice</x:v>
      </x:c>
      <x:c r="P1037" t="str">
        <x:v>397141eb8a813045075ac2be3098d3b136ebaf4d597c08fca627922a75e443b7</x:v>
      </x:c>
      <x:c r="Q1037" t="str">
        <x:v>data/raw/ptm45_lp_vds_1v_raw.txt</x:v>
      </x:c>
    </x:row>
    <x:row r="1038">
      <x:c r="A1038" t="str">
        <x:v>PTM</x:v>
      </x:c>
      <x:c r="B1038" t="str">
        <x:v>NMOS</x:v>
      </x:c>
      <x:c r="C1038" s="97" t="n">
        <x:v>45</x:v>
      </x:c>
      <x:c r="D1038" s="97" t="str">
        <x:v>LP</x:v>
      </x:c>
      <x:c r="E1038" s="99" t="n">
        <x:v>1</x:v>
      </x:c>
      <x:c r="F1038" s="99" t="n">
        <x:v>0.045</x:v>
      </x:c>
      <x:c r="G1038" s="99" t="n">
        <x:v>25</x:v>
      </x:c>
      <x:c r="H1038" s="99" t="n">
        <x:v>1</x:v>
      </x:c>
      <x:c r="I1038" s="99" t="n">
        <x:v>-0.0399999999999999</x:v>
      </x:c>
      <x:c r="J1038" s="98" t="n">
        <x:v>7.932942342892279e-12</x:v>
      </x:c>
      <x:c r="K1038" t="str">
        <x:v>common_1v</x:v>
      </x:c>
      <x:c r="L1038" t="str">
        <x:v>common_vdd</x:v>
      </x:c>
      <x:c r="M1038" t="n">
        <x:v>1.1</x:v>
      </x:c>
      <x:c r="N1038" t="str">
        <x:v>simulation</x:v>
      </x:c>
      <x:c r="O1038" t="str">
        <x:v>ngspice</x:v>
      </x:c>
      <x:c r="P1038" t="str">
        <x:v>397141eb8a813045075ac2be3098d3b136ebaf4d597c08fca627922a75e443b7</x:v>
      </x:c>
      <x:c r="Q1038" t="str">
        <x:v>data/raw/ptm45_lp_vds_1v_raw.txt</x:v>
      </x:c>
    </x:row>
    <x:row r="1039">
      <x:c r="A1039" t="str">
        <x:v>PTM</x:v>
      </x:c>
      <x:c r="B1039" t="str">
        <x:v>NMOS</x:v>
      </x:c>
      <x:c r="C1039" s="97" t="n">
        <x:v>45</x:v>
      </x:c>
      <x:c r="D1039" s="97" t="str">
        <x:v>LP</x:v>
      </x:c>
      <x:c r="E1039" s="99" t="n">
        <x:v>1</x:v>
      </x:c>
      <x:c r="F1039" s="99" t="n">
        <x:v>0.045</x:v>
      </x:c>
      <x:c r="G1039" s="99" t="n">
        <x:v>25</x:v>
      </x:c>
      <x:c r="H1039" s="99" t="n">
        <x:v>1</x:v>
      </x:c>
      <x:c r="I1039" s="99" t="n">
        <x:v>-0.03499999999999991</x:v>
      </x:c>
      <x:c r="J1039" s="98" t="n">
        <x:v>8.921782765968998e-12</x:v>
      </x:c>
      <x:c r="K1039" t="str">
        <x:v>common_1v</x:v>
      </x:c>
      <x:c r="L1039" t="str">
        <x:v>common_vdd</x:v>
      </x:c>
      <x:c r="M1039" t="n">
        <x:v>1.1</x:v>
      </x:c>
      <x:c r="N1039" t="str">
        <x:v>simulation</x:v>
      </x:c>
      <x:c r="O1039" t="str">
        <x:v>ngspice</x:v>
      </x:c>
      <x:c r="P1039" t="str">
        <x:v>397141eb8a813045075ac2be3098d3b136ebaf4d597c08fca627922a75e443b7</x:v>
      </x:c>
      <x:c r="Q1039" t="str">
        <x:v>data/raw/ptm45_lp_vds_1v_raw.txt</x:v>
      </x:c>
    </x:row>
    <x:row r="1040">
      <x:c r="A1040" t="str">
        <x:v>PTM</x:v>
      </x:c>
      <x:c r="B1040" t="str">
        <x:v>NMOS</x:v>
      </x:c>
      <x:c r="C1040" s="97" t="n">
        <x:v>45</x:v>
      </x:c>
      <x:c r="D1040" s="97" t="str">
        <x:v>LP</x:v>
      </x:c>
      <x:c r="E1040" s="99" t="n">
        <x:v>1</x:v>
      </x:c>
      <x:c r="F1040" s="99" t="n">
        <x:v>0.045</x:v>
      </x:c>
      <x:c r="G1040" s="99" t="n">
        <x:v>25</x:v>
      </x:c>
      <x:c r="H1040" s="99" t="n">
        <x:v>1</x:v>
      </x:c>
      <x:c r="I1040" s="99" t="n">
        <x:v>-0.02999999999999991</x:v>
      </x:c>
      <x:c r="J1040" s="98" t="n">
        <x:v>1.005180448712331e-11</x:v>
      </x:c>
      <x:c r="K1040" t="str">
        <x:v>common_1v</x:v>
      </x:c>
      <x:c r="L1040" t="str">
        <x:v>common_vdd</x:v>
      </x:c>
      <x:c r="M1040" t="n">
        <x:v>1.1</x:v>
      </x:c>
      <x:c r="N1040" t="str">
        <x:v>simulation</x:v>
      </x:c>
      <x:c r="O1040" t="str">
        <x:v>ngspice</x:v>
      </x:c>
      <x:c r="P1040" t="str">
        <x:v>397141eb8a813045075ac2be3098d3b136ebaf4d597c08fca627922a75e443b7</x:v>
      </x:c>
      <x:c r="Q1040" t="str">
        <x:v>data/raw/ptm45_lp_vds_1v_raw.txt</x:v>
      </x:c>
    </x:row>
    <x:row r="1041">
      <x:c r="A1041" t="str">
        <x:v>PTM</x:v>
      </x:c>
      <x:c r="B1041" t="str">
        <x:v>NMOS</x:v>
      </x:c>
      <x:c r="C1041" s="97" t="n">
        <x:v>45</x:v>
      </x:c>
      <x:c r="D1041" s="97" t="str">
        <x:v>LP</x:v>
      </x:c>
      <x:c r="E1041" s="99" t="n">
        <x:v>1</x:v>
      </x:c>
      <x:c r="F1041" s="99" t="n">
        <x:v>0.045</x:v>
      </x:c>
      <x:c r="G1041" s="99" t="n">
        <x:v>25</x:v>
      </x:c>
      <x:c r="H1041" s="99" t="n">
        <x:v>1</x:v>
      </x:c>
      <x:c r="I1041" s="99" t="n">
        <x:v>-0.0249999999999999</x:v>
      </x:c>
      <x:c r="J1041" s="98" t="n">
        <x:v>1.134315144431181e-11</x:v>
      </x:c>
      <x:c r="K1041" t="str">
        <x:v>common_1v</x:v>
      </x:c>
      <x:c r="L1041" t="str">
        <x:v>common_vdd</x:v>
      </x:c>
      <x:c r="M1041" t="n">
        <x:v>1.1</x:v>
      </x:c>
      <x:c r="N1041" t="str">
        <x:v>simulation</x:v>
      </x:c>
      <x:c r="O1041" t="str">
        <x:v>ngspice</x:v>
      </x:c>
      <x:c r="P1041" t="str">
        <x:v>397141eb8a813045075ac2be3098d3b136ebaf4d597c08fca627922a75e443b7</x:v>
      </x:c>
      <x:c r="Q1041" t="str">
        <x:v>data/raw/ptm45_lp_vds_1v_raw.txt</x:v>
      </x:c>
    </x:row>
    <x:row r="1042">
      <x:c r="A1042" t="str">
        <x:v>PTM</x:v>
      </x:c>
      <x:c r="B1042" t="str">
        <x:v>NMOS</x:v>
      </x:c>
      <x:c r="C1042" s="97" t="n">
        <x:v>45</x:v>
      </x:c>
      <x:c r="D1042" s="97" t="str">
        <x:v>LP</x:v>
      </x:c>
      <x:c r="E1042" s="99" t="n">
        <x:v>1</x:v>
      </x:c>
      <x:c r="F1042" s="99" t="n">
        <x:v>0.045</x:v>
      </x:c>
      <x:c r="G1042" s="99" t="n">
        <x:v>25</x:v>
      </x:c>
      <x:c r="H1042" s="99" t="n">
        <x:v>1</x:v>
      </x:c>
      <x:c r="I1042" s="99" t="n">
        <x:v>-0.0199999999999999</x:v>
      </x:c>
      <x:c r="J1042" s="98" t="n">
        <x:v>1.281883885238538e-11</x:v>
      </x:c>
      <x:c r="K1042" t="str">
        <x:v>common_1v</x:v>
      </x:c>
      <x:c r="L1042" t="str">
        <x:v>common_vdd</x:v>
      </x:c>
      <x:c r="M1042" t="n">
        <x:v>1.1</x:v>
      </x:c>
      <x:c r="N1042" t="str">
        <x:v>simulation</x:v>
      </x:c>
      <x:c r="O1042" t="str">
        <x:v>ngspice</x:v>
      </x:c>
      <x:c r="P1042" t="str">
        <x:v>397141eb8a813045075ac2be3098d3b136ebaf4d597c08fca627922a75e443b7</x:v>
      </x:c>
      <x:c r="Q1042" t="str">
        <x:v>data/raw/ptm45_lp_vds_1v_raw.txt</x:v>
      </x:c>
    </x:row>
    <x:row r="1043">
      <x:c r="A1043" t="str">
        <x:v>PTM</x:v>
      </x:c>
      <x:c r="B1043" t="str">
        <x:v>NMOS</x:v>
      </x:c>
      <x:c r="C1043" s="97" t="n">
        <x:v>45</x:v>
      </x:c>
      <x:c r="D1043" s="97" t="str">
        <x:v>LP</x:v>
      </x:c>
      <x:c r="E1043" s="99" t="n">
        <x:v>1</x:v>
      </x:c>
      <x:c r="F1043" s="99" t="n">
        <x:v>0.045</x:v>
      </x:c>
      <x:c r="G1043" s="99" t="n">
        <x:v>25</x:v>
      </x:c>
      <x:c r="H1043" s="99" t="n">
        <x:v>1</x:v>
      </x:c>
      <x:c r="I1043" s="99" t="n">
        <x:v>-0.0149999999999999</x:v>
      </x:c>
      <x:c r="J1043" s="98" t="n">
        <x:v>1.450516183631683e-11</x:v>
      </x:c>
      <x:c r="K1043" t="str">
        <x:v>common_1v</x:v>
      </x:c>
      <x:c r="L1043" t="str">
        <x:v>common_vdd</x:v>
      </x:c>
      <x:c r="M1043" t="n">
        <x:v>1.1</x:v>
      </x:c>
      <x:c r="N1043" t="str">
        <x:v>simulation</x:v>
      </x:c>
      <x:c r="O1043" t="str">
        <x:v>ngspice</x:v>
      </x:c>
      <x:c r="P1043" t="str">
        <x:v>397141eb8a813045075ac2be3098d3b136ebaf4d597c08fca627922a75e443b7</x:v>
      </x:c>
      <x:c r="Q1043" t="str">
        <x:v>data/raw/ptm45_lp_vds_1v_raw.txt</x:v>
      </x:c>
    </x:row>
    <x:row r="1044">
      <x:c r="A1044" t="str">
        <x:v>PTM</x:v>
      </x:c>
      <x:c r="B1044" t="str">
        <x:v>NMOS</x:v>
      </x:c>
      <x:c r="C1044" s="97" t="n">
        <x:v>45</x:v>
      </x:c>
      <x:c r="D1044" s="97" t="str">
        <x:v>LP</x:v>
      </x:c>
      <x:c r="E1044" s="99" t="n">
        <x:v>1</x:v>
      </x:c>
      <x:c r="F1044" s="99" t="n">
        <x:v>0.045</x:v>
      </x:c>
      <x:c r="G1044" s="99" t="n">
        <x:v>25</x:v>
      </x:c>
      <x:c r="H1044" s="99" t="n">
        <x:v>1</x:v>
      </x:c>
      <x:c r="I1044" s="99" t="n">
        <x:v>-0.009999999999999901</x:v>
      </x:c>
      <x:c r="J1044" s="98" t="n">
        <x:v>1.643216208159562e-11</x:v>
      </x:c>
      <x:c r="K1044" t="str">
        <x:v>common_1v</x:v>
      </x:c>
      <x:c r="L1044" t="str">
        <x:v>common_vdd</x:v>
      </x:c>
      <x:c r="M1044" t="n">
        <x:v>1.1</x:v>
      </x:c>
      <x:c r="N1044" t="str">
        <x:v>simulation</x:v>
      </x:c>
      <x:c r="O1044" t="str">
        <x:v>ngspice</x:v>
      </x:c>
      <x:c r="P1044" t="str">
        <x:v>397141eb8a813045075ac2be3098d3b136ebaf4d597c08fca627922a75e443b7</x:v>
      </x:c>
      <x:c r="Q1044" t="str">
        <x:v>data/raw/ptm45_lp_vds_1v_raw.txt</x:v>
      </x:c>
    </x:row>
    <x:row r="1045">
      <x:c r="A1045" t="str">
        <x:v>PTM</x:v>
      </x:c>
      <x:c r="B1045" t="str">
        <x:v>NMOS</x:v>
      </x:c>
      <x:c r="C1045" s="97" t="n">
        <x:v>45</x:v>
      </x:c>
      <x:c r="D1045" s="97" t="str">
        <x:v>LP</x:v>
      </x:c>
      <x:c r="E1045" s="99" t="n">
        <x:v>1</x:v>
      </x:c>
      <x:c r="F1045" s="99" t="n">
        <x:v>0.045</x:v>
      </x:c>
      <x:c r="G1045" s="99" t="n">
        <x:v>25</x:v>
      </x:c>
      <x:c r="H1045" s="99" t="n">
        <x:v>1</x:v>
      </x:c>
      <x:c r="I1045" s="99" t="n">
        <x:v>-0.004999999999999901</x:v>
      </x:c>
      <x:c r="J1045" s="98" t="n">
        <x:v>1.863416070862027e-11</x:v>
      </x:c>
      <x:c r="K1045" t="str">
        <x:v>common_1v</x:v>
      </x:c>
      <x:c r="L1045" t="str">
        <x:v>common_vdd</x:v>
      </x:c>
      <x:c r="M1045" t="n">
        <x:v>1.1</x:v>
      </x:c>
      <x:c r="N1045" t="str">
        <x:v>simulation</x:v>
      </x:c>
      <x:c r="O1045" t="str">
        <x:v>ngspice</x:v>
      </x:c>
      <x:c r="P1045" t="str">
        <x:v>397141eb8a813045075ac2be3098d3b136ebaf4d597c08fca627922a75e443b7</x:v>
      </x:c>
      <x:c r="Q1045" t="str">
        <x:v>data/raw/ptm45_lp_vds_1v_raw.txt</x:v>
      </x:c>
    </x:row>
    <x:row r="1046">
      <x:c r="A1046" t="str">
        <x:v>PTM</x:v>
      </x:c>
      <x:c r="B1046" t="str">
        <x:v>NMOS</x:v>
      </x:c>
      <x:c r="C1046" s="97" t="n">
        <x:v>45</x:v>
      </x:c>
      <x:c r="D1046" s="97" t="str">
        <x:v>LP</x:v>
      </x:c>
      <x:c r="E1046" s="99" t="n">
        <x:v>1</x:v>
      </x:c>
      <x:c r="F1046" s="99" t="n">
        <x:v>0.045</x:v>
      </x:c>
      <x:c r="G1046" s="99" t="n">
        <x:v>25</x:v>
      </x:c>
      <x:c r="H1046" s="99" t="n">
        <x:v>1</x:v>
      </x:c>
      <x:c r="I1046" s="99" t="n">
        <x:v>9.8879238130678e-17</x:v>
      </x:c>
      <x:c r="J1046" s="98" t="n">
        <x:v>2.115036673217059e-11</x:v>
      </x:c>
      <x:c r="K1046" t="str">
        <x:v>common_1v</x:v>
      </x:c>
      <x:c r="L1046" t="str">
        <x:v>common_vdd</x:v>
      </x:c>
      <x:c r="M1046" t="n">
        <x:v>1.1</x:v>
      </x:c>
      <x:c r="N1046" t="str">
        <x:v>simulation</x:v>
      </x:c>
      <x:c r="O1046" t="str">
        <x:v>ngspice</x:v>
      </x:c>
      <x:c r="P1046" t="str">
        <x:v>397141eb8a813045075ac2be3098d3b136ebaf4d597c08fca627922a75e443b7</x:v>
      </x:c>
      <x:c r="Q1046" t="str">
        <x:v>data/raw/ptm45_lp_vds_1v_raw.txt</x:v>
      </x:c>
    </x:row>
    <x:row r="1047">
      <x:c r="A1047" t="str">
        <x:v>PTM</x:v>
      </x:c>
      <x:c r="B1047" t="str">
        <x:v>NMOS</x:v>
      </x:c>
      <x:c r="C1047" t="n">
        <x:v>45</x:v>
      </x:c>
      <x:c r="D1047" t="str">
        <x:v>LP</x:v>
      </x:c>
      <x:c r="E1047" t="n">
        <x:v>1</x:v>
      </x:c>
      <x:c r="F1047" t="n">
        <x:v>0.045</x:v>
      </x:c>
      <x:c r="G1047" t="n">
        <x:v>25</x:v>
      </x:c>
      <x:c r="H1047" t="n">
        <x:v>1</x:v>
      </x:c>
      <x:c r="I1047" t="n">
        <x:v>0.005000000000000099</x:v>
      </x:c>
      <x:c r="J1047" t="n">
        <x:v>2.402557178232038e-11</x:v>
      </x:c>
      <x:c r="K1047" t="str">
        <x:v>common_1v</x:v>
      </x:c>
      <x:c r="L1047" t="str">
        <x:v>common_vdd</x:v>
      </x:c>
      <x:c r="M1047" t="n">
        <x:v>1.1</x:v>
      </x:c>
      <x:c r="N1047" t="str">
        <x:v>simulation</x:v>
      </x:c>
      <x:c r="O1047" t="str">
        <x:v>ngspice</x:v>
      </x:c>
      <x:c r="P1047" t="str">
        <x:v>397141eb8a813045075ac2be3098d3b136ebaf4d597c08fca627922a75e443b7</x:v>
      </x:c>
      <x:c r="Q1047" t="str">
        <x:v>data/raw/ptm45_lp_vds_1v_raw.txt</x:v>
      </x:c>
    </x:row>
    <x:row r="1048">
      <x:c r="A1048" t="str">
        <x:v>PTM</x:v>
      </x:c>
      <x:c r="B1048" t="str">
        <x:v>NMOS</x:v>
      </x:c>
      <x:c r="C1048" t="n">
        <x:v>45</x:v>
      </x:c>
      <x:c r="D1048" t="str">
        <x:v>LP</x:v>
      </x:c>
      <x:c r="E1048" t="n">
        <x:v>1</x:v>
      </x:c>
      <x:c r="F1048" t="n">
        <x:v>0.045</x:v>
      </x:c>
      <x:c r="G1048" t="n">
        <x:v>25</x:v>
      </x:c>
      <x:c r="H1048" t="n">
        <x:v>1</x:v>
      </x:c>
      <x:c r="I1048" t="n">
        <x:v>0.0100000000000001</x:v>
      </x:c>
      <x:c r="J1048" t="n">
        <x:v>2.731094326134264e-11</x:v>
      </x:c>
      <x:c r="K1048" t="str">
        <x:v>common_1v</x:v>
      </x:c>
      <x:c r="L1048" t="str">
        <x:v>common_vdd</x:v>
      </x:c>
      <x:c r="M1048" t="n">
        <x:v>1.1</x:v>
      </x:c>
      <x:c r="N1048" t="str">
        <x:v>simulation</x:v>
      </x:c>
      <x:c r="O1048" t="str">
        <x:v>ngspice</x:v>
      </x:c>
      <x:c r="P1048" t="str">
        <x:v>397141eb8a813045075ac2be3098d3b136ebaf4d597c08fca627922a75e443b7</x:v>
      </x:c>
      <x:c r="Q1048" t="str">
        <x:v>data/raw/ptm45_lp_vds_1v_raw.txt</x:v>
      </x:c>
    </x:row>
    <x:row r="1049">
      <x:c r="A1049" t="str">
        <x:v>PTM</x:v>
      </x:c>
      <x:c r="B1049" t="str">
        <x:v>NMOS</x:v>
      </x:c>
      <x:c r="C1049" t="n">
        <x:v>45</x:v>
      </x:c>
      <x:c r="D1049" t="str">
        <x:v>LP</x:v>
      </x:c>
      <x:c r="E1049" t="n">
        <x:v>1</x:v>
      </x:c>
      <x:c r="F1049" t="n">
        <x:v>0.045</x:v>
      </x:c>
      <x:c r="G1049" t="n">
        <x:v>25</x:v>
      </x:c>
      <x:c r="H1049" t="n">
        <x:v>1</x:v>
      </x:c>
      <x:c r="I1049" t="n">
        <x:v>0.0150000000000001</x:v>
      </x:c>
      <x:c r="J1049" t="n">
        <x:v>3.106492981728692e-11</x:v>
      </x:c>
      <x:c r="K1049" t="str">
        <x:v>common_1v</x:v>
      </x:c>
      <x:c r="L1049" t="str">
        <x:v>common_vdd</x:v>
      </x:c>
      <x:c r="M1049" t="n">
        <x:v>1.1</x:v>
      </x:c>
      <x:c r="N1049" t="str">
        <x:v>simulation</x:v>
      </x:c>
      <x:c r="O1049" t="str">
        <x:v>ngspice</x:v>
      </x:c>
      <x:c r="P1049" t="str">
        <x:v>397141eb8a813045075ac2be3098d3b136ebaf4d597c08fca627922a75e443b7</x:v>
      </x:c>
      <x:c r="Q1049" t="str">
        <x:v>data/raw/ptm45_lp_vds_1v_raw.txt</x:v>
      </x:c>
    </x:row>
    <x:row r="1050">
      <x:c r="A1050" t="str">
        <x:v>PTM</x:v>
      </x:c>
      <x:c r="B1050" t="str">
        <x:v>NMOS</x:v>
      </x:c>
      <x:c r="C1050" t="n">
        <x:v>45</x:v>
      </x:c>
      <x:c r="D1050" t="str">
        <x:v>LP</x:v>
      </x:c>
      <x:c r="E1050" t="n">
        <x:v>1</x:v>
      </x:c>
      <x:c r="F1050" t="n">
        <x:v>0.045</x:v>
      </x:c>
      <x:c r="G1050" t="n">
        <x:v>25</x:v>
      </x:c>
      <x:c r="H1050" t="n">
        <x:v>1</x:v>
      </x:c>
      <x:c r="I1050" t="n">
        <x:v>0.0200000000000001</x:v>
      </x:c>
      <x:c r="J1050" t="n">
        <x:v>3.535429495798751e-11</x:v>
      </x:c>
      <x:c r="K1050" t="str">
        <x:v>common_1v</x:v>
      </x:c>
      <x:c r="L1050" t="str">
        <x:v>common_vdd</x:v>
      </x:c>
      <x:c r="M1050" t="n">
        <x:v>1.1</x:v>
      </x:c>
      <x:c r="N1050" t="str">
        <x:v>simulation</x:v>
      </x:c>
      <x:c r="O1050" t="str">
        <x:v>ngspice</x:v>
      </x:c>
      <x:c r="P1050" t="str">
        <x:v>397141eb8a813045075ac2be3098d3b136ebaf4d597c08fca627922a75e443b7</x:v>
      </x:c>
      <x:c r="Q1050" t="str">
        <x:v>data/raw/ptm45_lp_vds_1v_raw.txt</x:v>
      </x:c>
    </x:row>
    <x:row r="1051">
      <x:c r="A1051" t="str">
        <x:v>PTM</x:v>
      </x:c>
      <x:c r="B1051" t="str">
        <x:v>NMOS</x:v>
      </x:c>
      <x:c r="C1051" t="n">
        <x:v>45</x:v>
      </x:c>
      <x:c r="D1051" t="str">
        <x:v>LP</x:v>
      </x:c>
      <x:c r="E1051" t="n">
        <x:v>1</x:v>
      </x:c>
      <x:c r="F1051" t="n">
        <x:v>0.045</x:v>
      </x:c>
      <x:c r="G1051" t="n">
        <x:v>25</x:v>
      </x:c>
      <x:c r="H1051" t="n">
        <x:v>1</x:v>
      </x:c>
      <x:c r="I1051" t="n">
        <x:v>0.0250000000000001</x:v>
      </x:c>
      <x:c r="J1051" t="n">
        <x:v>4.02552968407003e-11</x:v>
      </x:c>
      <x:c r="K1051" t="str">
        <x:v>common_1v</x:v>
      </x:c>
      <x:c r="L1051" t="str">
        <x:v>common_vdd</x:v>
      </x:c>
      <x:c r="M1051" t="n">
        <x:v>1.1</x:v>
      </x:c>
      <x:c r="N1051" t="str">
        <x:v>simulation</x:v>
      </x:c>
      <x:c r="O1051" t="str">
        <x:v>ngspice</x:v>
      </x:c>
      <x:c r="P1051" t="str">
        <x:v>397141eb8a813045075ac2be3098d3b136ebaf4d597c08fca627922a75e443b7</x:v>
      </x:c>
      <x:c r="Q1051" t="str">
        <x:v>data/raw/ptm45_lp_vds_1v_raw.txt</x:v>
      </x:c>
    </x:row>
    <x:row r="1052">
      <x:c r="A1052" t="str">
        <x:v>PTM</x:v>
      </x:c>
      <x:c r="B1052" t="str">
        <x:v>NMOS</x:v>
      </x:c>
      <x:c r="C1052" t="n">
        <x:v>45</x:v>
      </x:c>
      <x:c r="D1052" t="str">
        <x:v>LP</x:v>
      </x:c>
      <x:c r="E1052" t="n">
        <x:v>1</x:v>
      </x:c>
      <x:c r="F1052" t="n">
        <x:v>0.045</x:v>
      </x:c>
      <x:c r="G1052" t="n">
        <x:v>25</x:v>
      </x:c>
      <x:c r="H1052" t="n">
        <x:v>1</x:v>
      </x:c>
      <x:c r="I1052" t="n">
        <x:v>0.0300000000000001</x:v>
      </x:c>
      <x:c r="J1052" t="n">
        <x:v>4.585503478921209e-11</x:v>
      </x:c>
      <x:c r="K1052" t="str">
        <x:v>common_1v</x:v>
      </x:c>
      <x:c r="L1052" t="str">
        <x:v>common_vdd</x:v>
      </x:c>
      <x:c r="M1052" t="n">
        <x:v>1.1</x:v>
      </x:c>
      <x:c r="N1052" t="str">
        <x:v>simulation</x:v>
      </x:c>
      <x:c r="O1052" t="str">
        <x:v>ngspice</x:v>
      </x:c>
      <x:c r="P1052" t="str">
        <x:v>397141eb8a813045075ac2be3098d3b136ebaf4d597c08fca627922a75e443b7</x:v>
      </x:c>
      <x:c r="Q1052" t="str">
        <x:v>data/raw/ptm45_lp_vds_1v_raw.txt</x:v>
      </x:c>
    </x:row>
    <x:row r="1053">
      <x:c r="A1053" t="str">
        <x:v>PTM</x:v>
      </x:c>
      <x:c r="B1053" t="str">
        <x:v>NMOS</x:v>
      </x:c>
      <x:c r="C1053" t="n">
        <x:v>45</x:v>
      </x:c>
      <x:c r="D1053" t="str">
        <x:v>LP</x:v>
      </x:c>
      <x:c r="E1053" t="n">
        <x:v>1</x:v>
      </x:c>
      <x:c r="F1053" t="n">
        <x:v>0.045</x:v>
      </x:c>
      <x:c r="G1053" t="n">
        <x:v>25</x:v>
      </x:c>
      <x:c r="H1053" t="n">
        <x:v>1</x:v>
      </x:c>
      <x:c r="I1053" t="n">
        <x:v>0.0350000000000001</x:v>
      </x:c>
      <x:c r="J1053" t="n">
        <x:v>5.225298595400275e-11</x:v>
      </x:c>
      <x:c r="K1053" t="str">
        <x:v>common_1v</x:v>
      </x:c>
      <x:c r="L1053" t="str">
        <x:v>common_vdd</x:v>
      </x:c>
      <x:c r="M1053" t="n">
        <x:v>1.1</x:v>
      </x:c>
      <x:c r="N1053" t="str">
        <x:v>simulation</x:v>
      </x:c>
      <x:c r="O1053" t="str">
        <x:v>ngspice</x:v>
      </x:c>
      <x:c r="P1053" t="str">
        <x:v>397141eb8a813045075ac2be3098d3b136ebaf4d597c08fca627922a75e443b7</x:v>
      </x:c>
      <x:c r="Q1053" t="str">
        <x:v>data/raw/ptm45_lp_vds_1v_raw.txt</x:v>
      </x:c>
    </x:row>
    <x:row r="1054">
      <x:c r="A1054" t="str">
        <x:v>PTM</x:v>
      </x:c>
      <x:c r="B1054" t="str">
        <x:v>NMOS</x:v>
      </x:c>
      <x:c r="C1054" t="n">
        <x:v>45</x:v>
      </x:c>
      <x:c r="D1054" t="str">
        <x:v>LP</x:v>
      </x:c>
      <x:c r="E1054" t="n">
        <x:v>1</x:v>
      </x:c>
      <x:c r="F1054" t="n">
        <x:v>0.045</x:v>
      </x:c>
      <x:c r="G1054" t="n">
        <x:v>25</x:v>
      </x:c>
      <x:c r="H1054" t="n">
        <x:v>1</x:v>
      </x:c>
      <x:c r="I1054" t="n">
        <x:v>0.0400000000000001</x:v>
      </x:c>
      <x:c r="J1054" t="n">
        <x:v>5.956275878741194e-11</x:v>
      </x:c>
      <x:c r="K1054" t="str">
        <x:v>common_1v</x:v>
      </x:c>
      <x:c r="L1054" t="str">
        <x:v>common_vdd</x:v>
      </x:c>
      <x:c r="M1054" t="n">
        <x:v>1.1</x:v>
      </x:c>
      <x:c r="N1054" t="str">
        <x:v>simulation</x:v>
      </x:c>
      <x:c r="O1054" t="str">
        <x:v>ngspice</x:v>
      </x:c>
      <x:c r="P1054" t="str">
        <x:v>397141eb8a813045075ac2be3098d3b136ebaf4d597c08fca627922a75e443b7</x:v>
      </x:c>
      <x:c r="Q1054" t="str">
        <x:v>data/raw/ptm45_lp_vds_1v_raw.txt</x:v>
      </x:c>
    </x:row>
    <x:row r="1055">
      <x:c r="A1055" t="str">
        <x:v>PTM</x:v>
      </x:c>
      <x:c r="B1055" t="str">
        <x:v>NMOS</x:v>
      </x:c>
      <x:c r="C1055" t="n">
        <x:v>45</x:v>
      </x:c>
      <x:c r="D1055" t="str">
        <x:v>LP</x:v>
      </x:c>
      <x:c r="E1055" t="n">
        <x:v>1</x:v>
      </x:c>
      <x:c r="F1055" t="n">
        <x:v>0.045</x:v>
      </x:c>
      <x:c r="G1055" t="n">
        <x:v>25</x:v>
      </x:c>
      <x:c r="H1055" t="n">
        <x:v>1</x:v>
      </x:c>
      <x:c r="I1055" t="n">
        <x:v>0.0450000000000001</x:v>
      </x:c>
      <x:c r="J1055" t="n">
        <x:v>6.791409370813256e-11</x:v>
      </x:c>
      <x:c r="K1055" t="str">
        <x:v>common_1v</x:v>
      </x:c>
      <x:c r="L1055" t="str">
        <x:v>common_vdd</x:v>
      </x:c>
      <x:c r="M1055" t="n">
        <x:v>1.1</x:v>
      </x:c>
      <x:c r="N1055" t="str">
        <x:v>simulation</x:v>
      </x:c>
      <x:c r="O1055" t="str">
        <x:v>ngspice</x:v>
      </x:c>
      <x:c r="P1055" t="str">
        <x:v>397141eb8a813045075ac2be3098d3b136ebaf4d597c08fca627922a75e443b7</x:v>
      </x:c>
      <x:c r="Q1055" t="str">
        <x:v>data/raw/ptm45_lp_vds_1v_raw.txt</x:v>
      </x:c>
    </x:row>
    <x:row r="1056">
      <x:c r="A1056" t="str">
        <x:v>PTM</x:v>
      </x:c>
      <x:c r="B1056" t="str">
        <x:v>NMOS</x:v>
      </x:c>
      <x:c r="C1056" t="n">
        <x:v>45</x:v>
      </x:c>
      <x:c r="D1056" t="str">
        <x:v>LP</x:v>
      </x:c>
      <x:c r="E1056" t="n">
        <x:v>1</x:v>
      </x:c>
      <x:c r="F1056" t="n">
        <x:v>0.045</x:v>
      </x:c>
      <x:c r="G1056" t="n">
        <x:v>25</x:v>
      </x:c>
      <x:c r="H1056" t="n">
        <x:v>1</x:v>
      </x:c>
      <x:c r="I1056" t="n">
        <x:v>0.05000000000000009</x:v>
      </x:c>
      <x:c r="J1056" t="n">
        <x:v>7.745514553794716e-11</x:v>
      </x:c>
      <x:c r="K1056" t="str">
        <x:v>common_1v</x:v>
      </x:c>
      <x:c r="L1056" t="str">
        <x:v>common_vdd</x:v>
      </x:c>
      <x:c r="M1056" t="n">
        <x:v>1.1</x:v>
      </x:c>
      <x:c r="N1056" t="str">
        <x:v>simulation</x:v>
      </x:c>
      <x:c r="O1056" t="str">
        <x:v>ngspice</x:v>
      </x:c>
      <x:c r="P1056" t="str">
        <x:v>397141eb8a813045075ac2be3098d3b136ebaf4d597c08fca627922a75e443b7</x:v>
      </x:c>
      <x:c r="Q1056" t="str">
        <x:v>data/raw/ptm45_lp_vds_1v_raw.txt</x:v>
      </x:c>
    </x:row>
    <x:row r="1057">
      <x:c r="A1057" t="str">
        <x:v>PTM</x:v>
      </x:c>
      <x:c r="B1057" t="str">
        <x:v>NMOS</x:v>
      </x:c>
      <x:c r="C1057" t="n">
        <x:v>45</x:v>
      </x:c>
      <x:c r="D1057" t="str">
        <x:v>LP</x:v>
      </x:c>
      <x:c r="E1057" t="n">
        <x:v>1</x:v>
      </x:c>
      <x:c r="F1057" t="n">
        <x:v>0.045</x:v>
      </x:c>
      <x:c r="G1057" t="n">
        <x:v>25</x:v>
      </x:c>
      <x:c r="H1057" t="n">
        <x:v>1</x:v>
      </x:c>
      <x:c r="I1057" t="n">
        <x:v>0.05500000000000009</x:v>
      </x:c>
      <x:c r="J1057" t="n">
        <x:v>8.835508707411417e-11</x:v>
      </x:c>
      <x:c r="K1057" t="str">
        <x:v>common_1v</x:v>
      </x:c>
      <x:c r="L1057" t="str">
        <x:v>common_vdd</x:v>
      </x:c>
      <x:c r="M1057" t="n">
        <x:v>1.1</x:v>
      </x:c>
      <x:c r="N1057" t="str">
        <x:v>simulation</x:v>
      </x:c>
      <x:c r="O1057" t="str">
        <x:v>ngspice</x:v>
      </x:c>
      <x:c r="P1057" t="str">
        <x:v>397141eb8a813045075ac2be3098d3b136ebaf4d597c08fca627922a75e443b7</x:v>
      </x:c>
      <x:c r="Q1057" t="str">
        <x:v>data/raw/ptm45_lp_vds_1v_raw.txt</x:v>
      </x:c>
    </x:row>
    <x:row r="1058">
      <x:c r="A1058" t="str">
        <x:v>PTM</x:v>
      </x:c>
      <x:c r="B1058" t="str">
        <x:v>NMOS</x:v>
      </x:c>
      <x:c r="C1058" t="n">
        <x:v>45</x:v>
      </x:c>
      <x:c r="D1058" t="str">
        <x:v>LP</x:v>
      </x:c>
      <x:c r="E1058" t="n">
        <x:v>1</x:v>
      </x:c>
      <x:c r="F1058" t="n">
        <x:v>0.045</x:v>
      </x:c>
      <x:c r="G1058" t="n">
        <x:v>25</x:v>
      </x:c>
      <x:c r="H1058" t="n">
        <x:v>1</x:v>
      </x:c>
      <x:c r="I1058" t="n">
        <x:v>0.06000000000000009</x:v>
      </x:c>
      <x:c r="J1058" t="n">
        <x:v>1.008070785903204e-10</x:v>
      </x:c>
      <x:c r="K1058" t="str">
        <x:v>common_1v</x:v>
      </x:c>
      <x:c r="L1058" t="str">
        <x:v>common_vdd</x:v>
      </x:c>
      <x:c r="M1058" t="n">
        <x:v>1.1</x:v>
      </x:c>
      <x:c r="N1058" t="str">
        <x:v>simulation</x:v>
      </x:c>
      <x:c r="O1058" t="str">
        <x:v>ngspice</x:v>
      </x:c>
      <x:c r="P1058" t="str">
        <x:v>397141eb8a813045075ac2be3098d3b136ebaf4d597c08fca627922a75e443b7</x:v>
      </x:c>
      <x:c r="Q1058" t="str">
        <x:v>data/raw/ptm45_lp_vds_1v_raw.txt</x:v>
      </x:c>
    </x:row>
    <x:row r="1059">
      <x:c r="A1059" t="str">
        <x:v>PTM</x:v>
      </x:c>
      <x:c r="B1059" t="str">
        <x:v>NMOS</x:v>
      </x:c>
      <x:c r="C1059" t="n">
        <x:v>45</x:v>
      </x:c>
      <x:c r="D1059" t="str">
        <x:v>LP</x:v>
      </x:c>
      <x:c r="E1059" t="n">
        <x:v>1</x:v>
      </x:c>
      <x:c r="F1059" t="n">
        <x:v>0.045</x:v>
      </x:c>
      <x:c r="G1059" t="n">
        <x:v>25</x:v>
      </x:c>
      <x:c r="H1059" t="n">
        <x:v>1</x:v>
      </x:c>
      <x:c r="I1059" t="n">
        <x:v>0.06500000000000009</x:v>
      </x:c>
      <x:c r="J1059" t="n">
        <x:v>1.150316542227206e-10</x:v>
      </x:c>
      <x:c r="K1059" t="str">
        <x:v>common_1v</x:v>
      </x:c>
      <x:c r="L1059" t="str">
        <x:v>common_vdd</x:v>
      </x:c>
      <x:c r="M1059" t="n">
        <x:v>1.1</x:v>
      </x:c>
      <x:c r="N1059" t="str">
        <x:v>simulation</x:v>
      </x:c>
      <x:c r="O1059" t="str">
        <x:v>ngspice</x:v>
      </x:c>
      <x:c r="P1059" t="str">
        <x:v>397141eb8a813045075ac2be3098d3b136ebaf4d597c08fca627922a75e443b7</x:v>
      </x:c>
      <x:c r="Q1059" t="str">
        <x:v>data/raw/ptm45_lp_vds_1v_raw.txt</x:v>
      </x:c>
    </x:row>
    <x:row r="1060">
      <x:c r="A1060" t="str">
        <x:v>PTM</x:v>
      </x:c>
      <x:c r="B1060" t="str">
        <x:v>NMOS</x:v>
      </x:c>
      <x:c r="C1060" t="n">
        <x:v>45</x:v>
      </x:c>
      <x:c r="D1060" t="str">
        <x:v>LP</x:v>
      </x:c>
      <x:c r="E1060" t="n">
        <x:v>1</x:v>
      </x:c>
      <x:c r="F1060" t="n">
        <x:v>0.045</x:v>
      </x:c>
      <x:c r="G1060" t="n">
        <x:v>25</x:v>
      </x:c>
      <x:c r="H1060" t="n">
        <x:v>1</x:v>
      </x:c>
      <x:c r="I1060" t="n">
        <x:v>0.07000000000000009</x:v>
      </x:c>
      <x:c r="J1060" t="n">
        <x:v>1.312805831898021e-10</x:v>
      </x:c>
      <x:c r="K1060" t="str">
        <x:v>common_1v</x:v>
      </x:c>
      <x:c r="L1060" t="str">
        <x:v>common_vdd</x:v>
      </x:c>
      <x:c r="M1060" t="n">
        <x:v>1.1</x:v>
      </x:c>
      <x:c r="N1060" t="str">
        <x:v>simulation</x:v>
      </x:c>
      <x:c r="O1060" t="str">
        <x:v>ngspice</x:v>
      </x:c>
      <x:c r="P1060" t="str">
        <x:v>397141eb8a813045075ac2be3098d3b136ebaf4d597c08fca627922a75e443b7</x:v>
      </x:c>
      <x:c r="Q1060" t="str">
        <x:v>data/raw/ptm45_lp_vds_1v_raw.txt</x:v>
      </x:c>
    </x:row>
    <x:row r="1061">
      <x:c r="A1061" t="str">
        <x:v>PTM</x:v>
      </x:c>
      <x:c r="B1061" t="str">
        <x:v>NMOS</x:v>
      </x:c>
      <x:c r="C1061" t="n">
        <x:v>45</x:v>
      </x:c>
      <x:c r="D1061" t="str">
        <x:v>LP</x:v>
      </x:c>
      <x:c r="E1061" t="n">
        <x:v>1</x:v>
      </x:c>
      <x:c r="F1061" t="n">
        <x:v>0.045</x:v>
      </x:c>
      <x:c r="G1061" t="n">
        <x:v>25</x:v>
      </x:c>
      <x:c r="H1061" t="n">
        <x:v>1</x:v>
      </x:c>
      <x:c r="I1061" t="n">
        <x:v>0.0750000000000001</x:v>
      </x:c>
      <x:c r="J1061" t="n">
        <x:v>1.510580480790582e-10</x:v>
      </x:c>
      <x:c r="K1061" t="str">
        <x:v>common_1v</x:v>
      </x:c>
      <x:c r="L1061" t="str">
        <x:v>common_vdd</x:v>
      </x:c>
      <x:c r="M1061" t="n">
        <x:v>1.1</x:v>
      </x:c>
      <x:c r="N1061" t="str">
        <x:v>simulation</x:v>
      </x:c>
      <x:c r="O1061" t="str">
        <x:v>ngspice</x:v>
      </x:c>
      <x:c r="P1061" t="str">
        <x:v>397141eb8a813045075ac2be3098d3b136ebaf4d597c08fca627922a75e443b7</x:v>
      </x:c>
      <x:c r="Q1061" t="str">
        <x:v>data/raw/ptm45_lp_vds_1v_raw.txt</x:v>
      </x:c>
    </x:row>
    <x:row r="1062">
      <x:c r="A1062" t="str">
        <x:v>PTM</x:v>
      </x:c>
      <x:c r="B1062" t="str">
        <x:v>NMOS</x:v>
      </x:c>
      <x:c r="C1062" t="n">
        <x:v>45</x:v>
      </x:c>
      <x:c r="D1062" t="str">
        <x:v>LP</x:v>
      </x:c>
      <x:c r="E1062" t="n">
        <x:v>1</x:v>
      </x:c>
      <x:c r="F1062" t="n">
        <x:v>0.045</x:v>
      </x:c>
      <x:c r="G1062" t="n">
        <x:v>25</x:v>
      </x:c>
      <x:c r="H1062" t="n">
        <x:v>1</x:v>
      </x:c>
      <x:c r="I1062" t="n">
        <x:v>0.0800000000000001</x:v>
      </x:c>
      <x:c r="J1062" t="n">
        <x:v>1.724311914636249e-10</x:v>
      </x:c>
      <x:c r="K1062" t="str">
        <x:v>common_1v</x:v>
      </x:c>
      <x:c r="L1062" t="str">
        <x:v>common_vdd</x:v>
      </x:c>
      <x:c r="M1062" t="n">
        <x:v>1.1</x:v>
      </x:c>
      <x:c r="N1062" t="str">
        <x:v>simulation</x:v>
      </x:c>
      <x:c r="O1062" t="str">
        <x:v>ngspice</x:v>
      </x:c>
      <x:c r="P1062" t="str">
        <x:v>397141eb8a813045075ac2be3098d3b136ebaf4d597c08fca627922a75e443b7</x:v>
      </x:c>
      <x:c r="Q1062" t="str">
        <x:v>data/raw/ptm45_lp_vds_1v_raw.txt</x:v>
      </x:c>
    </x:row>
    <x:row r="1063">
      <x:c r="A1063" t="str">
        <x:v>PTM</x:v>
      </x:c>
      <x:c r="B1063" t="str">
        <x:v>NMOS</x:v>
      </x:c>
      <x:c r="C1063" t="n">
        <x:v>45</x:v>
      </x:c>
      <x:c r="D1063" t="str">
        <x:v>LP</x:v>
      </x:c>
      <x:c r="E1063" t="n">
        <x:v>1</x:v>
      </x:c>
      <x:c r="F1063" t="n">
        <x:v>0.045</x:v>
      </x:c>
      <x:c r="G1063" t="n">
        <x:v>25</x:v>
      </x:c>
      <x:c r="H1063" t="n">
        <x:v>1</x:v>
      </x:c>
      <x:c r="I1063" t="n">
        <x:v>0.0850000000000001</x:v>
      </x:c>
      <x:c r="J1063" t="n">
        <x:v>1.968429830124888e-10</x:v>
      </x:c>
      <x:c r="K1063" t="str">
        <x:v>common_1v</x:v>
      </x:c>
      <x:c r="L1063" t="str">
        <x:v>common_vdd</x:v>
      </x:c>
      <x:c r="M1063" t="n">
        <x:v>1.1</x:v>
      </x:c>
      <x:c r="N1063" t="str">
        <x:v>simulation</x:v>
      </x:c>
      <x:c r="O1063" t="str">
        <x:v>ngspice</x:v>
      </x:c>
      <x:c r="P1063" t="str">
        <x:v>397141eb8a813045075ac2be3098d3b136ebaf4d597c08fca627922a75e443b7</x:v>
      </x:c>
      <x:c r="Q1063" t="str">
        <x:v>data/raw/ptm45_lp_vds_1v_raw.txt</x:v>
      </x:c>
    </x:row>
    <x:row r="1064">
      <x:c r="A1064" t="str">
        <x:v>PTM</x:v>
      </x:c>
      <x:c r="B1064" t="str">
        <x:v>NMOS</x:v>
      </x:c>
      <x:c r="C1064" t="n">
        <x:v>45</x:v>
      </x:c>
      <x:c r="D1064" t="str">
        <x:v>LP</x:v>
      </x:c>
      <x:c r="E1064" t="n">
        <x:v>1</x:v>
      </x:c>
      <x:c r="F1064" t="n">
        <x:v>0.045</x:v>
      </x:c>
      <x:c r="G1064" t="n">
        <x:v>25</x:v>
      </x:c>
      <x:c r="H1064" t="n">
        <x:v>1</x:v>
      </x:c>
      <x:c r="I1064" t="n">
        <x:v>0.09000000000000011</x:v>
      </x:c>
      <x:c r="J1064" t="n">
        <x:v>2.247241698466689e-10</x:v>
      </x:c>
      <x:c r="K1064" t="str">
        <x:v>common_1v</x:v>
      </x:c>
      <x:c r="L1064" t="str">
        <x:v>common_vdd</x:v>
      </x:c>
      <x:c r="M1064" t="n">
        <x:v>1.1</x:v>
      </x:c>
      <x:c r="N1064" t="str">
        <x:v>simulation</x:v>
      </x:c>
      <x:c r="O1064" t="str">
        <x:v>ngspice</x:v>
      </x:c>
      <x:c r="P1064" t="str">
        <x:v>397141eb8a813045075ac2be3098d3b136ebaf4d597c08fca627922a75e443b7</x:v>
      </x:c>
      <x:c r="Q1064" t="str">
        <x:v>data/raw/ptm45_lp_vds_1v_raw.txt</x:v>
      </x:c>
    </x:row>
    <x:row r="1065">
      <x:c r="A1065" t="str">
        <x:v>PTM</x:v>
      </x:c>
      <x:c r="B1065" t="str">
        <x:v>NMOS</x:v>
      </x:c>
      <x:c r="C1065" t="n">
        <x:v>45</x:v>
      </x:c>
      <x:c r="D1065" t="str">
        <x:v>LP</x:v>
      </x:c>
      <x:c r="E1065" t="n">
        <x:v>1</x:v>
      </x:c>
      <x:c r="F1065" t="n">
        <x:v>0.045</x:v>
      </x:c>
      <x:c r="G1065" t="n">
        <x:v>25</x:v>
      </x:c>
      <x:c r="H1065" t="n">
        <x:v>1</x:v>
      </x:c>
      <x:c r="I1065" t="n">
        <x:v>0.09500000000000011</x:v>
      </x:c>
      <x:c r="J1065" t="n">
        <x:v>2.5656628572766e-10</x:v>
      </x:c>
      <x:c r="K1065" t="str">
        <x:v>common_1v</x:v>
      </x:c>
      <x:c r="L1065" t="str">
        <x:v>common_vdd</x:v>
      </x:c>
      <x:c r="M1065" t="n">
        <x:v>1.1</x:v>
      </x:c>
      <x:c r="N1065" t="str">
        <x:v>simulation</x:v>
      </x:c>
      <x:c r="O1065" t="str">
        <x:v>ngspice</x:v>
      </x:c>
      <x:c r="P1065" t="str">
        <x:v>397141eb8a813045075ac2be3098d3b136ebaf4d597c08fca627922a75e443b7</x:v>
      </x:c>
      <x:c r="Q1065" t="str">
        <x:v>data/raw/ptm45_lp_vds_1v_raw.txt</x:v>
      </x:c>
    </x:row>
    <x:row r="1066">
      <x:c r="A1066" t="str">
        <x:v>PTM</x:v>
      </x:c>
      <x:c r="B1066" t="str">
        <x:v>NMOS</x:v>
      </x:c>
      <x:c r="C1066" t="n">
        <x:v>45</x:v>
      </x:c>
      <x:c r="D1066" t="str">
        <x:v>LP</x:v>
      </x:c>
      <x:c r="E1066" t="n">
        <x:v>1</x:v>
      </x:c>
      <x:c r="F1066" t="n">
        <x:v>0.045</x:v>
      </x:c>
      <x:c r="G1066" t="n">
        <x:v>25</x:v>
      </x:c>
      <x:c r="H1066" t="n">
        <x:v>1</x:v>
      </x:c>
      <x:c r="I1066" t="n">
        <x:v>0.1000000000000001</x:v>
      </x:c>
      <x:c r="J1066" t="n">
        <x:v>2.929301697023655e-10</x:v>
      </x:c>
      <x:c r="K1066" t="str">
        <x:v>common_1v</x:v>
      </x:c>
      <x:c r="L1066" t="str">
        <x:v>common_vdd</x:v>
      </x:c>
      <x:c r="M1066" t="n">
        <x:v>1.1</x:v>
      </x:c>
      <x:c r="N1066" t="str">
        <x:v>simulation</x:v>
      </x:c>
      <x:c r="O1066" t="str">
        <x:v>ngspice</x:v>
      </x:c>
      <x:c r="P1066" t="str">
        <x:v>397141eb8a813045075ac2be3098d3b136ebaf4d597c08fca627922a75e443b7</x:v>
      </x:c>
      <x:c r="Q1066" t="str">
        <x:v>data/raw/ptm45_lp_vds_1v_raw.txt</x:v>
      </x:c>
    </x:row>
    <x:row r="1067">
      <x:c r="A1067" t="str">
        <x:v>PTM</x:v>
      </x:c>
      <x:c r="B1067" t="str">
        <x:v>NMOS</x:v>
      </x:c>
      <x:c r="C1067" t="n">
        <x:v>45</x:v>
      </x:c>
      <x:c r="D1067" t="str">
        <x:v>LP</x:v>
      </x:c>
      <x:c r="E1067" t="n">
        <x:v>1</x:v>
      </x:c>
      <x:c r="F1067" t="n">
        <x:v>0.045</x:v>
      </x:c>
      <x:c r="G1067" t="n">
        <x:v>25</x:v>
      </x:c>
      <x:c r="H1067" t="n">
        <x:v>1</x:v>
      </x:c>
      <x:c r="I1067" t="n">
        <x:v>0.1050000000000001</x:v>
      </x:c>
      <x:c r="J1067" t="n">
        <x:v>3.344556656964746e-10</x:v>
      </x:c>
      <x:c r="K1067" t="str">
        <x:v>common_1v</x:v>
      </x:c>
      <x:c r="L1067" t="str">
        <x:v>common_vdd</x:v>
      </x:c>
      <x:c r="M1067" t="n">
        <x:v>1.1</x:v>
      </x:c>
      <x:c r="N1067" t="str">
        <x:v>simulation</x:v>
      </x:c>
      <x:c r="O1067" t="str">
        <x:v>ngspice</x:v>
      </x:c>
      <x:c r="P1067" t="str">
        <x:v>397141eb8a813045075ac2be3098d3b136ebaf4d597c08fca627922a75e443b7</x:v>
      </x:c>
      <x:c r="Q1067" t="str">
        <x:v>data/raw/ptm45_lp_vds_1v_raw.txt</x:v>
      </x:c>
    </x:row>
    <x:row r="1068">
      <x:c r="A1068" t="str">
        <x:v>PTM</x:v>
      </x:c>
      <x:c r="B1068" t="str">
        <x:v>NMOS</x:v>
      </x:c>
      <x:c r="C1068" t="n">
        <x:v>45</x:v>
      </x:c>
      <x:c r="D1068" t="str">
        <x:v>LP</x:v>
      </x:c>
      <x:c r="E1068" t="n">
        <x:v>1</x:v>
      </x:c>
      <x:c r="F1068" t="n">
        <x:v>0.045</x:v>
      </x:c>
      <x:c r="G1068" t="n">
        <x:v>25</x:v>
      </x:c>
      <x:c r="H1068" t="n">
        <x:v>1</x:v>
      </x:c>
      <x:c r="I1068" t="n">
        <x:v>0.1100000000000001</x:v>
      </x:c>
      <x:c r="J1068" t="n">
        <x:v>3.818726640073642e-10</x:v>
      </x:c>
      <x:c r="K1068" t="str">
        <x:v>common_1v</x:v>
      </x:c>
      <x:c r="L1068" t="str">
        <x:v>common_vdd</x:v>
      </x:c>
      <x:c r="M1068" t="n">
        <x:v>1.1</x:v>
      </x:c>
      <x:c r="N1068" t="str">
        <x:v>simulation</x:v>
      </x:c>
      <x:c r="O1068" t="str">
        <x:v>ngspice</x:v>
      </x:c>
      <x:c r="P1068" t="str">
        <x:v>397141eb8a813045075ac2be3098d3b136ebaf4d597c08fca627922a75e443b7</x:v>
      </x:c>
      <x:c r="Q1068" t="str">
        <x:v>data/raw/ptm45_lp_vds_1v_raw.txt</x:v>
      </x:c>
    </x:row>
    <x:row r="1069">
      <x:c r="A1069" t="str">
        <x:v>PTM</x:v>
      </x:c>
      <x:c r="B1069" t="str">
        <x:v>NMOS</x:v>
      </x:c>
      <x:c r="C1069" t="n">
        <x:v>45</x:v>
      </x:c>
      <x:c r="D1069" t="str">
        <x:v>LP</x:v>
      </x:c>
      <x:c r="E1069" t="n">
        <x:v>1</x:v>
      </x:c>
      <x:c r="F1069" t="n">
        <x:v>0.045</x:v>
      </x:c>
      <x:c r="G1069" t="n">
        <x:v>25</x:v>
      </x:c>
      <x:c r="H1069" t="n">
        <x:v>1</x:v>
      </x:c>
      <x:c r="I1069" t="n">
        <x:v>0.1150000000000001</x:v>
      </x:c>
      <x:c r="J1069" t="n">
        <x:v>4.360136669934508e-10</x:v>
      </x:c>
      <x:c r="K1069" t="str">
        <x:v>common_1v</x:v>
      </x:c>
      <x:c r="L1069" t="str">
        <x:v>common_vdd</x:v>
      </x:c>
      <x:c r="M1069" t="n">
        <x:v>1.1</x:v>
      </x:c>
      <x:c r="N1069" t="str">
        <x:v>simulation</x:v>
      </x:c>
      <x:c r="O1069" t="str">
        <x:v>ngspice</x:v>
      </x:c>
      <x:c r="P1069" t="str">
        <x:v>397141eb8a813045075ac2be3098d3b136ebaf4d597c08fca627922a75e443b7</x:v>
      </x:c>
      <x:c r="Q1069" t="str">
        <x:v>data/raw/ptm45_lp_vds_1v_raw.txt</x:v>
      </x:c>
    </x:row>
    <x:row r="1070">
      <x:c r="A1070" t="str">
        <x:v>PTM</x:v>
      </x:c>
      <x:c r="B1070" t="str">
        <x:v>NMOS</x:v>
      </x:c>
      <x:c r="C1070" t="n">
        <x:v>45</x:v>
      </x:c>
      <x:c r="D1070" t="str">
        <x:v>LP</x:v>
      </x:c>
      <x:c r="E1070" t="n">
        <x:v>1</x:v>
      </x:c>
      <x:c r="F1070" t="n">
        <x:v>0.045</x:v>
      </x:c>
      <x:c r="G1070" t="n">
        <x:v>25</x:v>
      </x:c>
      <x:c r="H1070" t="n">
        <x:v>1</x:v>
      </x:c>
      <x:c r="I1070" t="n">
        <x:v>0.1200000000000001</x:v>
      </x:c>
      <x:c r="J1070" t="n">
        <x:v>4.978280853064775e-10</x:v>
      </x:c>
      <x:c r="K1070" t="str">
        <x:v>common_1v</x:v>
      </x:c>
      <x:c r="L1070" t="str">
        <x:v>common_vdd</x:v>
      </x:c>
      <x:c r="M1070" t="n">
        <x:v>1.1</x:v>
      </x:c>
      <x:c r="N1070" t="str">
        <x:v>simulation</x:v>
      </x:c>
      <x:c r="O1070" t="str">
        <x:v>ngspice</x:v>
      </x:c>
      <x:c r="P1070" t="str">
        <x:v>397141eb8a813045075ac2be3098d3b136ebaf4d597c08fca627922a75e443b7</x:v>
      </x:c>
      <x:c r="Q1070" t="str">
        <x:v>data/raw/ptm45_lp_vds_1v_raw.txt</x:v>
      </x:c>
    </x:row>
    <x:row r="1071">
      <x:c r="A1071" t="str">
        <x:v>PTM</x:v>
      </x:c>
      <x:c r="B1071" t="str">
        <x:v>NMOS</x:v>
      </x:c>
      <x:c r="C1071" t="n">
        <x:v>45</x:v>
      </x:c>
      <x:c r="D1071" t="str">
        <x:v>LP</x:v>
      </x:c>
      <x:c r="E1071" t="n">
        <x:v>1</x:v>
      </x:c>
      <x:c r="F1071" t="n">
        <x:v>0.045</x:v>
      </x:c>
      <x:c r="G1071" t="n">
        <x:v>25</x:v>
      </x:c>
      <x:c r="H1071" t="n">
        <x:v>1</x:v>
      </x:c>
      <x:c r="I1071" t="n">
        <x:v>0.1250000000000001</x:v>
      </x:c>
      <x:c r="J1071" t="n">
        <x:v>5.683984980839916e-10</x:v>
      </x:c>
      <x:c r="K1071" t="str">
        <x:v>common_1v</x:v>
      </x:c>
      <x:c r="L1071" t="str">
        <x:v>common_vdd</x:v>
      </x:c>
      <x:c r="M1071" t="n">
        <x:v>1.1</x:v>
      </x:c>
      <x:c r="N1071" t="str">
        <x:v>simulation</x:v>
      </x:c>
      <x:c r="O1071" t="str">
        <x:v>ngspice</x:v>
      </x:c>
      <x:c r="P1071" t="str">
        <x:v>397141eb8a813045075ac2be3098d3b136ebaf4d597c08fca627922a75e443b7</x:v>
      </x:c>
      <x:c r="Q1071" t="str">
        <x:v>data/raw/ptm45_lp_vds_1v_raw.txt</x:v>
      </x:c>
    </x:row>
    <x:row r="1072">
      <x:c r="A1072" t="str">
        <x:v>PTM</x:v>
      </x:c>
      <x:c r="B1072" t="str">
        <x:v>NMOS</x:v>
      </x:c>
      <x:c r="C1072" t="n">
        <x:v>45</x:v>
      </x:c>
      <x:c r="D1072" t="str">
        <x:v>LP</x:v>
      </x:c>
      <x:c r="E1072" t="n">
        <x:v>1</x:v>
      </x:c>
      <x:c r="F1072" t="n">
        <x:v>0.045</x:v>
      </x:c>
      <x:c r="G1072" t="n">
        <x:v>25</x:v>
      </x:c>
      <x:c r="H1072" t="n">
        <x:v>1</x:v>
      </x:c>
      <x:c r="I1072" t="n">
        <x:v>0.1300000000000001</x:v>
      </x:c>
      <x:c r="J1072" t="n">
        <x:v>6.489591409580661e-10</x:v>
      </x:c>
      <x:c r="K1072" t="str">
        <x:v>common_1v</x:v>
      </x:c>
      <x:c r="L1072" t="str">
        <x:v>common_vdd</x:v>
      </x:c>
      <x:c r="M1072" t="n">
        <x:v>1.1</x:v>
      </x:c>
      <x:c r="N1072" t="str">
        <x:v>simulation</x:v>
      </x:c>
      <x:c r="O1072" t="str">
        <x:v>ngspice</x:v>
      </x:c>
      <x:c r="P1072" t="str">
        <x:v>397141eb8a813045075ac2be3098d3b136ebaf4d597c08fca627922a75e443b7</x:v>
      </x:c>
      <x:c r="Q1072" t="str">
        <x:v>data/raw/ptm45_lp_vds_1v_raw.txt</x:v>
      </x:c>
    </x:row>
    <x:row r="1073">
      <x:c r="A1073" t="str">
        <x:v>PTM</x:v>
      </x:c>
      <x:c r="B1073" t="str">
        <x:v>NMOS</x:v>
      </x:c>
      <x:c r="C1073" t="n">
        <x:v>45</x:v>
      </x:c>
      <x:c r="D1073" t="str">
        <x:v>LP</x:v>
      </x:c>
      <x:c r="E1073" t="n">
        <x:v>1</x:v>
      </x:c>
      <x:c r="F1073" t="n">
        <x:v>0.045</x:v>
      </x:c>
      <x:c r="G1073" t="n">
        <x:v>25</x:v>
      </x:c>
      <x:c r="H1073" t="n">
        <x:v>1</x:v>
      </x:c>
      <x:c r="I1073" t="n">
        <x:v>0.1350000000000001</x:v>
      </x:c>
      <x:c r="J1073" t="n">
        <x:v>7.409169199265799e-10</x:v>
      </x:c>
      <x:c r="K1073" t="str">
        <x:v>common_1v</x:v>
      </x:c>
      <x:c r="L1073" t="str">
        <x:v>common_vdd</x:v>
      </x:c>
      <x:c r="M1073" t="n">
        <x:v>1.1</x:v>
      </x:c>
      <x:c r="N1073" t="str">
        <x:v>simulation</x:v>
      </x:c>
      <x:c r="O1073" t="str">
        <x:v>ngspice</x:v>
      </x:c>
      <x:c r="P1073" t="str">
        <x:v>397141eb8a813045075ac2be3098d3b136ebaf4d597c08fca627922a75e443b7</x:v>
      </x:c>
      <x:c r="Q1073" t="str">
        <x:v>data/raw/ptm45_lp_vds_1v_raw.txt</x:v>
      </x:c>
    </x:row>
    <x:row r="1074">
      <x:c r="A1074" t="str">
        <x:v>PTM</x:v>
      </x:c>
      <x:c r="B1074" t="str">
        <x:v>NMOS</x:v>
      </x:c>
      <x:c r="C1074" t="n">
        <x:v>45</x:v>
      </x:c>
      <x:c r="D1074" t="str">
        <x:v>LP</x:v>
      </x:c>
      <x:c r="E1074" t="n">
        <x:v>1</x:v>
      </x:c>
      <x:c r="F1074" t="n">
        <x:v>0.045</x:v>
      </x:c>
      <x:c r="G1074" t="n">
        <x:v>25</x:v>
      </x:c>
      <x:c r="H1074" t="n">
        <x:v>1</x:v>
      </x:c>
      <x:c r="I1074" t="n">
        <x:v>0.1400000000000002</x:v>
      </x:c>
      <x:c r="J1074" t="n">
        <x:v>8.458752874830024e-10</x:v>
      </x:c>
      <x:c r="K1074" t="str">
        <x:v>common_1v</x:v>
      </x:c>
      <x:c r="L1074" t="str">
        <x:v>common_vdd</x:v>
      </x:c>
      <x:c r="M1074" t="n">
        <x:v>1.1</x:v>
      </x:c>
      <x:c r="N1074" t="str">
        <x:v>simulation</x:v>
      </x:c>
      <x:c r="O1074" t="str">
        <x:v>ngspice</x:v>
      </x:c>
      <x:c r="P1074" t="str">
        <x:v>397141eb8a813045075ac2be3098d3b136ebaf4d597c08fca627922a75e443b7</x:v>
      </x:c>
      <x:c r="Q1074" t="str">
        <x:v>data/raw/ptm45_lp_vds_1v_raw.txt</x:v>
      </x:c>
    </x:row>
    <x:row r="1075">
      <x:c r="A1075" t="str">
        <x:v>PTM</x:v>
      </x:c>
      <x:c r="B1075" t="str">
        <x:v>NMOS</x:v>
      </x:c>
      <x:c r="C1075" t="n">
        <x:v>45</x:v>
      </x:c>
      <x:c r="D1075" t="str">
        <x:v>LP</x:v>
      </x:c>
      <x:c r="E1075" t="n">
        <x:v>1</x:v>
      </x:c>
      <x:c r="F1075" t="n">
        <x:v>0.045</x:v>
      </x:c>
      <x:c r="G1075" t="n">
        <x:v>25</x:v>
      </x:c>
      <x:c r="H1075" t="n">
        <x:v>1</x:v>
      </x:c>
      <x:c r="I1075" t="n">
        <x:v>0.1450000000000002</x:v>
      </x:c>
      <x:c r="J1075" t="n">
        <x:v>9.656613603731478e-10</x:v>
      </x:c>
      <x:c r="K1075" t="str">
        <x:v>common_1v</x:v>
      </x:c>
      <x:c r="L1075" t="str">
        <x:v>common_vdd</x:v>
      </x:c>
      <x:c r="M1075" t="n">
        <x:v>1.1</x:v>
      </x:c>
      <x:c r="N1075" t="str">
        <x:v>simulation</x:v>
      </x:c>
      <x:c r="O1075" t="str">
        <x:v>ngspice</x:v>
      </x:c>
      <x:c r="P1075" t="str">
        <x:v>397141eb8a813045075ac2be3098d3b136ebaf4d597c08fca627922a75e443b7</x:v>
      </x:c>
      <x:c r="Q1075" t="str">
        <x:v>data/raw/ptm45_lp_vds_1v_raw.txt</x:v>
      </x:c>
    </x:row>
    <x:row r="1076">
      <x:c r="A1076" t="str">
        <x:v>PTM</x:v>
      </x:c>
      <x:c r="B1076" t="str">
        <x:v>NMOS</x:v>
      </x:c>
      <x:c r="C1076" t="n">
        <x:v>45</x:v>
      </x:c>
      <x:c r="D1076" t="str">
        <x:v>LP</x:v>
      </x:c>
      <x:c r="E1076" t="n">
        <x:v>1</x:v>
      </x:c>
      <x:c r="F1076" t="n">
        <x:v>0.045</x:v>
      </x:c>
      <x:c r="G1076" t="n">
        <x:v>25</x:v>
      </x:c>
      <x:c r="H1076" t="n">
        <x:v>1</x:v>
      </x:c>
      <x:c r="I1076" t="n">
        <x:v>0.1500000000000002</x:v>
      </x:c>
      <x:c r="J1076" t="n">
        <x:v>1.102356706418941e-9</x:v>
      </x:c>
      <x:c r="K1076" t="str">
        <x:v>common_1v</x:v>
      </x:c>
      <x:c r="L1076" t="str">
        <x:v>common_vdd</x:v>
      </x:c>
      <x:c r="M1076" t="n">
        <x:v>1.1</x:v>
      </x:c>
      <x:c r="N1076" t="str">
        <x:v>simulation</x:v>
      </x:c>
      <x:c r="O1076" t="str">
        <x:v>ngspice</x:v>
      </x:c>
      <x:c r="P1076" t="str">
        <x:v>397141eb8a813045075ac2be3098d3b136ebaf4d597c08fca627922a75e443b7</x:v>
      </x:c>
      <x:c r="Q1076" t="str">
        <x:v>data/raw/ptm45_lp_vds_1v_raw.txt</x:v>
      </x:c>
    </x:row>
    <x:row r="1077">
      <x:c r="A1077" t="str">
        <x:v>PTM</x:v>
      </x:c>
      <x:c r="B1077" t="str">
        <x:v>NMOS</x:v>
      </x:c>
      <x:c r="C1077" t="n">
        <x:v>45</x:v>
      </x:c>
      <x:c r="D1077" t="str">
        <x:v>LP</x:v>
      </x:c>
      <x:c r="E1077" t="n">
        <x:v>1</x:v>
      </x:c>
      <x:c r="F1077" t="n">
        <x:v>0.045</x:v>
      </x:c>
      <x:c r="G1077" t="n">
        <x:v>25</x:v>
      </x:c>
      <x:c r="H1077" t="n">
        <x:v>1</x:v>
      </x:c>
      <x:c r="I1077" t="n">
        <x:v>0.1550000000000002</x:v>
      </x:c>
      <x:c r="J1077" t="n">
        <x:v>1.258332281556775e-9</x:v>
      </x:c>
      <x:c r="K1077" t="str">
        <x:v>common_1v</x:v>
      </x:c>
      <x:c r="L1077" t="str">
        <x:v>common_vdd</x:v>
      </x:c>
      <x:c r="M1077" t="n">
        <x:v>1.1</x:v>
      </x:c>
      <x:c r="N1077" t="str">
        <x:v>simulation</x:v>
      </x:c>
      <x:c r="O1077" t="str">
        <x:v>ngspice</x:v>
      </x:c>
      <x:c r="P1077" t="str">
        <x:v>397141eb8a813045075ac2be3098d3b136ebaf4d597c08fca627922a75e443b7</x:v>
      </x:c>
      <x:c r="Q1077" t="str">
        <x:v>data/raw/ptm45_lp_vds_1v_raw.txt</x:v>
      </x:c>
    </x:row>
    <x:row r="1078">
      <x:c r="A1078" t="str">
        <x:v>PTM</x:v>
      </x:c>
      <x:c r="B1078" t="str">
        <x:v>NMOS</x:v>
      </x:c>
      <x:c r="C1078" t="n">
        <x:v>45</x:v>
      </x:c>
      <x:c r="D1078" t="str">
        <x:v>LP</x:v>
      </x:c>
      <x:c r="E1078" t="n">
        <x:v>1</x:v>
      </x:c>
      <x:c r="F1078" t="n">
        <x:v>0.045</x:v>
      </x:c>
      <x:c r="G1078" t="n">
        <x:v>25</x:v>
      </x:c>
      <x:c r="H1078" t="n">
        <x:v>1</x:v>
      </x:c>
      <x:c r="I1078" t="n">
        <x:v>0.1600000000000002</x:v>
      </x:c>
      <x:c r="J1078" t="n">
        <x:v>1.436288058139643e-9</x:v>
      </x:c>
      <x:c r="K1078" t="str">
        <x:v>common_1v</x:v>
      </x:c>
      <x:c r="L1078" t="str">
        <x:v>common_vdd</x:v>
      </x:c>
      <x:c r="M1078" t="n">
        <x:v>1.1</x:v>
      </x:c>
      <x:c r="N1078" t="str">
        <x:v>simulation</x:v>
      </x:c>
      <x:c r="O1078" t="str">
        <x:v>ngspice</x:v>
      </x:c>
      <x:c r="P1078" t="str">
        <x:v>397141eb8a813045075ac2be3098d3b136ebaf4d597c08fca627922a75e443b7</x:v>
      </x:c>
      <x:c r="Q1078" t="str">
        <x:v>data/raw/ptm45_lp_vds_1v_raw.txt</x:v>
      </x:c>
    </x:row>
    <x:row r="1079">
      <x:c r="A1079" t="str">
        <x:v>PTM</x:v>
      </x:c>
      <x:c r="B1079" t="str">
        <x:v>NMOS</x:v>
      </x:c>
      <x:c r="C1079" t="n">
        <x:v>45</x:v>
      </x:c>
      <x:c r="D1079" t="str">
        <x:v>LP</x:v>
      </x:c>
      <x:c r="E1079" t="n">
        <x:v>1</x:v>
      </x:c>
      <x:c r="F1079" t="n">
        <x:v>0.045</x:v>
      </x:c>
      <x:c r="G1079" t="n">
        <x:v>25</x:v>
      </x:c>
      <x:c r="H1079" t="n">
        <x:v>1</x:v>
      </x:c>
      <x:c r="I1079" t="n">
        <x:v>0.1650000000000002</x:v>
      </x:c>
      <x:c r="J1079" t="n">
        <x:v>1.639297952254774e-9</x:v>
      </x:c>
      <x:c r="K1079" t="str">
        <x:v>common_1v</x:v>
      </x:c>
      <x:c r="L1079" t="str">
        <x:v>common_vdd</x:v>
      </x:c>
      <x:c r="M1079" t="n">
        <x:v>1.1</x:v>
      </x:c>
      <x:c r="N1079" t="str">
        <x:v>simulation</x:v>
      </x:c>
      <x:c r="O1079" t="str">
        <x:v>ngspice</x:v>
      </x:c>
      <x:c r="P1079" t="str">
        <x:v>397141eb8a813045075ac2be3098d3b136ebaf4d597c08fca627922a75e443b7</x:v>
      </x:c>
      <x:c r="Q1079" t="str">
        <x:v>data/raw/ptm45_lp_vds_1v_raw.txt</x:v>
      </x:c>
    </x:row>
    <x:row r="1080">
      <x:c r="A1080" t="str">
        <x:v>PTM</x:v>
      </x:c>
      <x:c r="B1080" t="str">
        <x:v>NMOS</x:v>
      </x:c>
      <x:c r="C1080" t="n">
        <x:v>45</x:v>
      </x:c>
      <x:c r="D1080" t="str">
        <x:v>LP</x:v>
      </x:c>
      <x:c r="E1080" t="n">
        <x:v>1</x:v>
      </x:c>
      <x:c r="F1080" t="n">
        <x:v>0.045</x:v>
      </x:c>
      <x:c r="G1080" t="n">
        <x:v>25</x:v>
      </x:c>
      <x:c r="H1080" t="n">
        <x:v>1</x:v>
      </x:c>
      <x:c r="I1080" t="n">
        <x:v>0.1700000000000002</x:v>
      </x:c>
      <x:c r="J1080" t="n">
        <x:v>1.870860731940521e-9</x:v>
      </x:c>
      <x:c r="K1080" t="str">
        <x:v>common_1v</x:v>
      </x:c>
      <x:c r="L1080" t="str">
        <x:v>common_vdd</x:v>
      </x:c>
      <x:c r="M1080" t="n">
        <x:v>1.1</x:v>
      </x:c>
      <x:c r="N1080" t="str">
        <x:v>simulation</x:v>
      </x:c>
      <x:c r="O1080" t="str">
        <x:v>ngspice</x:v>
      </x:c>
      <x:c r="P1080" t="str">
        <x:v>397141eb8a813045075ac2be3098d3b136ebaf4d597c08fca627922a75e443b7</x:v>
      </x:c>
      <x:c r="Q1080" t="str">
        <x:v>data/raw/ptm45_lp_vds_1v_raw.txt</x:v>
      </x:c>
    </x:row>
    <x:row r="1081">
      <x:c r="A1081" t="str">
        <x:v>PTM</x:v>
      </x:c>
      <x:c r="B1081" t="str">
        <x:v>NMOS</x:v>
      </x:c>
      <x:c r="C1081" t="n">
        <x:v>45</x:v>
      </x:c>
      <x:c r="D1081" t="str">
        <x:v>LP</x:v>
      </x:c>
      <x:c r="E1081" t="n">
        <x:v>1</x:v>
      </x:c>
      <x:c r="F1081" t="n">
        <x:v>0.045</x:v>
      </x:c>
      <x:c r="G1081" t="n">
        <x:v>25</x:v>
      </x:c>
      <x:c r="H1081" t="n">
        <x:v>1</x:v>
      </x:c>
      <x:c r="I1081" t="n">
        <x:v>0.1750000000000002</x:v>
      </x:c>
      <x:c r="J1081" t="n">
        <x:v>2.134957670422552e-9</x:v>
      </x:c>
      <x:c r="K1081" t="str">
        <x:v>common_1v</x:v>
      </x:c>
      <x:c r="L1081" t="str">
        <x:v>common_vdd</x:v>
      </x:c>
      <x:c r="M1081" t="n">
        <x:v>1.1</x:v>
      </x:c>
      <x:c r="N1081" t="str">
        <x:v>simulation</x:v>
      </x:c>
      <x:c r="O1081" t="str">
        <x:v>ngspice</x:v>
      </x:c>
      <x:c r="P1081" t="str">
        <x:v>397141eb8a813045075ac2be3098d3b136ebaf4d597c08fca627922a75e443b7</x:v>
      </x:c>
      <x:c r="Q1081" t="str">
        <x:v>data/raw/ptm45_lp_vds_1v_raw.txt</x:v>
      </x:c>
    </x:row>
    <x:row r="1082">
      <x:c r="A1082" t="str">
        <x:v>PTM</x:v>
      </x:c>
      <x:c r="B1082" t="str">
        <x:v>NMOS</x:v>
      </x:c>
      <x:c r="C1082" t="n">
        <x:v>45</x:v>
      </x:c>
      <x:c r="D1082" t="str">
        <x:v>LP</x:v>
      </x:c>
      <x:c r="E1082" t="n">
        <x:v>1</x:v>
      </x:c>
      <x:c r="F1082" t="n">
        <x:v>0.045</x:v>
      </x:c>
      <x:c r="G1082" t="n">
        <x:v>25</x:v>
      </x:c>
      <x:c r="H1082" t="n">
        <x:v>1</x:v>
      </x:c>
      <x:c r="I1082" t="n">
        <x:v>0.1800000000000002</x:v>
      </x:c>
      <x:c r="J1082" t="n">
        <x:v>2.436117799521789e-9</x:v>
      </x:c>
      <x:c r="K1082" t="str">
        <x:v>common_1v</x:v>
      </x:c>
      <x:c r="L1082" t="str">
        <x:v>common_vdd</x:v>
      </x:c>
      <x:c r="M1082" t="n">
        <x:v>1.1</x:v>
      </x:c>
      <x:c r="N1082" t="str">
        <x:v>simulation</x:v>
      </x:c>
      <x:c r="O1082" t="str">
        <x:v>ngspice</x:v>
      </x:c>
      <x:c r="P1082" t="str">
        <x:v>397141eb8a813045075ac2be3098d3b136ebaf4d597c08fca627922a75e443b7</x:v>
      </x:c>
      <x:c r="Q1082" t="str">
        <x:v>data/raw/ptm45_lp_vds_1v_raw.txt</x:v>
      </x:c>
    </x:row>
    <x:row r="1083">
      <x:c r="A1083" t="str">
        <x:v>PTM</x:v>
      </x:c>
      <x:c r="B1083" t="str">
        <x:v>NMOS</x:v>
      </x:c>
      <x:c r="C1083" t="n">
        <x:v>45</x:v>
      </x:c>
      <x:c r="D1083" t="str">
        <x:v>LP</x:v>
      </x:c>
      <x:c r="E1083" t="n">
        <x:v>1</x:v>
      </x:c>
      <x:c r="F1083" t="n">
        <x:v>0.045</x:v>
      </x:c>
      <x:c r="G1083" t="n">
        <x:v>25</x:v>
      </x:c>
      <x:c r="H1083" t="n">
        <x:v>1</x:v>
      </x:c>
      <x:c r="I1083" t="n">
        <x:v>0.1850000000000002</x:v>
      </x:c>
      <x:c r="J1083" t="n">
        <x:v>2.77949171892227e-9</x:v>
      </x:c>
      <x:c r="K1083" t="str">
        <x:v>common_1v</x:v>
      </x:c>
      <x:c r="L1083" t="str">
        <x:v>common_vdd</x:v>
      </x:c>
      <x:c r="M1083" t="n">
        <x:v>1.1</x:v>
      </x:c>
      <x:c r="N1083" t="str">
        <x:v>simulation</x:v>
      </x:c>
      <x:c r="O1083" t="str">
        <x:v>ngspice</x:v>
      </x:c>
      <x:c r="P1083" t="str">
        <x:v>397141eb8a813045075ac2be3098d3b136ebaf4d597c08fca627922a75e443b7</x:v>
      </x:c>
      <x:c r="Q1083" t="str">
        <x:v>data/raw/ptm45_lp_vds_1v_raw.txt</x:v>
      </x:c>
    </x:row>
    <x:row r="1084">
      <x:c r="A1084" t="str">
        <x:v>PTM</x:v>
      </x:c>
      <x:c r="B1084" t="str">
        <x:v>NMOS</x:v>
      </x:c>
      <x:c r="C1084" t="n">
        <x:v>45</x:v>
      </x:c>
      <x:c r="D1084" t="str">
        <x:v>LP</x:v>
      </x:c>
      <x:c r="E1084" t="n">
        <x:v>1</x:v>
      </x:c>
      <x:c r="F1084" t="n">
        <x:v>0.045</x:v>
      </x:c>
      <x:c r="G1084" t="n">
        <x:v>25</x:v>
      </x:c>
      <x:c r="H1084" t="n">
        <x:v>1</x:v>
      </x:c>
      <x:c r="I1084" t="n">
        <x:v>0.1900000000000002</x:v>
      </x:c>
      <x:c r="J1084" t="n">
        <x:v>3.170935027767185e-9</x:v>
      </x:c>
      <x:c r="K1084" t="str">
        <x:v>common_1v</x:v>
      </x:c>
      <x:c r="L1084" t="str">
        <x:v>common_vdd</x:v>
      </x:c>
      <x:c r="M1084" t="n">
        <x:v>1.1</x:v>
      </x:c>
      <x:c r="N1084" t="str">
        <x:v>simulation</x:v>
      </x:c>
      <x:c r="O1084" t="str">
        <x:v>ngspice</x:v>
      </x:c>
      <x:c r="P1084" t="str">
        <x:v>397141eb8a813045075ac2be3098d3b136ebaf4d597c08fca627922a75e443b7</x:v>
      </x:c>
      <x:c r="Q1084" t="str">
        <x:v>data/raw/ptm45_lp_vds_1v_raw.txt</x:v>
      </x:c>
    </x:row>
    <x:row r="1085">
      <x:c r="A1085" t="str">
        <x:v>PTM</x:v>
      </x:c>
      <x:c r="B1085" t="str">
        <x:v>NMOS</x:v>
      </x:c>
      <x:c r="C1085" t="n">
        <x:v>45</x:v>
      </x:c>
      <x:c r="D1085" t="str">
        <x:v>LP</x:v>
      </x:c>
      <x:c r="E1085" t="n">
        <x:v>1</x:v>
      </x:c>
      <x:c r="F1085" t="n">
        <x:v>0.045</x:v>
      </x:c>
      <x:c r="G1085" t="n">
        <x:v>25</x:v>
      </x:c>
      <x:c r="H1085" t="n">
        <x:v>1</x:v>
      </x:c>
      <x:c r="I1085" t="n">
        <x:v>0.1950000000000002</x:v>
      </x:c>
      <x:c r="J1085" t="n">
        <x:v>3.617102566781934e-9</x:v>
      </x:c>
      <x:c r="K1085" t="str">
        <x:v>common_1v</x:v>
      </x:c>
      <x:c r="L1085" t="str">
        <x:v>common_vdd</x:v>
      </x:c>
      <x:c r="M1085" t="n">
        <x:v>1.1</x:v>
      </x:c>
      <x:c r="N1085" t="str">
        <x:v>simulation</x:v>
      </x:c>
      <x:c r="O1085" t="str">
        <x:v>ngspice</x:v>
      </x:c>
      <x:c r="P1085" t="str">
        <x:v>397141eb8a813045075ac2be3098d3b136ebaf4d597c08fca627922a75e443b7</x:v>
      </x:c>
      <x:c r="Q1085" t="str">
        <x:v>data/raw/ptm45_lp_vds_1v_raw.txt</x:v>
      </x:c>
    </x:row>
    <x:row r="1086">
      <x:c r="A1086" t="str">
        <x:v>PTM</x:v>
      </x:c>
      <x:c r="B1086" t="str">
        <x:v>NMOS</x:v>
      </x:c>
      <x:c r="C1086" t="n">
        <x:v>45</x:v>
      </x:c>
      <x:c r="D1086" t="str">
        <x:v>LP</x:v>
      </x:c>
      <x:c r="E1086" t="n">
        <x:v>1</x:v>
      </x:c>
      <x:c r="F1086" t="n">
        <x:v>0.045</x:v>
      </x:c>
      <x:c r="G1086" t="n">
        <x:v>25</x:v>
      </x:c>
      <x:c r="H1086" t="n">
        <x:v>1</x:v>
      </x:c>
      <x:c r="I1086" t="n">
        <x:v>0.2000000000000002</x:v>
      </x:c>
      <x:c r="J1086" t="n">
        <x:v>4.125554792534778e-9</x:v>
      </x:c>
      <x:c r="K1086" t="str">
        <x:v>common_1v</x:v>
      </x:c>
      <x:c r="L1086" t="str">
        <x:v>common_vdd</x:v>
      </x:c>
      <x:c r="M1086" t="n">
        <x:v>1.1</x:v>
      </x:c>
      <x:c r="N1086" t="str">
        <x:v>simulation</x:v>
      </x:c>
      <x:c r="O1086" t="str">
        <x:v>ngspice</x:v>
      </x:c>
      <x:c r="P1086" t="str">
        <x:v>397141eb8a813045075ac2be3098d3b136ebaf4d597c08fca627922a75e443b7</x:v>
      </x:c>
      <x:c r="Q1086" t="str">
        <x:v>data/raw/ptm45_lp_vds_1v_raw.txt</x:v>
      </x:c>
    </x:row>
    <x:row r="1087">
      <x:c r="A1087" t="str">
        <x:v>PTM</x:v>
      </x:c>
      <x:c r="B1087" t="str">
        <x:v>NMOS</x:v>
      </x:c>
      <x:c r="C1087" t="n">
        <x:v>45</x:v>
      </x:c>
      <x:c r="D1087" t="str">
        <x:v>LP</x:v>
      </x:c>
      <x:c r="E1087" t="n">
        <x:v>1</x:v>
      </x:c>
      <x:c r="F1087" t="n">
        <x:v>0.045</x:v>
      </x:c>
      <x:c r="G1087" t="n">
        <x:v>25</x:v>
      </x:c>
      <x:c r="H1087" t="n">
        <x:v>1</x:v>
      </x:c>
      <x:c r="I1087" t="n">
        <x:v>0.2050000000000002</x:v>
      </x:c>
      <x:c r="J1087" t="n">
        <x:v>4.704877751213881e-9</x:v>
      </x:c>
      <x:c r="K1087" t="str">
        <x:v>common_1v</x:v>
      </x:c>
      <x:c r="L1087" t="str">
        <x:v>common_vdd</x:v>
      </x:c>
      <x:c r="M1087" t="n">
        <x:v>1.1</x:v>
      </x:c>
      <x:c r="N1087" t="str">
        <x:v>simulation</x:v>
      </x:c>
      <x:c r="O1087" t="str">
        <x:v>ngspice</x:v>
      </x:c>
      <x:c r="P1087" t="str">
        <x:v>397141eb8a813045075ac2be3098d3b136ebaf4d597c08fca627922a75e443b7</x:v>
      </x:c>
      <x:c r="Q1087" t="str">
        <x:v>data/raw/ptm45_lp_vds_1v_raw.txt</x:v>
      </x:c>
    </x:row>
    <x:row r="1088">
      <x:c r="A1088" t="str">
        <x:v>PTM</x:v>
      </x:c>
      <x:c r="B1088" t="str">
        <x:v>NMOS</x:v>
      </x:c>
      <x:c r="C1088" t="n">
        <x:v>45</x:v>
      </x:c>
      <x:c r="D1088" t="str">
        <x:v>LP</x:v>
      </x:c>
      <x:c r="E1088" t="n">
        <x:v>1</x:v>
      </x:c>
      <x:c r="F1088" t="n">
        <x:v>0.045</x:v>
      </x:c>
      <x:c r="G1088" t="n">
        <x:v>25</x:v>
      </x:c>
      <x:c r="H1088" t="n">
        <x:v>1</x:v>
      </x:c>
      <x:c r="I1088" t="n">
        <x:v>0.2100000000000002</x:v>
      </x:c>
      <x:c r="J1088" t="n">
        <x:v>5.364818278058858e-9</x:v>
      </x:c>
      <x:c r="K1088" t="str">
        <x:v>common_1v</x:v>
      </x:c>
      <x:c r="L1088" t="str">
        <x:v>common_vdd</x:v>
      </x:c>
      <x:c r="M1088" t="n">
        <x:v>1.1</x:v>
      </x:c>
      <x:c r="N1088" t="str">
        <x:v>simulation</x:v>
      </x:c>
      <x:c r="O1088" t="str">
        <x:v>ngspice</x:v>
      </x:c>
      <x:c r="P1088" t="str">
        <x:v>397141eb8a813045075ac2be3098d3b136ebaf4d597c08fca627922a75e443b7</x:v>
      </x:c>
      <x:c r="Q1088" t="str">
        <x:v>data/raw/ptm45_lp_vds_1v_raw.txt</x:v>
      </x:c>
    </x:row>
    <x:row r="1089">
      <x:c r="A1089" t="str">
        <x:v>PTM</x:v>
      </x:c>
      <x:c r="B1089" t="str">
        <x:v>NMOS</x:v>
      </x:c>
      <x:c r="C1089" t="n">
        <x:v>45</x:v>
      </x:c>
      <x:c r="D1089" t="str">
        <x:v>LP</x:v>
      </x:c>
      <x:c r="E1089" t="n">
        <x:v>1</x:v>
      </x:c>
      <x:c r="F1089" t="n">
        <x:v>0.045</x:v>
      </x:c>
      <x:c r="G1089" t="n">
        <x:v>25</x:v>
      </x:c>
      <x:c r="H1089" t="n">
        <x:v>1</x:v>
      </x:c>
      <x:c r="I1089" t="n">
        <x:v>0.2150000000000002</x:v>
      </x:c>
      <x:c r="J1089" t="n">
        <x:v>6.116436220906963e-9</x:v>
      </x:c>
      <x:c r="K1089" t="str">
        <x:v>common_1v</x:v>
      </x:c>
      <x:c r="L1089" t="str">
        <x:v>common_vdd</x:v>
      </x:c>
      <x:c r="M1089" t="n">
        <x:v>1.1</x:v>
      </x:c>
      <x:c r="N1089" t="str">
        <x:v>simulation</x:v>
      </x:c>
      <x:c r="O1089" t="str">
        <x:v>ngspice</x:v>
      </x:c>
      <x:c r="P1089" t="str">
        <x:v>397141eb8a813045075ac2be3098d3b136ebaf4d597c08fca627922a75e443b7</x:v>
      </x:c>
      <x:c r="Q1089" t="str">
        <x:v>data/raw/ptm45_lp_vds_1v_raw.txt</x:v>
      </x:c>
    </x:row>
    <x:row r="1090">
      <x:c r="A1090" t="str">
        <x:v>PTM</x:v>
      </x:c>
      <x:c r="B1090" t="str">
        <x:v>NMOS</x:v>
      </x:c>
      <x:c r="C1090" t="n">
        <x:v>45</x:v>
      </x:c>
      <x:c r="D1090" t="str">
        <x:v>LP</x:v>
      </x:c>
      <x:c r="E1090" t="n">
        <x:v>1</x:v>
      </x:c>
      <x:c r="F1090" t="n">
        <x:v>0.045</x:v>
      </x:c>
      <x:c r="G1090" t="n">
        <x:v>25</x:v>
      </x:c>
      <x:c r="H1090" t="n">
        <x:v>1</x:v>
      </x:c>
      <x:c r="I1090" t="n">
        <x:v>0.2200000000000002</x:v>
      </x:c>
      <x:c r="J1090" t="n">
        <x:v>6.972275672665353e-9</x:v>
      </x:c>
      <x:c r="K1090" t="str">
        <x:v>common_1v</x:v>
      </x:c>
      <x:c r="L1090" t="str">
        <x:v>common_vdd</x:v>
      </x:c>
      <x:c r="M1090" t="n">
        <x:v>1.1</x:v>
      </x:c>
      <x:c r="N1090" t="str">
        <x:v>simulation</x:v>
      </x:c>
      <x:c r="O1090" t="str">
        <x:v>ngspice</x:v>
      </x:c>
      <x:c r="P1090" t="str">
        <x:v>397141eb8a813045075ac2be3098d3b136ebaf4d597c08fca627922a75e443b7</x:v>
      </x:c>
      <x:c r="Q1090" t="str">
        <x:v>data/raw/ptm45_lp_vds_1v_raw.txt</x:v>
      </x:c>
    </x:row>
    <x:row r="1091">
      <x:c r="A1091" t="str">
        <x:v>PTM</x:v>
      </x:c>
      <x:c r="B1091" t="str">
        <x:v>NMOS</x:v>
      </x:c>
      <x:c r="C1091" t="n">
        <x:v>45</x:v>
      </x:c>
      <x:c r="D1091" t="str">
        <x:v>LP</x:v>
      </x:c>
      <x:c r="E1091" t="n">
        <x:v>1</x:v>
      </x:c>
      <x:c r="F1091" t="n">
        <x:v>0.045</x:v>
      </x:c>
      <x:c r="G1091" t="n">
        <x:v>25</x:v>
      </x:c>
      <x:c r="H1091" t="n">
        <x:v>1</x:v>
      </x:c>
      <x:c r="I1091" t="n">
        <x:v>0.2250000000000002</x:v>
      </x:c>
      <x:c r="J1091" t="n">
        <x:v>7.94655739824618e-9</x:v>
      </x:c>
      <x:c r="K1091" t="str">
        <x:v>common_1v</x:v>
      </x:c>
      <x:c r="L1091" t="str">
        <x:v>common_vdd</x:v>
      </x:c>
      <x:c r="M1091" t="n">
        <x:v>1.1</x:v>
      </x:c>
      <x:c r="N1091" t="str">
        <x:v>simulation</x:v>
      </x:c>
      <x:c r="O1091" t="str">
        <x:v>ngspice</x:v>
      </x:c>
      <x:c r="P1091" t="str">
        <x:v>397141eb8a813045075ac2be3098d3b136ebaf4d597c08fca627922a75e443b7</x:v>
      </x:c>
      <x:c r="Q1091" t="str">
        <x:v>data/raw/ptm45_lp_vds_1v_raw.txt</x:v>
      </x:c>
    </x:row>
    <x:row r="1092">
      <x:c r="A1092" t="str">
        <x:v>PTM</x:v>
      </x:c>
      <x:c r="B1092" t="str">
        <x:v>NMOS</x:v>
      </x:c>
      <x:c r="C1092" t="n">
        <x:v>45</x:v>
      </x:c>
      <x:c r="D1092" t="str">
        <x:v>LP</x:v>
      </x:c>
      <x:c r="E1092" t="n">
        <x:v>1</x:v>
      </x:c>
      <x:c r="F1092" t="n">
        <x:v>0.045</x:v>
      </x:c>
      <x:c r="G1092" t="n">
        <x:v>25</x:v>
      </x:c>
      <x:c r="H1092" t="n">
        <x:v>1</x:v>
      </x:c>
      <x:c r="I1092" t="n">
        <x:v>0.2300000000000002</x:v>
      </x:c>
      <x:c r="J1092" t="n">
        <x:v>9.055394856811717e-9</x:v>
      </x:c>
      <x:c r="K1092" t="str">
        <x:v>common_1v</x:v>
      </x:c>
      <x:c r="L1092" t="str">
        <x:v>common_vdd</x:v>
      </x:c>
      <x:c r="M1092" t="n">
        <x:v>1.1</x:v>
      </x:c>
      <x:c r="N1092" t="str">
        <x:v>simulation</x:v>
      </x:c>
      <x:c r="O1092" t="str">
        <x:v>ngspice</x:v>
      </x:c>
      <x:c r="P1092" t="str">
        <x:v>397141eb8a813045075ac2be3098d3b136ebaf4d597c08fca627922a75e443b7</x:v>
      </x:c>
      <x:c r="Q1092" t="str">
        <x:v>data/raw/ptm45_lp_vds_1v_raw.txt</x:v>
      </x:c>
    </x:row>
    <x:row r="1093">
      <x:c r="A1093" t="str">
        <x:v>PTM</x:v>
      </x:c>
      <x:c r="B1093" t="str">
        <x:v>NMOS</x:v>
      </x:c>
      <x:c r="C1093" t="n">
        <x:v>45</x:v>
      </x:c>
      <x:c r="D1093" t="str">
        <x:v>LP</x:v>
      </x:c>
      <x:c r="E1093" t="n">
        <x:v>1</x:v>
      </x:c>
      <x:c r="F1093" t="n">
        <x:v>0.045</x:v>
      </x:c>
      <x:c r="G1093" t="n">
        <x:v>25</x:v>
      </x:c>
      <x:c r="H1093" t="n">
        <x:v>1</x:v>
      </x:c>
      <x:c r="I1093" t="n">
        <x:v>0.2350000000000002</x:v>
      </x:c>
      <x:c r="J1093" t="n">
        <x:v>1.031703645006383e-8</x:v>
      </x:c>
      <x:c r="K1093" t="str">
        <x:v>common_1v</x:v>
      </x:c>
      <x:c r="L1093" t="str">
        <x:v>common_vdd</x:v>
      </x:c>
      <x:c r="M1093" t="n">
        <x:v>1.1</x:v>
      </x:c>
      <x:c r="N1093" t="str">
        <x:v>simulation</x:v>
      </x:c>
      <x:c r="O1093" t="str">
        <x:v>ngspice</x:v>
      </x:c>
      <x:c r="P1093" t="str">
        <x:v>397141eb8a813045075ac2be3098d3b136ebaf4d597c08fca627922a75e443b7</x:v>
      </x:c>
      <x:c r="Q1093" t="str">
        <x:v>data/raw/ptm45_lp_vds_1v_raw.txt</x:v>
      </x:c>
    </x:row>
    <x:row r="1094">
      <x:c r="A1094" t="str">
        <x:v>PTM</x:v>
      </x:c>
      <x:c r="B1094" t="str">
        <x:v>NMOS</x:v>
      </x:c>
      <x:c r="C1094" t="n">
        <x:v>45</x:v>
      </x:c>
      <x:c r="D1094" t="str">
        <x:v>LP</x:v>
      </x:c>
      <x:c r="E1094" t="n">
        <x:v>1</x:v>
      </x:c>
      <x:c r="F1094" t="n">
        <x:v>0.045</x:v>
      </x:c>
      <x:c r="G1094" t="n">
        <x:v>25</x:v>
      </x:c>
      <x:c r="H1094" t="n">
        <x:v>1</x:v>
      </x:c>
      <x:c r="I1094" t="n">
        <x:v>0.2400000000000002</x:v>
      </x:c>
      <x:c r="J1094" t="n">
        <x:v>1.175213687160833e-8</x:v>
      </x:c>
      <x:c r="K1094" t="str">
        <x:v>common_1v</x:v>
      </x:c>
      <x:c r="L1094" t="str">
        <x:v>common_vdd</x:v>
      </x:c>
      <x:c r="M1094" t="n">
        <x:v>1.1</x:v>
      </x:c>
      <x:c r="N1094" t="str">
        <x:v>simulation</x:v>
      </x:c>
      <x:c r="O1094" t="str">
        <x:v>ngspice</x:v>
      </x:c>
      <x:c r="P1094" t="str">
        <x:v>397141eb8a813045075ac2be3098d3b136ebaf4d597c08fca627922a75e443b7</x:v>
      </x:c>
      <x:c r="Q1094" t="str">
        <x:v>data/raw/ptm45_lp_vds_1v_raw.txt</x:v>
      </x:c>
    </x:row>
    <x:row r="1095">
      <x:c r="A1095" t="str">
        <x:v>PTM</x:v>
      </x:c>
      <x:c r="B1095" t="str">
        <x:v>NMOS</x:v>
      </x:c>
      <x:c r="C1095" t="n">
        <x:v>45</x:v>
      </x:c>
      <x:c r="D1095" t="str">
        <x:v>LP</x:v>
      </x:c>
      <x:c r="E1095" t="n">
        <x:v>1</x:v>
      </x:c>
      <x:c r="F1095" t="n">
        <x:v>0.045</x:v>
      </x:c>
      <x:c r="G1095" t="n">
        <x:v>25</x:v>
      </x:c>
      <x:c r="H1095" t="n">
        <x:v>1</x:v>
      </x:c>
      <x:c r="I1095" t="n">
        <x:v>0.2450000000000002</x:v>
      </x:c>
      <x:c r="J1095" t="n">
        <x:v>1.338406069067664e-8</x:v>
      </x:c>
      <x:c r="K1095" t="str">
        <x:v>common_1v</x:v>
      </x:c>
      <x:c r="L1095" t="str">
        <x:v>common_vdd</x:v>
      </x:c>
      <x:c r="M1095" t="n">
        <x:v>1.1</x:v>
      </x:c>
      <x:c r="N1095" t="str">
        <x:v>simulation</x:v>
      </x:c>
      <x:c r="O1095" t="str">
        <x:v>ngspice</x:v>
      </x:c>
      <x:c r="P1095" t="str">
        <x:v>397141eb8a813045075ac2be3098d3b136ebaf4d597c08fca627922a75e443b7</x:v>
      </x:c>
      <x:c r="Q1095" t="str">
        <x:v>data/raw/ptm45_lp_vds_1v_raw.txt</x:v>
      </x:c>
    </x:row>
    <x:row r="1096">
      <x:c r="A1096" t="str">
        <x:v>PTM</x:v>
      </x:c>
      <x:c r="B1096" t="str">
        <x:v>NMOS</x:v>
      </x:c>
      <x:c r="C1096" t="n">
        <x:v>45</x:v>
      </x:c>
      <x:c r="D1096" t="str">
        <x:v>LP</x:v>
      </x:c>
      <x:c r="E1096" t="n">
        <x:v>1</x:v>
      </x:c>
      <x:c r="F1096" t="n">
        <x:v>0.045</x:v>
      </x:c>
      <x:c r="G1096" t="n">
        <x:v>25</x:v>
      </x:c>
      <x:c r="H1096" t="n">
        <x:v>1</x:v>
      </x:c>
      <x:c r="I1096" t="n">
        <x:v>0.2500000000000002</x:v>
      </x:c>
      <x:c r="J1096" t="n">
        <x:v>1.523922157501657e-8</x:v>
      </x:c>
      <x:c r="K1096" t="str">
        <x:v>common_1v</x:v>
      </x:c>
      <x:c r="L1096" t="str">
        <x:v>common_vdd</x:v>
      </x:c>
      <x:c r="M1096" t="n">
        <x:v>1.1</x:v>
      </x:c>
      <x:c r="N1096" t="str">
        <x:v>simulation</x:v>
      </x:c>
      <x:c r="O1096" t="str">
        <x:v>ngspice</x:v>
      </x:c>
      <x:c r="P1096" t="str">
        <x:v>397141eb8a813045075ac2be3098d3b136ebaf4d597c08fca627922a75e443b7</x:v>
      </x:c>
      <x:c r="Q1096" t="str">
        <x:v>data/raw/ptm45_lp_vds_1v_raw.txt</x:v>
      </x:c>
    </x:row>
    <x:row r="1097">
      <x:c r="A1097" t="str">
        <x:v>PTM</x:v>
      </x:c>
      <x:c r="B1097" t="str">
        <x:v>NMOS</x:v>
      </x:c>
      <x:c r="C1097" t="n">
        <x:v>45</x:v>
      </x:c>
      <x:c r="D1097" t="str">
        <x:v>LP</x:v>
      </x:c>
      <x:c r="E1097" t="n">
        <x:v>1</x:v>
      </x:c>
      <x:c r="F1097" t="n">
        <x:v>0.045</x:v>
      </x:c>
      <x:c r="G1097" t="n">
        <x:v>25</x:v>
      </x:c>
      <x:c r="H1097" t="n">
        <x:v>1</x:v>
      </x:c>
      <x:c r="I1097" t="n">
        <x:v>0.2550000000000002</x:v>
      </x:c>
      <x:c r="J1097" t="n">
        <x:v>1.734746084158979e-8</x:v>
      </x:c>
      <x:c r="K1097" t="str">
        <x:v>common_1v</x:v>
      </x:c>
      <x:c r="L1097" t="str">
        <x:v>common_vdd</x:v>
      </x:c>
      <x:c r="M1097" t="n">
        <x:v>1.1</x:v>
      </x:c>
      <x:c r="N1097" t="str">
        <x:v>simulation</x:v>
      </x:c>
      <x:c r="O1097" t="str">
        <x:v>ngspice</x:v>
      </x:c>
      <x:c r="P1097" t="str">
        <x:v>397141eb8a813045075ac2be3098d3b136ebaf4d597c08fca627922a75e443b7</x:v>
      </x:c>
      <x:c r="Q1097" t="str">
        <x:v>data/raw/ptm45_lp_vds_1v_raw.txt</x:v>
      </x:c>
    </x:row>
    <x:row r="1098">
      <x:c r="A1098" t="str">
        <x:v>PTM</x:v>
      </x:c>
      <x:c r="B1098" t="str">
        <x:v>NMOS</x:v>
      </x:c>
      <x:c r="C1098" t="n">
        <x:v>45</x:v>
      </x:c>
      <x:c r="D1098" t="str">
        <x:v>LP</x:v>
      </x:c>
      <x:c r="E1098" t="n">
        <x:v>1</x:v>
      </x:c>
      <x:c r="F1098" t="n">
        <x:v>0.045</x:v>
      </x:c>
      <x:c r="G1098" t="n">
        <x:v>25</x:v>
      </x:c>
      <x:c r="H1098" t="n">
        <x:v>1</x:v>
      </x:c>
      <x:c r="I1098" t="n">
        <x:v>0.2600000000000002</x:v>
      </x:c>
      <x:c r="J1098" t="n">
        <x:v>1.974246931861928e-8</x:v>
      </x:c>
      <x:c r="K1098" t="str">
        <x:v>common_1v</x:v>
      </x:c>
      <x:c r="L1098" t="str">
        <x:v>common_vdd</x:v>
      </x:c>
      <x:c r="M1098" t="n">
        <x:v>1.1</x:v>
      </x:c>
      <x:c r="N1098" t="str">
        <x:v>simulation</x:v>
      </x:c>
      <x:c r="O1098" t="str">
        <x:v>ngspice</x:v>
      </x:c>
      <x:c r="P1098" t="str">
        <x:v>397141eb8a813045075ac2be3098d3b136ebaf4d597c08fca627922a75e443b7</x:v>
      </x:c>
      <x:c r="Q1098" t="str">
        <x:v>data/raw/ptm45_lp_vds_1v_raw.txt</x:v>
      </x:c>
    </x:row>
    <x:row r="1099">
      <x:c r="A1099" t="str">
        <x:v>PTM</x:v>
      </x:c>
      <x:c r="B1099" t="str">
        <x:v>NMOS</x:v>
      </x:c>
      <x:c r="C1099" t="n">
        <x:v>45</x:v>
      </x:c>
      <x:c r="D1099" t="str">
        <x:v>LP</x:v>
      </x:c>
      <x:c r="E1099" t="n">
        <x:v>1</x:v>
      </x:c>
      <x:c r="F1099" t="n">
        <x:v>0.045</x:v>
      </x:c>
      <x:c r="G1099" t="n">
        <x:v>25</x:v>
      </x:c>
      <x:c r="H1099" t="n">
        <x:v>1</x:v>
      </x:c>
      <x:c r="I1099" t="n">
        <x:v>0.2650000000000002</x:v>
      </x:c>
      <x:c r="J1099" t="n">
        <x:v>2.246225680698722e-8</x:v>
      </x:c>
      <x:c r="K1099" t="str">
        <x:v>common_1v</x:v>
      </x:c>
      <x:c r="L1099" t="str">
        <x:v>common_vdd</x:v>
      </x:c>
      <x:c r="M1099" t="n">
        <x:v>1.1</x:v>
      </x:c>
      <x:c r="N1099" t="str">
        <x:v>simulation</x:v>
      </x:c>
      <x:c r="O1099" t="str">
        <x:v>ngspice</x:v>
      </x:c>
      <x:c r="P1099" t="str">
        <x:v>397141eb8a813045075ac2be3098d3b136ebaf4d597c08fca627922a75e443b7</x:v>
      </x:c>
      <x:c r="Q1099" t="str">
        <x:v>data/raw/ptm45_lp_vds_1v_raw.txt</x:v>
      </x:c>
    </x:row>
    <x:row r="1100">
      <x:c r="A1100" t="str">
        <x:v>PTM</x:v>
      </x:c>
      <x:c r="B1100" t="str">
        <x:v>NMOS</x:v>
      </x:c>
      <x:c r="C1100" t="n">
        <x:v>45</x:v>
      </x:c>
      <x:c r="D1100" t="str">
        <x:v>LP</x:v>
      </x:c>
      <x:c r="E1100" t="n">
        <x:v>1</x:v>
      </x:c>
      <x:c r="F1100" t="n">
        <x:v>0.045</x:v>
      </x:c>
      <x:c r="G1100" t="n">
        <x:v>25</x:v>
      </x:c>
      <x:c r="H1100" t="n">
        <x:v>1</x:v>
      </x:c>
      <x:c r="I1100" t="n">
        <x:v>0.2700000000000002</x:v>
      </x:c>
      <x:c r="J1100" t="n">
        <x:v>2.554967374128647e-8</x:v>
      </x:c>
      <x:c r="K1100" t="str">
        <x:v>common_1v</x:v>
      </x:c>
      <x:c r="L1100" t="str">
        <x:v>common_vdd</x:v>
      </x:c>
      <x:c r="M1100" t="n">
        <x:v>1.1</x:v>
      </x:c>
      <x:c r="N1100" t="str">
        <x:v>simulation</x:v>
      </x:c>
      <x:c r="O1100" t="str">
        <x:v>ngspice</x:v>
      </x:c>
      <x:c r="P1100" t="str">
        <x:v>397141eb8a813045075ac2be3098d3b136ebaf4d597c08fca627922a75e443b7</x:v>
      </x:c>
      <x:c r="Q1100" t="str">
        <x:v>data/raw/ptm45_lp_vds_1v_raw.txt</x:v>
      </x:c>
    </x:row>
    <x:row r="1101">
      <x:c r="A1101" t="str">
        <x:v>PTM</x:v>
      </x:c>
      <x:c r="B1101" t="str">
        <x:v>NMOS</x:v>
      </x:c>
      <x:c r="C1101" t="n">
        <x:v>45</x:v>
      </x:c>
      <x:c r="D1101" t="str">
        <x:v>LP</x:v>
      </x:c>
      <x:c r="E1101" t="n">
        <x:v>1</x:v>
      </x:c>
      <x:c r="F1101" t="n">
        <x:v>0.045</x:v>
      </x:c>
      <x:c r="G1101" t="n">
        <x:v>25</x:v>
      </x:c>
      <x:c r="H1101" t="n">
        <x:v>1</x:v>
      </x:c>
      <x:c r="I1101" t="n">
        <x:v>0.2750000000000002</x:v>
      </x:c>
      <x:c r="J1101" t="n">
        <x:v>2.905298996906685e-8</x:v>
      </x:c>
      <x:c r="K1101" t="str">
        <x:v>common_1v</x:v>
      </x:c>
      <x:c r="L1101" t="str">
        <x:v>common_vdd</x:v>
      </x:c>
      <x:c r="M1101" t="n">
        <x:v>1.1</x:v>
      </x:c>
      <x:c r="N1101" t="str">
        <x:v>simulation</x:v>
      </x:c>
      <x:c r="O1101" t="str">
        <x:v>ngspice</x:v>
      </x:c>
      <x:c r="P1101" t="str">
        <x:v>397141eb8a813045075ac2be3098d3b136ebaf4d597c08fca627922a75e443b7</x:v>
      </x:c>
      <x:c r="Q1101" t="str">
        <x:v>data/raw/ptm45_lp_vds_1v_raw.txt</x:v>
      </x:c>
    </x:row>
    <x:row r="1102">
      <x:c r="A1102" t="str">
        <x:v>PTM</x:v>
      </x:c>
      <x:c r="B1102" t="str">
        <x:v>NMOS</x:v>
      </x:c>
      <x:c r="C1102" t="n">
        <x:v>45</x:v>
      </x:c>
      <x:c r="D1102" t="str">
        <x:v>LP</x:v>
      </x:c>
      <x:c r="E1102" t="n">
        <x:v>1</x:v>
      </x:c>
      <x:c r="F1102" t="n">
        <x:v>0.045</x:v>
      </x:c>
      <x:c r="G1102" t="n">
        <x:v>25</x:v>
      </x:c>
      <x:c r="H1102" t="n">
        <x:v>1</x:v>
      </x:c>
      <x:c r="I1102" t="n">
        <x:v>0.2800000000000002</x:v>
      </x:c>
      <x:c r="J1102" t="n">
        <x:v>3.302653588904464e-8</x:v>
      </x:c>
      <x:c r="K1102" t="str">
        <x:v>common_1v</x:v>
      </x:c>
      <x:c r="L1102" t="str">
        <x:v>common_vdd</x:v>
      </x:c>
      <x:c r="M1102" t="n">
        <x:v>1.1</x:v>
      </x:c>
      <x:c r="N1102" t="str">
        <x:v>simulation</x:v>
      </x:c>
      <x:c r="O1102" t="str">
        <x:v>ngspice</x:v>
      </x:c>
      <x:c r="P1102" t="str">
        <x:v>397141eb8a813045075ac2be3098d3b136ebaf4d597c08fca627922a75e443b7</x:v>
      </x:c>
      <x:c r="Q1102" t="str">
        <x:v>data/raw/ptm45_lp_vds_1v_raw.txt</x:v>
      </x:c>
    </x:row>
    <x:row r="1103">
      <x:c r="A1103" t="str">
        <x:v>PTM</x:v>
      </x:c>
      <x:c r="B1103" t="str">
        <x:v>NMOS</x:v>
      </x:c>
      <x:c r="C1103" t="n">
        <x:v>45</x:v>
      </x:c>
      <x:c r="D1103" t="str">
        <x:v>LP</x:v>
      </x:c>
      <x:c r="E1103" t="n">
        <x:v>1</x:v>
      </x:c>
      <x:c r="F1103" t="n">
        <x:v>0.045</x:v>
      </x:c>
      <x:c r="G1103" t="n">
        <x:v>25</x:v>
      </x:c>
      <x:c r="H1103" t="n">
        <x:v>1</x:v>
      </x:c>
      <x:c r="I1103" t="n">
        <x:v>0.2850000000000003</x:v>
      </x:c>
      <x:c r="J1103" t="n">
        <x:v>3.753141151336801e-8</x:v>
      </x:c>
      <x:c r="K1103" t="str">
        <x:v>common_1v</x:v>
      </x:c>
      <x:c r="L1103" t="str">
        <x:v>common_vdd</x:v>
      </x:c>
      <x:c r="M1103" t="n">
        <x:v>1.1</x:v>
      </x:c>
      <x:c r="N1103" t="str">
        <x:v>simulation</x:v>
      </x:c>
      <x:c r="O1103" t="str">
        <x:v>ngspice</x:v>
      </x:c>
      <x:c r="P1103" t="str">
        <x:v>397141eb8a813045075ac2be3098d3b136ebaf4d597c08fca627922a75e443b7</x:v>
      </x:c>
      <x:c r="Q1103" t="str">
        <x:v>data/raw/ptm45_lp_vds_1v_raw.txt</x:v>
      </x:c>
    </x:row>
    <x:row r="1104">
      <x:c r="A1104" t="str">
        <x:v>PTM</x:v>
      </x:c>
      <x:c r="B1104" t="str">
        <x:v>NMOS</x:v>
      </x:c>
      <x:c r="C1104" t="n">
        <x:v>45</x:v>
      </x:c>
      <x:c r="D1104" t="str">
        <x:v>LP</x:v>
      </x:c>
      <x:c r="E1104" t="n">
        <x:v>1</x:v>
      </x:c>
      <x:c r="F1104" t="n">
        <x:v>0.045</x:v>
      </x:c>
      <x:c r="G1104" t="n">
        <x:v>25</x:v>
      </x:c>
      <x:c r="H1104" t="n">
        <x:v>1</x:v>
      </x:c>
      <x:c r="I1104" t="n">
        <x:v>0.2900000000000003</x:v>
      </x:c>
      <x:c r="J1104" t="n">
        <x:v>4.263626934374696e-8</x:v>
      </x:c>
      <x:c r="K1104" t="str">
        <x:v>common_1v</x:v>
      </x:c>
      <x:c r="L1104" t="str">
        <x:v>common_vdd</x:v>
      </x:c>
      <x:c r="M1104" t="n">
        <x:v>1.1</x:v>
      </x:c>
      <x:c r="N1104" t="str">
        <x:v>simulation</x:v>
      </x:c>
      <x:c r="O1104" t="str">
        <x:v>ngspice</x:v>
      </x:c>
      <x:c r="P1104" t="str">
        <x:v>397141eb8a813045075ac2be3098d3b136ebaf4d597c08fca627922a75e443b7</x:v>
      </x:c>
      <x:c r="Q1104" t="str">
        <x:v>data/raw/ptm45_lp_vds_1v_raw.txt</x:v>
      </x:c>
    </x:row>
    <x:row r="1105">
      <x:c r="A1105" t="str">
        <x:v>PTM</x:v>
      </x:c>
      <x:c r="B1105" t="str">
        <x:v>NMOS</x:v>
      </x:c>
      <x:c r="C1105" t="n">
        <x:v>45</x:v>
      </x:c>
      <x:c r="D1105" t="str">
        <x:v>LP</x:v>
      </x:c>
      <x:c r="E1105" t="n">
        <x:v>1</x:v>
      </x:c>
      <x:c r="F1105" t="n">
        <x:v>0.045</x:v>
      </x:c>
      <x:c r="G1105" t="n">
        <x:v>25</x:v>
      </x:c>
      <x:c r="H1105" t="n">
        <x:v>1</x:v>
      </x:c>
      <x:c r="I1105" t="n">
        <x:v>0.2950000000000003</x:v>
      </x:c>
      <x:c r="J1105" t="n">
        <x:v>4.841817727521243e-8</x:v>
      </x:c>
      <x:c r="K1105" t="str">
        <x:v>common_1v</x:v>
      </x:c>
      <x:c r="L1105" t="str">
        <x:v>common_vdd</x:v>
      </x:c>
      <x:c r="M1105" t="n">
        <x:v>1.1</x:v>
      </x:c>
      <x:c r="N1105" t="str">
        <x:v>simulation</x:v>
      </x:c>
      <x:c r="O1105" t="str">
        <x:v>ngspice</x:v>
      </x:c>
      <x:c r="P1105" t="str">
        <x:v>397141eb8a813045075ac2be3098d3b136ebaf4d597c08fca627922a75e443b7</x:v>
      </x:c>
      <x:c r="Q1105" t="str">
        <x:v>data/raw/ptm45_lp_vds_1v_raw.txt</x:v>
      </x:c>
    </x:row>
    <x:row r="1106">
      <x:c r="A1106" t="str">
        <x:v>PTM</x:v>
      </x:c>
      <x:c r="B1106" t="str">
        <x:v>NMOS</x:v>
      </x:c>
      <x:c r="C1106" t="n">
        <x:v>45</x:v>
      </x:c>
      <x:c r="D1106" t="str">
        <x:v>LP</x:v>
      </x:c>
      <x:c r="E1106" t="n">
        <x:v>1</x:v>
      </x:c>
      <x:c r="F1106" t="n">
        <x:v>0.045</x:v>
      </x:c>
      <x:c r="G1106" t="n">
        <x:v>25</x:v>
      </x:c>
      <x:c r="H1106" t="n">
        <x:v>1</x:v>
      </x:c>
      <x:c r="I1106" t="n">
        <x:v>0.3000000000000003</x:v>
      </x:c>
      <x:c r="J1106" t="n">
        <x:v>5.496356806386924e-8</x:v>
      </x:c>
      <x:c r="K1106" t="str">
        <x:v>common_1v</x:v>
      </x:c>
      <x:c r="L1106" t="str">
        <x:v>common_vdd</x:v>
      </x:c>
      <x:c r="M1106" t="n">
        <x:v>1.1</x:v>
      </x:c>
      <x:c r="N1106" t="str">
        <x:v>simulation</x:v>
      </x:c>
      <x:c r="O1106" t="str">
        <x:v>ngspice</x:v>
      </x:c>
      <x:c r="P1106" t="str">
        <x:v>397141eb8a813045075ac2be3098d3b136ebaf4d597c08fca627922a75e443b7</x:v>
      </x:c>
      <x:c r="Q1106" t="str">
        <x:v>data/raw/ptm45_lp_vds_1v_raw.txt</x:v>
      </x:c>
    </x:row>
    <x:row r="1107">
      <x:c r="A1107" t="str">
        <x:v>PTM</x:v>
      </x:c>
      <x:c r="B1107" t="str">
        <x:v>NMOS</x:v>
      </x:c>
      <x:c r="C1107" t="n">
        <x:v>45</x:v>
      </x:c>
      <x:c r="D1107" t="str">
        <x:v>LP</x:v>
      </x:c>
      <x:c r="E1107" t="n">
        <x:v>1</x:v>
      </x:c>
      <x:c r="F1107" t="n">
        <x:v>0.045</x:v>
      </x:c>
      <x:c r="G1107" t="n">
        <x:v>25</x:v>
      </x:c>
      <x:c r="H1107" t="n">
        <x:v>1</x:v>
      </x:c>
      <x:c r="I1107" t="n">
        <x:v>0.3050000000000003</x:v>
      </x:c>
      <x:c r="J1107" t="n">
        <x:v>6.236928221678175e-8</x:v>
      </x:c>
      <x:c r="K1107" t="str">
        <x:v>common_1v</x:v>
      </x:c>
      <x:c r="L1107" t="str">
        <x:v>common_vdd</x:v>
      </x:c>
      <x:c r="M1107" t="n">
        <x:v>1.1</x:v>
      </x:c>
      <x:c r="N1107" t="str">
        <x:v>simulation</x:v>
      </x:c>
      <x:c r="O1107" t="str">
        <x:v>ngspice</x:v>
      </x:c>
      <x:c r="P1107" t="str">
        <x:v>397141eb8a813045075ac2be3098d3b136ebaf4d597c08fca627922a75e443b7</x:v>
      </x:c>
      <x:c r="Q1107" t="str">
        <x:v>data/raw/ptm45_lp_vds_1v_raw.txt</x:v>
      </x:c>
    </x:row>
    <x:row r="1108">
      <x:c r="A1108" t="str">
        <x:v>PTM</x:v>
      </x:c>
      <x:c r="B1108" t="str">
        <x:v>NMOS</x:v>
      </x:c>
      <x:c r="C1108" t="n">
        <x:v>45</x:v>
      </x:c>
      <x:c r="D1108" t="str">
        <x:v>LP</x:v>
      </x:c>
      <x:c r="E1108" t="n">
        <x:v>1</x:v>
      </x:c>
      <x:c r="F1108" t="n">
        <x:v>0.045</x:v>
      </x:c>
      <x:c r="G1108" t="n">
        <x:v>25</x:v>
      </x:c>
      <x:c r="H1108" t="n">
        <x:v>1</x:v>
      </x:c>
      <x:c r="I1108" t="n">
        <x:v>0.3100000000000003</x:v>
      </x:c>
      <x:c r="J1108" t="n">
        <x:v>7.074371148474389e-8</x:v>
      </x:c>
      <x:c r="K1108" t="str">
        <x:v>common_1v</x:v>
      </x:c>
      <x:c r="L1108" t="str">
        <x:v>common_vdd</x:v>
      </x:c>
      <x:c r="M1108" t="n">
        <x:v>1.1</x:v>
      </x:c>
      <x:c r="N1108" t="str">
        <x:v>simulation</x:v>
      </x:c>
      <x:c r="O1108" t="str">
        <x:v>ngspice</x:v>
      </x:c>
      <x:c r="P1108" t="str">
        <x:v>397141eb8a813045075ac2be3098d3b136ebaf4d597c08fca627922a75e443b7</x:v>
      </x:c>
      <x:c r="Q1108" t="str">
        <x:v>data/raw/ptm45_lp_vds_1v_raw.txt</x:v>
      </x:c>
    </x:row>
    <x:row r="1109">
      <x:c r="A1109" t="str">
        <x:v>PTM</x:v>
      </x:c>
      <x:c r="B1109" t="str">
        <x:v>NMOS</x:v>
      </x:c>
      <x:c r="C1109" t="n">
        <x:v>45</x:v>
      </x:c>
      <x:c r="D1109" t="str">
        <x:v>LP</x:v>
      </x:c>
      <x:c r="E1109" t="n">
        <x:v>1</x:v>
      </x:c>
      <x:c r="F1109" t="n">
        <x:v>0.045</x:v>
      </x:c>
      <x:c r="G1109" t="n">
        <x:v>25</x:v>
      </x:c>
      <x:c r="H1109" t="n">
        <x:v>1</x:v>
      </x:c>
      <x:c r="I1109" t="n">
        <x:v>0.3150000000000003</x:v>
      </x:c>
      <x:c r="J1109" t="n">
        <x:v>8.020805046558592e-8</x:v>
      </x:c>
      <x:c r="K1109" t="str">
        <x:v>common_1v</x:v>
      </x:c>
      <x:c r="L1109" t="str">
        <x:v>common_vdd</x:v>
      </x:c>
      <x:c r="M1109" t="n">
        <x:v>1.1</x:v>
      </x:c>
      <x:c r="N1109" t="str">
        <x:v>simulation</x:v>
      </x:c>
      <x:c r="O1109" t="str">
        <x:v>ngspice</x:v>
      </x:c>
      <x:c r="P1109" t="str">
        <x:v>397141eb8a813045075ac2be3098d3b136ebaf4d597c08fca627922a75e443b7</x:v>
      </x:c>
      <x:c r="Q1109" t="str">
        <x:v>data/raw/ptm45_lp_vds_1v_raw.txt</x:v>
      </x:c>
    </x:row>
    <x:row r="1110">
      <x:c r="A1110" t="str">
        <x:v>PTM</x:v>
      </x:c>
      <x:c r="B1110" t="str">
        <x:v>NMOS</x:v>
      </x:c>
      <x:c r="C1110" t="n">
        <x:v>45</x:v>
      </x:c>
      <x:c r="D1110" t="str">
        <x:v>LP</x:v>
      </x:c>
      <x:c r="E1110" t="n">
        <x:v>1</x:v>
      </x:c>
      <x:c r="F1110" t="n">
        <x:v>0.045</x:v>
      </x:c>
      <x:c r="G1110" t="n">
        <x:v>25</x:v>
      </x:c>
      <x:c r="H1110" t="n">
        <x:v>1</x:v>
      </x:c>
      <x:c r="I1110" t="n">
        <x:v>0.3200000000000003</x:v>
      </x:c>
      <x:c r="J1110" t="n">
        <x:v>9.089766416173781e-8</x:v>
      </x:c>
      <x:c r="K1110" t="str">
        <x:v>common_1v</x:v>
      </x:c>
      <x:c r="L1110" t="str">
        <x:v>common_vdd</x:v>
      </x:c>
      <x:c r="M1110" t="n">
        <x:v>1.1</x:v>
      </x:c>
      <x:c r="N1110" t="str">
        <x:v>simulation</x:v>
      </x:c>
      <x:c r="O1110" t="str">
        <x:v>ngspice</x:v>
      </x:c>
      <x:c r="P1110" t="str">
        <x:v>397141eb8a813045075ac2be3098d3b136ebaf4d597c08fca627922a75e443b7</x:v>
      </x:c>
      <x:c r="Q1110" t="str">
        <x:v>data/raw/ptm45_lp_vds_1v_raw.txt</x:v>
      </x:c>
    </x:row>
    <x:row r="1111">
      <x:c r="A1111" t="str">
        <x:v>PTM</x:v>
      </x:c>
      <x:c r="B1111" t="str">
        <x:v>NMOS</x:v>
      </x:c>
      <x:c r="C1111" t="n">
        <x:v>45</x:v>
      </x:c>
      <x:c r="D1111" t="str">
        <x:v>LP</x:v>
      </x:c>
      <x:c r="E1111" t="n">
        <x:v>1</x:v>
      </x:c>
      <x:c r="F1111" t="n">
        <x:v>0.045</x:v>
      </x:c>
      <x:c r="G1111" t="n">
        <x:v>25</x:v>
      </x:c>
      <x:c r="H1111" t="n">
        <x:v>1</x:v>
      </x:c>
      <x:c r="I1111" t="n">
        <x:v>0.3250000000000003</x:v>
      </x:c>
      <x:c r="J1111" t="n">
        <x:v>1.029635796884623e-7</x:v>
      </x:c>
      <x:c r="K1111" t="str">
        <x:v>common_1v</x:v>
      </x:c>
      <x:c r="L1111" t="str">
        <x:v>common_vdd</x:v>
      </x:c>
      <x:c r="M1111" t="n">
        <x:v>1.1</x:v>
      </x:c>
      <x:c r="N1111" t="str">
        <x:v>simulation</x:v>
      </x:c>
      <x:c r="O1111" t="str">
        <x:v>ngspice</x:v>
      </x:c>
      <x:c r="P1111" t="str">
        <x:v>397141eb8a813045075ac2be3098d3b136ebaf4d597c08fca627922a75e443b7</x:v>
      </x:c>
      <x:c r="Q1111" t="str">
        <x:v>data/raw/ptm45_lp_vds_1v_raw.txt</x:v>
      </x:c>
    </x:row>
    <x:row r="1112">
      <x:c r="A1112" t="str">
        <x:v>PTM</x:v>
      </x:c>
      <x:c r="B1112" t="str">
        <x:v>NMOS</x:v>
      </x:c>
      <x:c r="C1112" t="n">
        <x:v>45</x:v>
      </x:c>
      <x:c r="D1112" t="str">
        <x:v>LP</x:v>
      </x:c>
      <x:c r="E1112" t="n">
        <x:v>1</x:v>
      </x:c>
      <x:c r="F1112" t="n">
        <x:v>0.045</x:v>
      </x:c>
      <x:c r="G1112" t="n">
        <x:v>25</x:v>
      </x:c>
      <x:c r="H1112" t="n">
        <x:v>1</x:v>
      </x:c>
      <x:c r="I1112" t="n">
        <x:v>0.3300000000000003</x:v>
      </x:c>
      <x:c r="J1112" t="n">
        <x:v>1.165741107072096e-7</x:v>
      </x:c>
      <x:c r="K1112" t="str">
        <x:v>common_1v</x:v>
      </x:c>
      <x:c r="L1112" t="str">
        <x:v>common_vdd</x:v>
      </x:c>
      <x:c r="M1112" t="n">
        <x:v>1.1</x:v>
      </x:c>
      <x:c r="N1112" t="str">
        <x:v>simulation</x:v>
      </x:c>
      <x:c r="O1112" t="str">
        <x:v>ngspice</x:v>
      </x:c>
      <x:c r="P1112" t="str">
        <x:v>397141eb8a813045075ac2be3098d3b136ebaf4d597c08fca627922a75e443b7</x:v>
      </x:c>
      <x:c r="Q1112" t="str">
        <x:v>data/raw/ptm45_lp_vds_1v_raw.txt</x:v>
      </x:c>
    </x:row>
    <x:row r="1113">
      <x:c r="A1113" t="str">
        <x:v>PTM</x:v>
      </x:c>
      <x:c r="B1113" t="str">
        <x:v>NMOS</x:v>
      </x:c>
      <x:c r="C1113" t="n">
        <x:v>45</x:v>
      </x:c>
      <x:c r="D1113" t="str">
        <x:v>LP</x:v>
      </x:c>
      <x:c r="E1113" t="n">
        <x:v>1</x:v>
      </x:c>
      <x:c r="F1113" t="n">
        <x:v>0.045</x:v>
      </x:c>
      <x:c r="G1113" t="n">
        <x:v>25</x:v>
      </x:c>
      <x:c r="H1113" t="n">
        <x:v>1</x:v>
      </x:c>
      <x:c r="I1113" t="n">
        <x:v>0.3350000000000003</x:v>
      </x:c>
      <x:c r="J1113" t="n">
        <x:v>1.319166235729035e-7</x:v>
      </x:c>
      <x:c r="K1113" t="str">
        <x:v>common_1v</x:v>
      </x:c>
      <x:c r="L1113" t="str">
        <x:v>common_vdd</x:v>
      </x:c>
      <x:c r="M1113" t="n">
        <x:v>1.1</x:v>
      </x:c>
      <x:c r="N1113" t="str">
        <x:v>simulation</x:v>
      </x:c>
      <x:c r="O1113" t="str">
        <x:v>ngspice</x:v>
      </x:c>
      <x:c r="P1113" t="str">
        <x:v>397141eb8a813045075ac2be3098d3b136ebaf4d597c08fca627922a75e443b7</x:v>
      </x:c>
      <x:c r="Q1113" t="str">
        <x:v>data/raw/ptm45_lp_vds_1v_raw.txt</x:v>
      </x:c>
    </x:row>
    <x:row r="1114">
      <x:c r="A1114" t="str">
        <x:v>PTM</x:v>
      </x:c>
      <x:c r="B1114" t="str">
        <x:v>NMOS</x:v>
      </x:c>
      <x:c r="C1114" t="n">
        <x:v>45</x:v>
      </x:c>
      <x:c r="D1114" t="str">
        <x:v>LP</x:v>
      </x:c>
      <x:c r="E1114" t="n">
        <x:v>1</x:v>
      </x:c>
      <x:c r="F1114" t="n">
        <x:v>0.045</x:v>
      </x:c>
      <x:c r="G1114" t="n">
        <x:v>25</x:v>
      </x:c>
      <x:c r="H1114" t="n">
        <x:v>1</x:v>
      </x:c>
      <x:c r="I1114" t="n">
        <x:v>0.3400000000000003</x:v>
      </x:c>
      <x:c r="J1114" t="n">
        <x:v>1.491994546466443e-7</x:v>
      </x:c>
      <x:c r="K1114" t="str">
        <x:v>common_1v</x:v>
      </x:c>
      <x:c r="L1114" t="str">
        <x:v>common_vdd</x:v>
      </x:c>
      <x:c r="M1114" t="n">
        <x:v>1.1</x:v>
      </x:c>
      <x:c r="N1114" t="str">
        <x:v>simulation</x:v>
      </x:c>
      <x:c r="O1114" t="str">
        <x:v>ngspice</x:v>
      </x:c>
      <x:c r="P1114" t="str">
        <x:v>397141eb8a813045075ac2be3098d3b136ebaf4d597c08fca627922a75e443b7</x:v>
      </x:c>
      <x:c r="Q1114" t="str">
        <x:v>data/raw/ptm45_lp_vds_1v_raw.txt</x:v>
      </x:c>
    </x:row>
    <x:row r="1115">
      <x:c r="A1115" t="str">
        <x:v>PTM</x:v>
      </x:c>
      <x:c r="B1115" t="str">
        <x:v>NMOS</x:v>
      </x:c>
      <x:c r="C1115" t="n">
        <x:v>45</x:v>
      </x:c>
      <x:c r="D1115" t="str">
        <x:v>LP</x:v>
      </x:c>
      <x:c r="E1115" t="n">
        <x:v>1</x:v>
      </x:c>
      <x:c r="F1115" t="n">
        <x:v>0.045</x:v>
      </x:c>
      <x:c r="G1115" t="n">
        <x:v>25</x:v>
      </x:c>
      <x:c r="H1115" t="n">
        <x:v>1</x:v>
      </x:c>
      <x:c r="I1115" t="n">
        <x:v>0.3450000000000003</x:v>
      </x:c>
      <x:c r="J1115" t="n">
        <x:v>1.686539887478547e-7</x:v>
      </x:c>
      <x:c r="K1115" t="str">
        <x:v>common_1v</x:v>
      </x:c>
      <x:c r="L1115" t="str">
        <x:v>common_vdd</x:v>
      </x:c>
      <x:c r="M1115" t="n">
        <x:v>1.1</x:v>
      </x:c>
      <x:c r="N1115" t="str">
        <x:v>simulation</x:v>
      </x:c>
      <x:c r="O1115" t="str">
        <x:v>ngspice</x:v>
      </x:c>
      <x:c r="P1115" t="str">
        <x:v>397141eb8a813045075ac2be3098d3b136ebaf4d597c08fca627922a75e443b7</x:v>
      </x:c>
      <x:c r="Q1115" t="str">
        <x:v>data/raw/ptm45_lp_vds_1v_raw.txt</x:v>
      </x:c>
    </x:row>
    <x:row r="1116">
      <x:c r="A1116" t="str">
        <x:v>PTM</x:v>
      </x:c>
      <x:c r="B1116" t="str">
        <x:v>NMOS</x:v>
      </x:c>
      <x:c r="C1116" t="n">
        <x:v>45</x:v>
      </x:c>
      <x:c r="D1116" t="str">
        <x:v>LP</x:v>
      </x:c>
      <x:c r="E1116" t="n">
        <x:v>1</x:v>
      </x:c>
      <x:c r="F1116" t="n">
        <x:v>0.045</x:v>
      </x:c>
      <x:c r="G1116" t="n">
        <x:v>25</x:v>
      </x:c>
      <x:c r="H1116" t="n">
        <x:v>1</x:v>
      </x:c>
      <x:c r="I1116" t="n">
        <x:v>0.3500000000000003</x:v>
      </x:c>
      <x:c r="J1116" t="n">
        <x:v>1.905369055394056e-7</x:v>
      </x:c>
      <x:c r="K1116" t="str">
        <x:v>common_1v</x:v>
      </x:c>
      <x:c r="L1116" t="str">
        <x:v>common_vdd</x:v>
      </x:c>
      <x:c r="M1116" t="n">
        <x:v>1.1</x:v>
      </x:c>
      <x:c r="N1116" t="str">
        <x:v>simulation</x:v>
      </x:c>
      <x:c r="O1116" t="str">
        <x:v>ngspice</x:v>
      </x:c>
      <x:c r="P1116" t="str">
        <x:v>397141eb8a813045075ac2be3098d3b136ebaf4d597c08fca627922a75e443b7</x:v>
      </x:c>
      <x:c r="Q1116" t="str">
        <x:v>data/raw/ptm45_lp_vds_1v_raw.txt</x:v>
      </x:c>
    </x:row>
    <x:row r="1117">
      <x:c r="A1117" t="str">
        <x:v>PTM</x:v>
      </x:c>
      <x:c r="B1117" t="str">
        <x:v>NMOS</x:v>
      </x:c>
      <x:c r="C1117" t="n">
        <x:v>45</x:v>
      </x:c>
      <x:c r="D1117" t="str">
        <x:v>LP</x:v>
      </x:c>
      <x:c r="E1117" t="n">
        <x:v>1</x:v>
      </x:c>
      <x:c r="F1117" t="n">
        <x:v>0.045</x:v>
      </x:c>
      <x:c r="G1117" t="n">
        <x:v>25</x:v>
      </x:c>
      <x:c r="H1117" t="n">
        <x:v>1</x:v>
      </x:c>
      <x:c r="I1117" t="n">
        <x:v>0.3550000000000003</x:v>
      </x:c>
      <x:c r="J1117" t="n">
        <x:v>2.15132598123149e-7</x:v>
      </x:c>
      <x:c r="K1117" t="str">
        <x:v>common_1v</x:v>
      </x:c>
      <x:c r="L1117" t="str">
        <x:v>common_vdd</x:v>
      </x:c>
      <x:c r="M1117" t="n">
        <x:v>1.1</x:v>
      </x:c>
      <x:c r="N1117" t="str">
        <x:v>simulation</x:v>
      </x:c>
      <x:c r="O1117" t="str">
        <x:v>ngspice</x:v>
      </x:c>
      <x:c r="P1117" t="str">
        <x:v>397141eb8a813045075ac2be3098d3b136ebaf4d597c08fca627922a75e443b7</x:v>
      </x:c>
      <x:c r="Q1117" t="str">
        <x:v>data/raw/ptm45_lp_vds_1v_raw.txt</x:v>
      </x:c>
    </x:row>
    <x:row r="1118">
      <x:c r="A1118" t="str">
        <x:v>PTM</x:v>
      </x:c>
      <x:c r="B1118" t="str">
        <x:v>NMOS</x:v>
      </x:c>
      <x:c r="C1118" t="n">
        <x:v>45</x:v>
      </x:c>
      <x:c r="D1118" t="str">
        <x:v>LP</x:v>
      </x:c>
      <x:c r="E1118" t="n">
        <x:v>1</x:v>
      </x:c>
      <x:c r="F1118" t="n">
        <x:v>0.045</x:v>
      </x:c>
      <x:c r="G1118" t="n">
        <x:v>25</x:v>
      </x:c>
      <x:c r="H1118" t="n">
        <x:v>1</x:v>
      </x:c>
      <x:c r="I1118" t="n">
        <x:v>0.3600000000000003</x:v>
      </x:c>
      <x:c r="J1118" t="n">
        <x:v>2.427558290030328e-7</x:v>
      </x:c>
      <x:c r="K1118" t="str">
        <x:v>common_1v</x:v>
      </x:c>
      <x:c r="L1118" t="str">
        <x:v>common_vdd</x:v>
      </x:c>
      <x:c r="M1118" t="n">
        <x:v>1.1</x:v>
      </x:c>
      <x:c r="N1118" t="str">
        <x:v>simulation</x:v>
      </x:c>
      <x:c r="O1118" t="str">
        <x:v>ngspice</x:v>
      </x:c>
      <x:c r="P1118" t="str">
        <x:v>397141eb8a813045075ac2be3098d3b136ebaf4d597c08fca627922a75e443b7</x:v>
      </x:c>
      <x:c r="Q1118" t="str">
        <x:v>data/raw/ptm45_lp_vds_1v_raw.txt</x:v>
      </x:c>
    </x:row>
    <x:row r="1119">
      <x:c r="A1119" t="str">
        <x:v>PTM</x:v>
      </x:c>
      <x:c r="B1119" t="str">
        <x:v>NMOS</x:v>
      </x:c>
      <x:c r="C1119" t="n">
        <x:v>45</x:v>
      </x:c>
      <x:c r="D1119" t="str">
        <x:v>LP</x:v>
      </x:c>
      <x:c r="E1119" t="n">
        <x:v>1</x:v>
      </x:c>
      <x:c r="F1119" t="n">
        <x:v>0.045</x:v>
      </x:c>
      <x:c r="G1119" t="n">
        <x:v>25</x:v>
      </x:c>
      <x:c r="H1119" t="n">
        <x:v>1</x:v>
      </x:c>
      <x:c r="I1119" t="n">
        <x:v>0.3650000000000003</x:v>
      </x:c>
      <x:c r="J1119" t="n">
        <x:v>2.737545560534216e-7</x:v>
      </x:c>
      <x:c r="K1119" t="str">
        <x:v>common_1v</x:v>
      </x:c>
      <x:c r="L1119" t="str">
        <x:v>common_vdd</x:v>
      </x:c>
      <x:c r="M1119" t="n">
        <x:v>1.1</x:v>
      </x:c>
      <x:c r="N1119" t="str">
        <x:v>simulation</x:v>
      </x:c>
      <x:c r="O1119" t="str">
        <x:v>ngspice</x:v>
      </x:c>
      <x:c r="P1119" t="str">
        <x:v>397141eb8a813045075ac2be3098d3b136ebaf4d597c08fca627922a75e443b7</x:v>
      </x:c>
      <x:c r="Q1119" t="str">
        <x:v>data/raw/ptm45_lp_vds_1v_raw.txt</x:v>
      </x:c>
    </x:row>
    <x:row r="1120">
      <x:c r="A1120" t="str">
        <x:v>PTM</x:v>
      </x:c>
      <x:c r="B1120" t="str">
        <x:v>NMOS</x:v>
      </x:c>
      <x:c r="C1120" t="n">
        <x:v>45</x:v>
      </x:c>
      <x:c r="D1120" t="str">
        <x:v>LP</x:v>
      </x:c>
      <x:c r="E1120" t="n">
        <x:v>1</x:v>
      </x:c>
      <x:c r="F1120" t="n">
        <x:v>0.045</x:v>
      </x:c>
      <x:c r="G1120" t="n">
        <x:v>25</x:v>
      </x:c>
      <x:c r="H1120" t="n">
        <x:v>1</x:v>
      </x:c>
      <x:c r="I1120" t="n">
        <x:v>0.3700000000000003</x:v>
      </x:c>
      <x:c r="J1120" t="n">
        <x:v>3.085129870941359e-7</x:v>
      </x:c>
      <x:c r="K1120" t="str">
        <x:v>common_1v</x:v>
      </x:c>
      <x:c r="L1120" t="str">
        <x:v>common_vdd</x:v>
      </x:c>
      <x:c r="M1120" t="n">
        <x:v>1.1</x:v>
      </x:c>
      <x:c r="N1120" t="str">
        <x:v>simulation</x:v>
      </x:c>
      <x:c r="O1120" t="str">
        <x:v>ngspice</x:v>
      </x:c>
      <x:c r="P1120" t="str">
        <x:v>397141eb8a813045075ac2be3098d3b136ebaf4d597c08fca627922a75e443b7</x:v>
      </x:c>
      <x:c r="Q1120" t="str">
        <x:v>data/raw/ptm45_lp_vds_1v_raw.txt</x:v>
      </x:c>
    </x:row>
    <x:row r="1121">
      <x:c r="A1121" t="str">
        <x:v>PTM</x:v>
      </x:c>
      <x:c r="B1121" t="str">
        <x:v>NMOS</x:v>
      </x:c>
      <x:c r="C1121" t="n">
        <x:v>45</x:v>
      </x:c>
      <x:c r="D1121" t="str">
        <x:v>LP</x:v>
      </x:c>
      <x:c r="E1121" t="n">
        <x:v>1</x:v>
      </x:c>
      <x:c r="F1121" t="n">
        <x:v>0.045</x:v>
      </x:c>
      <x:c r="G1121" t="n">
        <x:v>25</x:v>
      </x:c>
      <x:c r="H1121" t="n">
        <x:v>1</x:v>
      </x:c>
      <x:c r="I1121" t="n">
        <x:v>0.3750000000000003</x:v>
      </x:c>
      <x:c r="J1121" t="n">
        <x:v>3.474548724799429e-7</x:v>
      </x:c>
      <x:c r="K1121" t="str">
        <x:v>common_1v</x:v>
      </x:c>
      <x:c r="L1121" t="str">
        <x:v>common_vdd</x:v>
      </x:c>
      <x:c r="M1121" t="n">
        <x:v>1.1</x:v>
      </x:c>
      <x:c r="N1121" t="str">
        <x:v>simulation</x:v>
      </x:c>
      <x:c r="O1121" t="str">
        <x:v>ngspice</x:v>
      </x:c>
      <x:c r="P1121" t="str">
        <x:v>397141eb8a813045075ac2be3098d3b136ebaf4d597c08fca627922a75e443b7</x:v>
      </x:c>
      <x:c r="Q1121" t="str">
        <x:v>data/raw/ptm45_lp_vds_1v_raw.txt</x:v>
      </x:c>
    </x:row>
    <x:row r="1122">
      <x:c r="A1122" t="str">
        <x:v>PTM</x:v>
      </x:c>
      <x:c r="B1122" t="str">
        <x:v>NMOS</x:v>
      </x:c>
      <x:c r="C1122" t="n">
        <x:v>45</x:v>
      </x:c>
      <x:c r="D1122" t="str">
        <x:v>LP</x:v>
      </x:c>
      <x:c r="E1122" t="n">
        <x:v>1</x:v>
      </x:c>
      <x:c r="F1122" t="n">
        <x:v>0.045</x:v>
      </x:c>
      <x:c r="G1122" t="n">
        <x:v>25</x:v>
      </x:c>
      <x:c r="H1122" t="n">
        <x:v>1</x:v>
      </x:c>
      <x:c r="I1122" t="n">
        <x:v>0.3800000000000003</x:v>
      </x:c>
      <x:c r="J1122" t="n">
        <x:v>3.91047048787814e-7</x:v>
      </x:c>
      <x:c r="K1122" t="str">
        <x:v>common_1v</x:v>
      </x:c>
      <x:c r="L1122" t="str">
        <x:v>common_vdd</x:v>
      </x:c>
      <x:c r="M1122" t="n">
        <x:v>1.1</x:v>
      </x:c>
      <x:c r="N1122" t="str">
        <x:v>simulation</x:v>
      </x:c>
      <x:c r="O1122" t="str">
        <x:v>ngspice</x:v>
      </x:c>
      <x:c r="P1122" t="str">
        <x:v>397141eb8a813045075ac2be3098d3b136ebaf4d597c08fca627922a75e443b7</x:v>
      </x:c>
      <x:c r="Q1122" t="str">
        <x:v>data/raw/ptm45_lp_vds_1v_raw.txt</x:v>
      </x:c>
    </x:row>
    <x:row r="1123">
      <x:c r="A1123" t="str">
        <x:v>PTM</x:v>
      </x:c>
      <x:c r="B1123" t="str">
        <x:v>NMOS</x:v>
      </x:c>
      <x:c r="C1123" t="n">
        <x:v>45</x:v>
      </x:c>
      <x:c r="D1123" t="str">
        <x:v>LP</x:v>
      </x:c>
      <x:c r="E1123" t="n">
        <x:v>1</x:v>
      </x:c>
      <x:c r="F1123" t="n">
        <x:v>0.045</x:v>
      </x:c>
      <x:c r="G1123" t="n">
        <x:v>25</x:v>
      </x:c>
      <x:c r="H1123" t="n">
        <x:v>1</x:v>
      </x:c>
      <x:c r="I1123" t="n">
        <x:v>0.3850000000000003</x:v>
      </x:c>
      <x:c r="J1123" t="n">
        <x:v>4.398032494401846e-7</x:v>
      </x:c>
      <x:c r="K1123" t="str">
        <x:v>common_1v</x:v>
      </x:c>
      <x:c r="L1123" t="str">
        <x:v>common_vdd</x:v>
      </x:c>
      <x:c r="M1123" t="n">
        <x:v>1.1</x:v>
      </x:c>
      <x:c r="N1123" t="str">
        <x:v>simulation</x:v>
      </x:c>
      <x:c r="O1123" t="str">
        <x:v>ngspice</x:v>
      </x:c>
      <x:c r="P1123" t="str">
        <x:v>397141eb8a813045075ac2be3098d3b136ebaf4d597c08fca627922a75e443b7</x:v>
      </x:c>
      <x:c r="Q1123" t="str">
        <x:v>data/raw/ptm45_lp_vds_1v_raw.txt</x:v>
      </x:c>
    </x:row>
    <x:row r="1124">
      <x:c r="A1124" t="str">
        <x:v>PTM</x:v>
      </x:c>
      <x:c r="B1124" t="str">
        <x:v>NMOS</x:v>
      </x:c>
      <x:c r="C1124" t="n">
        <x:v>45</x:v>
      </x:c>
      <x:c r="D1124" t="str">
        <x:v>LP</x:v>
      </x:c>
      <x:c r="E1124" t="n">
        <x:v>1</x:v>
      </x:c>
      <x:c r="F1124" t="n">
        <x:v>0.045</x:v>
      </x:c>
      <x:c r="G1124" t="n">
        <x:v>25</x:v>
      </x:c>
      <x:c r="H1124" t="n">
        <x:v>1</x:v>
      </x:c>
      <x:c r="I1124" t="n">
        <x:v>0.3900000000000003</x:v>
      </x:c>
      <x:c r="J1124" t="n">
        <x:v>4.942881983435589e-7</x:v>
      </x:c>
      <x:c r="K1124" t="str">
        <x:v>common_1v</x:v>
      </x:c>
      <x:c r="L1124" t="str">
        <x:v>common_vdd</x:v>
      </x:c>
      <x:c r="M1124" t="n">
        <x:v>1.1</x:v>
      </x:c>
      <x:c r="N1124" t="str">
        <x:v>simulation</x:v>
      </x:c>
      <x:c r="O1124" t="str">
        <x:v>ngspice</x:v>
      </x:c>
      <x:c r="P1124" t="str">
        <x:v>397141eb8a813045075ac2be3098d3b136ebaf4d597c08fca627922a75e443b7</x:v>
      </x:c>
      <x:c r="Q1124" t="str">
        <x:v>data/raw/ptm45_lp_vds_1v_raw.txt</x:v>
      </x:c>
    </x:row>
    <x:row r="1125">
      <x:c r="A1125" t="str">
        <x:v>PTM</x:v>
      </x:c>
      <x:c r="B1125" t="str">
        <x:v>NMOS</x:v>
      </x:c>
      <x:c r="C1125" t="n">
        <x:v>45</x:v>
      </x:c>
      <x:c r="D1125" t="str">
        <x:v>LP</x:v>
      </x:c>
      <x:c r="E1125" t="n">
        <x:v>1</x:v>
      </x:c>
      <x:c r="F1125" t="n">
        <x:v>0.045</x:v>
      </x:c>
      <x:c r="G1125" t="n">
        <x:v>25</x:v>
      </x:c>
      <x:c r="H1125" t="n">
        <x:v>1</x:v>
      </x:c>
      <x:c r="I1125" t="n">
        <x:v>0.3950000000000004</x:v>
      </x:c>
      <x:c r="J1125" t="n">
        <x:v>5.551220023358563e-7</x:v>
      </x:c>
      <x:c r="K1125" t="str">
        <x:v>common_1v</x:v>
      </x:c>
      <x:c r="L1125" t="str">
        <x:v>common_vdd</x:v>
      </x:c>
      <x:c r="M1125" t="n">
        <x:v>1.1</x:v>
      </x:c>
      <x:c r="N1125" t="str">
        <x:v>simulation</x:v>
      </x:c>
      <x:c r="O1125" t="str">
        <x:v>ngspice</x:v>
      </x:c>
      <x:c r="P1125" t="str">
        <x:v>397141eb8a813045075ac2be3098d3b136ebaf4d597c08fca627922a75e443b7</x:v>
      </x:c>
      <x:c r="Q1125" t="str">
        <x:v>data/raw/ptm45_lp_vds_1v_raw.txt</x:v>
      </x:c>
    </x:row>
    <x:row r="1126">
      <x:c r="A1126" t="str">
        <x:v>PTM</x:v>
      </x:c>
      <x:c r="B1126" t="str">
        <x:v>NMOS</x:v>
      </x:c>
      <x:c r="C1126" t="n">
        <x:v>45</x:v>
      </x:c>
      <x:c r="D1126" t="str">
        <x:v>LP</x:v>
      </x:c>
      <x:c r="E1126" t="n">
        <x:v>1</x:v>
      </x:c>
      <x:c r="F1126" t="n">
        <x:v>0.045</x:v>
      </x:c>
      <x:c r="G1126" t="n">
        <x:v>25</x:v>
      </x:c>
      <x:c r="H1126" t="n">
        <x:v>1</x:v>
      </x:c>
      <x:c r="I1126" t="n">
        <x:v>0.4000000000000004</x:v>
      </x:c>
      <x:c r="J1126" t="n">
        <x:v>6.229848571863765e-7</x:v>
      </x:c>
      <x:c r="K1126" t="str">
        <x:v>common_1v</x:v>
      </x:c>
      <x:c r="L1126" t="str">
        <x:v>common_vdd</x:v>
      </x:c>
      <x:c r="M1126" t="n">
        <x:v>1.1</x:v>
      </x:c>
      <x:c r="N1126" t="str">
        <x:v>simulation</x:v>
      </x:c>
      <x:c r="O1126" t="str">
        <x:v>ngspice</x:v>
      </x:c>
      <x:c r="P1126" t="str">
        <x:v>397141eb8a813045075ac2be3098d3b136ebaf4d597c08fca627922a75e443b7</x:v>
      </x:c>
      <x:c r="Q1126" t="str">
        <x:v>data/raw/ptm45_lp_vds_1v_raw.txt</x:v>
      </x:c>
    </x:row>
    <x:row r="1127">
      <x:c r="A1127" t="str">
        <x:v>PTM</x:v>
      </x:c>
      <x:c r="B1127" t="str">
        <x:v>NMOS</x:v>
      </x:c>
      <x:c r="C1127" t="n">
        <x:v>45</x:v>
      </x:c>
      <x:c r="D1127" t="str">
        <x:v>LP</x:v>
      </x:c>
      <x:c r="E1127" t="n">
        <x:v>1</x:v>
      </x:c>
      <x:c r="F1127" t="n">
        <x:v>0.045</x:v>
      </x:c>
      <x:c r="G1127" t="n">
        <x:v>25</x:v>
      </x:c>
      <x:c r="H1127" t="n">
        <x:v>1</x:v>
      </x:c>
      <x:c r="I1127" t="n">
        <x:v>0.4050000000000004</x:v>
      </x:c>
      <x:c r="J1127" t="n">
        <x:v>6.986220797940975e-7</x:v>
      </x:c>
      <x:c r="K1127" t="str">
        <x:v>common_1v</x:v>
      </x:c>
      <x:c r="L1127" t="str">
        <x:v>common_vdd</x:v>
      </x:c>
      <x:c r="M1127" t="n">
        <x:v>1.1</x:v>
      </x:c>
      <x:c r="N1127" t="str">
        <x:v>simulation</x:v>
      </x:c>
      <x:c r="O1127" t="str">
        <x:v>ngspice</x:v>
      </x:c>
      <x:c r="P1127" t="str">
        <x:v>397141eb8a813045075ac2be3098d3b136ebaf4d597c08fca627922a75e443b7</x:v>
      </x:c>
      <x:c r="Q1127" t="str">
        <x:v>data/raw/ptm45_lp_vds_1v_raw.txt</x:v>
      </x:c>
    </x:row>
    <x:row r="1128">
      <x:c r="A1128" t="str">
        <x:v>PTM</x:v>
      </x:c>
      <x:c r="B1128" t="str">
        <x:v>NMOS</x:v>
      </x:c>
      <x:c r="C1128" t="n">
        <x:v>45</x:v>
      </x:c>
      <x:c r="D1128" t="str">
        <x:v>LP</x:v>
      </x:c>
      <x:c r="E1128" t="n">
        <x:v>1</x:v>
      </x:c>
      <x:c r="F1128" t="n">
        <x:v>0.045</x:v>
      </x:c>
      <x:c r="G1128" t="n">
        <x:v>25</x:v>
      </x:c>
      <x:c r="H1128" t="n">
        <x:v>1</x:v>
      </x:c>
      <x:c r="I1128" t="n">
        <x:v>0.4100000000000004</x:v>
      </x:c>
      <x:c r="J1128" t="n">
        <x:v>7.82849475753335e-7</x:v>
      </x:c>
      <x:c r="K1128" t="str">
        <x:v>common_1v</x:v>
      </x:c>
      <x:c r="L1128" t="str">
        <x:v>common_vdd</x:v>
      </x:c>
      <x:c r="M1128" t="n">
        <x:v>1.1</x:v>
      </x:c>
      <x:c r="N1128" t="str">
        <x:v>simulation</x:v>
      </x:c>
      <x:c r="O1128" t="str">
        <x:v>ngspice</x:v>
      </x:c>
      <x:c r="P1128" t="str">
        <x:v>397141eb8a813045075ac2be3098d3b136ebaf4d597c08fca627922a75e443b7</x:v>
      </x:c>
      <x:c r="Q1128" t="str">
        <x:v>data/raw/ptm45_lp_vds_1v_raw.txt</x:v>
      </x:c>
    </x:row>
    <x:row r="1129">
      <x:c r="A1129" t="str">
        <x:v>PTM</x:v>
      </x:c>
      <x:c r="B1129" t="str">
        <x:v>NMOS</x:v>
      </x:c>
      <x:c r="C1129" t="n">
        <x:v>45</x:v>
      </x:c>
      <x:c r="D1129" t="str">
        <x:v>LP</x:v>
      </x:c>
      <x:c r="E1129" t="n">
        <x:v>1</x:v>
      </x:c>
      <x:c r="F1129" t="n">
        <x:v>0.045</x:v>
      </x:c>
      <x:c r="G1129" t="n">
        <x:v>25</x:v>
      </x:c>
      <x:c r="H1129" t="n">
        <x:v>1</x:v>
      </x:c>
      <x:c r="I1129" t="n">
        <x:v>0.4150000000000004</x:v>
      </x:c>
      <x:c r="J1129" t="n">
        <x:v>8.765590462403014e-7</x:v>
      </x:c>
      <x:c r="K1129" t="str">
        <x:v>common_1v</x:v>
      </x:c>
      <x:c r="L1129" t="str">
        <x:v>common_vdd</x:v>
      </x:c>
      <x:c r="M1129" t="n">
        <x:v>1.1</x:v>
      </x:c>
      <x:c r="N1129" t="str">
        <x:v>simulation</x:v>
      </x:c>
      <x:c r="O1129" t="str">
        <x:v>ngspice</x:v>
      </x:c>
      <x:c r="P1129" t="str">
        <x:v>397141eb8a813045075ac2be3098d3b136ebaf4d597c08fca627922a75e443b7</x:v>
      </x:c>
      <x:c r="Q1129" t="str">
        <x:v>data/raw/ptm45_lp_vds_1v_raw.txt</x:v>
      </x:c>
    </x:row>
    <x:row r="1130">
      <x:c r="A1130" t="str">
        <x:v>PTM</x:v>
      </x:c>
      <x:c r="B1130" t="str">
        <x:v>NMOS</x:v>
      </x:c>
      <x:c r="C1130" t="n">
        <x:v>45</x:v>
      </x:c>
      <x:c r="D1130" t="str">
        <x:v>LP</x:v>
      </x:c>
      <x:c r="E1130" t="n">
        <x:v>1</x:v>
      </x:c>
      <x:c r="F1130" t="n">
        <x:v>0.045</x:v>
      </x:c>
      <x:c r="G1130" t="n">
        <x:v>25</x:v>
      </x:c>
      <x:c r="H1130" t="n">
        <x:v>1</x:v>
      </x:c>
      <x:c r="I1130" t="n">
        <x:v>0.4200000000000004</x:v>
      </x:c>
      <x:c r="J1130" t="n">
        <x:v>9.807250308368829e-7</x:v>
      </x:c>
      <x:c r="K1130" t="str">
        <x:v>common_1v</x:v>
      </x:c>
      <x:c r="L1130" t="str">
        <x:v>common_vdd</x:v>
      </x:c>
      <x:c r="M1130" t="n">
        <x:v>1.1</x:v>
      </x:c>
      <x:c r="N1130" t="str">
        <x:v>simulation</x:v>
      </x:c>
      <x:c r="O1130" t="str">
        <x:v>ngspice</x:v>
      </x:c>
      <x:c r="P1130" t="str">
        <x:v>397141eb8a813045075ac2be3098d3b136ebaf4d597c08fca627922a75e443b7</x:v>
      </x:c>
      <x:c r="Q1130" t="str">
        <x:v>data/raw/ptm45_lp_vds_1v_raw.txt</x:v>
      </x:c>
    </x:row>
    <x:row r="1131">
      <x:c r="A1131" t="str">
        <x:v>PTM</x:v>
      </x:c>
      <x:c r="B1131" t="str">
        <x:v>NMOS</x:v>
      </x:c>
      <x:c r="C1131" t="n">
        <x:v>45</x:v>
      </x:c>
      <x:c r="D1131" t="str">
        <x:v>LP</x:v>
      </x:c>
      <x:c r="E1131" t="n">
        <x:v>1</x:v>
      </x:c>
      <x:c r="F1131" t="n">
        <x:v>0.045</x:v>
      </x:c>
      <x:c r="G1131" t="n">
        <x:v>25</x:v>
      </x:c>
      <x:c r="H1131" t="n">
        <x:v>1</x:v>
      </x:c>
      <x:c r="I1131" t="n">
        <x:v>0.4250000000000004</x:v>
      </x:c>
      <x:c r="J1131" t="n">
        <x:v>0.000001096410273070978</x:v>
      </x:c>
      <x:c r="K1131" t="str">
        <x:v>common_1v</x:v>
      </x:c>
      <x:c r="L1131" t="str">
        <x:v>common_vdd</x:v>
      </x:c>
      <x:c r="M1131" t="n">
        <x:v>1.1</x:v>
      </x:c>
      <x:c r="N1131" t="str">
        <x:v>simulation</x:v>
      </x:c>
      <x:c r="O1131" t="str">
        <x:v>ngspice</x:v>
      </x:c>
      <x:c r="P1131" t="str">
        <x:v>397141eb8a813045075ac2be3098d3b136ebaf4d597c08fca627922a75e443b7</x:v>
      </x:c>
      <x:c r="Q1131" t="str">
        <x:v>data/raw/ptm45_lp_vds_1v_raw.txt</x:v>
      </x:c>
    </x:row>
    <x:row r="1132">
      <x:c r="A1132" t="str">
        <x:v>PTM</x:v>
      </x:c>
      <x:c r="B1132" t="str">
        <x:v>NMOS</x:v>
      </x:c>
      <x:c r="C1132" t="n">
        <x:v>45</x:v>
      </x:c>
      <x:c r="D1132" t="str">
        <x:v>LP</x:v>
      </x:c>
      <x:c r="E1132" t="n">
        <x:v>1</x:v>
      </x:c>
      <x:c r="F1132" t="n">
        <x:v>0.045</x:v>
      </x:c>
      <x:c r="G1132" t="n">
        <x:v>25</x:v>
      </x:c>
      <x:c r="H1132" t="n">
        <x:v>1</x:v>
      </x:c>
      <x:c r="I1132" t="n">
        <x:v>0.4300000000000004</x:v>
      </x:c>
      <x:c r="J1132" t="n">
        <x:v>0.000001224772882773201</x:v>
      </x:c>
      <x:c r="K1132" t="str">
        <x:v>common_1v</x:v>
      </x:c>
      <x:c r="L1132" t="str">
        <x:v>common_vdd</x:v>
      </x:c>
      <x:c r="M1132" t="n">
        <x:v>1.1</x:v>
      </x:c>
      <x:c r="N1132" t="str">
        <x:v>simulation</x:v>
      </x:c>
      <x:c r="O1132" t="str">
        <x:v>ngspice</x:v>
      </x:c>
      <x:c r="P1132" t="str">
        <x:v>397141eb8a813045075ac2be3098d3b136ebaf4d597c08fca627922a75e443b7</x:v>
      </x:c>
      <x:c r="Q1132" t="str">
        <x:v>data/raw/ptm45_lp_vds_1v_raw.txt</x:v>
      </x:c>
    </x:row>
    <x:row r="1133">
      <x:c r="A1133" t="str">
        <x:v>PTM</x:v>
      </x:c>
      <x:c r="B1133" t="str">
        <x:v>NMOS</x:v>
      </x:c>
      <x:c r="C1133" t="n">
        <x:v>45</x:v>
      </x:c>
      <x:c r="D1133" t="str">
        <x:v>LP</x:v>
      </x:c>
      <x:c r="E1133" t="n">
        <x:v>1</x:v>
      </x:c>
      <x:c r="F1133" t="n">
        <x:v>0.045</x:v>
      </x:c>
      <x:c r="G1133" t="n">
        <x:v>25</x:v>
      </x:c>
      <x:c r="H1133" t="n">
        <x:v>1</x:v>
      </x:c>
      <x:c r="I1133" t="n">
        <x:v>0.4350000000000004</x:v>
      </x:c>
      <x:c r="J1133" t="n">
        <x:v>0.000001367073153552329</x:v>
      </x:c>
      <x:c r="K1133" t="str">
        <x:v>common_1v</x:v>
      </x:c>
      <x:c r="L1133" t="str">
        <x:v>common_vdd</x:v>
      </x:c>
      <x:c r="M1133" t="n">
        <x:v>1.1</x:v>
      </x:c>
      <x:c r="N1133" t="str">
        <x:v>simulation</x:v>
      </x:c>
      <x:c r="O1133" t="str">
        <x:v>ngspice</x:v>
      </x:c>
      <x:c r="P1133" t="str">
        <x:v>397141eb8a813045075ac2be3098d3b136ebaf4d597c08fca627922a75e443b7</x:v>
      </x:c>
      <x:c r="Q1133" t="str">
        <x:v>data/raw/ptm45_lp_vds_1v_raw.txt</x:v>
      </x:c>
    </x:row>
    <x:row r="1134">
      <x:c r="A1134" t="str">
        <x:v>PTM</x:v>
      </x:c>
      <x:c r="B1134" t="str">
        <x:v>NMOS</x:v>
      </x:c>
      <x:c r="C1134" t="n">
        <x:v>45</x:v>
      </x:c>
      <x:c r="D1134" t="str">
        <x:v>LP</x:v>
      </x:c>
      <x:c r="E1134" t="n">
        <x:v>1</x:v>
      </x:c>
      <x:c r="F1134" t="n">
        <x:v>0.045</x:v>
      </x:c>
      <x:c r="G1134" t="n">
        <x:v>25</x:v>
      </x:c>
      <x:c r="H1134" t="n">
        <x:v>1</x:v>
      </x:c>
      <x:c r="I1134" t="n">
        <x:v>0.4400000000000004</x:v>
      </x:c>
      <x:c r="J1134" t="n">
        <x:v>0.000001524680674616621</x:v>
      </x:c>
      <x:c r="K1134" t="str">
        <x:v>common_1v</x:v>
      </x:c>
      <x:c r="L1134" t="str">
        <x:v>common_vdd</x:v>
      </x:c>
      <x:c r="M1134" t="n">
        <x:v>1.1</x:v>
      </x:c>
      <x:c r="N1134" t="str">
        <x:v>simulation</x:v>
      </x:c>
      <x:c r="O1134" t="str">
        <x:v>ngspice</x:v>
      </x:c>
      <x:c r="P1134" t="str">
        <x:v>397141eb8a813045075ac2be3098d3b136ebaf4d597c08fca627922a75e443b7</x:v>
      </x:c>
      <x:c r="Q1134" t="str">
        <x:v>data/raw/ptm45_lp_vds_1v_raw.txt</x:v>
      </x:c>
    </x:row>
    <x:row r="1135">
      <x:c r="A1135" t="str">
        <x:v>PTM</x:v>
      </x:c>
      <x:c r="B1135" t="str">
        <x:v>NMOS</x:v>
      </x:c>
      <x:c r="C1135" t="n">
        <x:v>45</x:v>
      </x:c>
      <x:c r="D1135" t="str">
        <x:v>LP</x:v>
      </x:c>
      <x:c r="E1135" t="n">
        <x:v>1</x:v>
      </x:c>
      <x:c r="F1135" t="n">
        <x:v>0.045</x:v>
      </x:c>
      <x:c r="G1135" t="n">
        <x:v>25</x:v>
      </x:c>
      <x:c r="H1135" t="n">
        <x:v>1</x:v>
      </x:c>
      <x:c r="I1135" t="n">
        <x:v>0.4450000000000004</x:v>
      </x:c>
      <x:c r="J1135" t="n">
        <x:v>0.000001699081553814694</x:v>
      </x:c>
      <x:c r="K1135" t="str">
        <x:v>common_1v</x:v>
      </x:c>
      <x:c r="L1135" t="str">
        <x:v>common_vdd</x:v>
      </x:c>
      <x:c r="M1135" t="n">
        <x:v>1.1</x:v>
      </x:c>
      <x:c r="N1135" t="str">
        <x:v>simulation</x:v>
      </x:c>
      <x:c r="O1135" t="str">
        <x:v>ngspice</x:v>
      </x:c>
      <x:c r="P1135" t="str">
        <x:v>397141eb8a813045075ac2be3098d3b136ebaf4d597c08fca627922a75e443b7</x:v>
      </x:c>
      <x:c r="Q1135" t="str">
        <x:v>data/raw/ptm45_lp_vds_1v_raw.txt</x:v>
      </x:c>
    </x:row>
    <x:row r="1136">
      <x:c r="A1136" t="str">
        <x:v>PTM</x:v>
      </x:c>
      <x:c r="B1136" t="str">
        <x:v>NMOS</x:v>
      </x:c>
      <x:c r="C1136" t="n">
        <x:v>45</x:v>
      </x:c>
      <x:c r="D1136" t="str">
        <x:v>LP</x:v>
      </x:c>
      <x:c r="E1136" t="n">
        <x:v>1</x:v>
      </x:c>
      <x:c r="F1136" t="n">
        <x:v>0.045</x:v>
      </x:c>
      <x:c r="G1136" t="n">
        <x:v>25</x:v>
      </x:c>
      <x:c r="H1136" t="n">
        <x:v>1</x:v>
      </x:c>
      <x:c r="I1136" t="n">
        <x:v>0.4500000000000004</x:v>
      </x:c>
      <x:c r="J1136" t="n">
        <x:v>0.000001891885643347979</x:v>
      </x:c>
      <x:c r="K1136" t="str">
        <x:v>common_1v</x:v>
      </x:c>
      <x:c r="L1136" t="str">
        <x:v>common_vdd</x:v>
      </x:c>
      <x:c r="M1136" t="n">
        <x:v>1.1</x:v>
      </x:c>
      <x:c r="N1136" t="str">
        <x:v>simulation</x:v>
      </x:c>
      <x:c r="O1136" t="str">
        <x:v>ngspice</x:v>
      </x:c>
      <x:c r="P1136" t="str">
        <x:v>397141eb8a813045075ac2be3098d3b136ebaf4d597c08fca627922a75e443b7</x:v>
      </x:c>
      <x:c r="Q1136" t="str">
        <x:v>data/raw/ptm45_lp_vds_1v_raw.txt</x:v>
      </x:c>
    </x:row>
    <x:row r="1137">
      <x:c r="A1137" t="str">
        <x:v>PTM</x:v>
      </x:c>
      <x:c r="B1137" t="str">
        <x:v>NMOS</x:v>
      </x:c>
      <x:c r="C1137" t="n">
        <x:v>45</x:v>
      </x:c>
      <x:c r="D1137" t="str">
        <x:v>LP</x:v>
      </x:c>
      <x:c r="E1137" t="n">
        <x:v>1</x:v>
      </x:c>
      <x:c r="F1137" t="n">
        <x:v>0.045</x:v>
      </x:c>
      <x:c r="G1137" t="n">
        <x:v>25</x:v>
      </x:c>
      <x:c r="H1137" t="n">
        <x:v>1</x:v>
      </x:c>
      <x:c r="I1137" t="n">
        <x:v>0.4550000000000004</x:v>
      </x:c>
      <x:c r="J1137" t="n">
        <x:v>0.000002104833631576693</x:v>
      </x:c>
      <x:c r="K1137" t="str">
        <x:v>common_1v</x:v>
      </x:c>
      <x:c r="L1137" t="str">
        <x:v>common_vdd</x:v>
      </x:c>
      <x:c r="M1137" t="n">
        <x:v>1.1</x:v>
      </x:c>
      <x:c r="N1137" t="str">
        <x:v>simulation</x:v>
      </x:c>
      <x:c r="O1137" t="str">
        <x:v>ngspice</x:v>
      </x:c>
      <x:c r="P1137" t="str">
        <x:v>397141eb8a813045075ac2be3098d3b136ebaf4d597c08fca627922a75e443b7</x:v>
      </x:c>
      <x:c r="Q1137" t="str">
        <x:v>data/raw/ptm45_lp_vds_1v_raw.txt</x:v>
      </x:c>
    </x:row>
    <x:row r="1138">
      <x:c r="A1138" t="str">
        <x:v>PTM</x:v>
      </x:c>
      <x:c r="B1138" t="str">
        <x:v>NMOS</x:v>
      </x:c>
      <x:c r="C1138" t="n">
        <x:v>45</x:v>
      </x:c>
      <x:c r="D1138" t="str">
        <x:v>LP</x:v>
      </x:c>
      <x:c r="E1138" t="n">
        <x:v>1</x:v>
      </x:c>
      <x:c r="F1138" t="n">
        <x:v>0.045</x:v>
      </x:c>
      <x:c r="G1138" t="n">
        <x:v>25</x:v>
      </x:c>
      <x:c r="H1138" t="n">
        <x:v>1</x:v>
      </x:c>
      <x:c r="I1138" t="n">
        <x:v>0.4600000000000004</x:v>
      </x:c>
      <x:c r="J1138" t="n">
        <x:v>0.000002339803834458113</x:v>
      </x:c>
      <x:c r="K1138" t="str">
        <x:v>common_1v</x:v>
      </x:c>
      <x:c r="L1138" t="str">
        <x:v>common_vdd</x:v>
      </x:c>
      <x:c r="M1138" t="n">
        <x:v>1.1</x:v>
      </x:c>
      <x:c r="N1138" t="str">
        <x:v>simulation</x:v>
      </x:c>
      <x:c r="O1138" t="str">
        <x:v>ngspice</x:v>
      </x:c>
      <x:c r="P1138" t="str">
        <x:v>397141eb8a813045075ac2be3098d3b136ebaf4d597c08fca627922a75e443b7</x:v>
      </x:c>
      <x:c r="Q1138" t="str">
        <x:v>data/raw/ptm45_lp_vds_1v_raw.txt</x:v>
      </x:c>
    </x:row>
    <x:row r="1139">
      <x:c r="A1139" t="str">
        <x:v>PTM</x:v>
      </x:c>
      <x:c r="B1139" t="str">
        <x:v>NMOS</x:v>
      </x:c>
      <x:c r="C1139" t="n">
        <x:v>45</x:v>
      </x:c>
      <x:c r="D1139" t="str">
        <x:v>LP</x:v>
      </x:c>
      <x:c r="E1139" t="n">
        <x:v>1</x:v>
      </x:c>
      <x:c r="F1139" t="n">
        <x:v>0.045</x:v>
      </x:c>
      <x:c r="G1139" t="n">
        <x:v>25</x:v>
      </x:c>
      <x:c r="H1139" t="n">
        <x:v>1</x:v>
      </x:c>
      <x:c r="I1139" t="n">
        <x:v>0.4650000000000004</x:v>
      </x:c>
      <x:c r="J1139" t="n">
        <x:v>0.000002598818489486496</x:v>
      </x:c>
      <x:c r="K1139" t="str">
        <x:v>common_1v</x:v>
      </x:c>
      <x:c r="L1139" t="str">
        <x:v>common_vdd</x:v>
      </x:c>
      <x:c r="M1139" t="n">
        <x:v>1.1</x:v>
      </x:c>
      <x:c r="N1139" t="str">
        <x:v>simulation</x:v>
      </x:c>
      <x:c r="O1139" t="str">
        <x:v>ngspice</x:v>
      </x:c>
      <x:c r="P1139" t="str">
        <x:v>397141eb8a813045075ac2be3098d3b136ebaf4d597c08fca627922a75e443b7</x:v>
      </x:c>
      <x:c r="Q1139" t="str">
        <x:v>data/raw/ptm45_lp_vds_1v_raw.txt</x:v>
      </x:c>
    </x:row>
    <x:row r="1140">
      <x:c r="A1140" t="str">
        <x:v>PTM</x:v>
      </x:c>
      <x:c r="B1140" t="str">
        <x:v>NMOS</x:v>
      </x:c>
      <x:c r="C1140" t="n">
        <x:v>45</x:v>
      </x:c>
      <x:c r="D1140" t="str">
        <x:v>LP</x:v>
      </x:c>
      <x:c r="E1140" t="n">
        <x:v>1</x:v>
      </x:c>
      <x:c r="F1140" t="n">
        <x:v>0.045</x:v>
      </x:c>
      <x:c r="G1140" t="n">
        <x:v>25</x:v>
      </x:c>
      <x:c r="H1140" t="n">
        <x:v>1</x:v>
      </x:c>
      <x:c r="I1140" t="n">
        <x:v>0.4700000000000004</x:v>
      </x:c>
      <x:c r="J1140" t="n">
        <x:v>0.000002884049324936066</x:v>
      </x:c>
      <x:c r="K1140" t="str">
        <x:v>common_1v</x:v>
      </x:c>
      <x:c r="L1140" t="str">
        <x:v>common_vdd</x:v>
      </x:c>
      <x:c r="M1140" t="n">
        <x:v>1.1</x:v>
      </x:c>
      <x:c r="N1140" t="str">
        <x:v>simulation</x:v>
      </x:c>
      <x:c r="O1140" t="str">
        <x:v>ngspice</x:v>
      </x:c>
      <x:c r="P1140" t="str">
        <x:v>397141eb8a813045075ac2be3098d3b136ebaf4d597c08fca627922a75e443b7</x:v>
      </x:c>
      <x:c r="Q1140" t="str">
        <x:v>data/raw/ptm45_lp_vds_1v_raw.txt</x:v>
      </x:c>
    </x:row>
    <x:row r="1141">
      <x:c r="A1141" t="str">
        <x:v>PTM</x:v>
      </x:c>
      <x:c r="B1141" t="str">
        <x:v>NMOS</x:v>
      </x:c>
      <x:c r="C1141" t="n">
        <x:v>45</x:v>
      </x:c>
      <x:c r="D1141" t="str">
        <x:v>LP</x:v>
      </x:c>
      <x:c r="E1141" t="n">
        <x:v>1</x:v>
      </x:c>
      <x:c r="F1141" t="n">
        <x:v>0.045</x:v>
      </x:c>
      <x:c r="G1141" t="n">
        <x:v>25</x:v>
      </x:c>
      <x:c r="H1141" t="n">
        <x:v>1</x:v>
      </x:c>
      <x:c r="I1141" t="n">
        <x:v>0.4750000000000004</x:v>
      </x:c>
      <x:c r="J1141" t="n">
        <x:v>0.000003197822149427569</x:v>
      </x:c>
      <x:c r="K1141" t="str">
        <x:v>common_1v</x:v>
      </x:c>
      <x:c r="L1141" t="str">
        <x:v>common_vdd</x:v>
      </x:c>
      <x:c r="M1141" t="n">
        <x:v>1.1</x:v>
      </x:c>
      <x:c r="N1141" t="str">
        <x:v>simulation</x:v>
      </x:c>
      <x:c r="O1141" t="str">
        <x:v>ngspice</x:v>
      </x:c>
      <x:c r="P1141" t="str">
        <x:v>397141eb8a813045075ac2be3098d3b136ebaf4d597c08fca627922a75e443b7</x:v>
      </x:c>
      <x:c r="Q1141" t="str">
        <x:v>data/raw/ptm45_lp_vds_1v_raw.txt</x:v>
      </x:c>
    </x:row>
    <x:row r="1142">
      <x:c r="A1142" t="str">
        <x:v>PTM</x:v>
      </x:c>
      <x:c r="B1142" t="str">
        <x:v>NMOS</x:v>
      </x:c>
      <x:c r="C1142" t="n">
        <x:v>45</x:v>
      </x:c>
      <x:c r="D1142" t="str">
        <x:v>LP</x:v>
      </x:c>
      <x:c r="E1142" t="n">
        <x:v>1</x:v>
      </x:c>
      <x:c r="F1142" t="n">
        <x:v>0.045</x:v>
      </x:c>
      <x:c r="G1142" t="n">
        <x:v>25</x:v>
      </x:c>
      <x:c r="H1142" t="n">
        <x:v>1</x:v>
      </x:c>
      <x:c r="I1142" t="n">
        <x:v>0.4800000000000004</x:v>
      </x:c>
      <x:c r="J1142" t="n">
        <x:v>0.000003542620183286753</x:v>
      </x:c>
      <x:c r="K1142" t="str">
        <x:v>common_1v</x:v>
      </x:c>
      <x:c r="L1142" t="str">
        <x:v>common_vdd</x:v>
      </x:c>
      <x:c r="M1142" t="n">
        <x:v>1.1</x:v>
      </x:c>
      <x:c r="N1142" t="str">
        <x:v>simulation</x:v>
      </x:c>
      <x:c r="O1142" t="str">
        <x:v>ngspice</x:v>
      </x:c>
      <x:c r="P1142" t="str">
        <x:v>397141eb8a813045075ac2be3098d3b136ebaf4d597c08fca627922a75e443b7</x:v>
      </x:c>
      <x:c r="Q1142" t="str">
        <x:v>data/raw/ptm45_lp_vds_1v_raw.txt</x:v>
      </x:c>
    </x:row>
    <x:row r="1143">
      <x:c r="A1143" t="str">
        <x:v>PTM</x:v>
      </x:c>
      <x:c r="B1143" t="str">
        <x:v>NMOS</x:v>
      </x:c>
      <x:c r="C1143" t="n">
        <x:v>45</x:v>
      </x:c>
      <x:c r="D1143" t="str">
        <x:v>LP</x:v>
      </x:c>
      <x:c r="E1143" t="n">
        <x:v>1</x:v>
      </x:c>
      <x:c r="F1143" t="n">
        <x:v>0.045</x:v>
      </x:c>
      <x:c r="G1143" t="n">
        <x:v>25</x:v>
      </x:c>
      <x:c r="H1143" t="n">
        <x:v>1</x:v>
      </x:c>
      <x:c r="I1143" t="n">
        <x:v>0.4850000000000004</x:v>
      </x:c>
      <x:c r="J1143" t="n">
        <x:v>0.000003921085835950356</x:v>
      </x:c>
      <x:c r="K1143" t="str">
        <x:v>common_1v</x:v>
      </x:c>
      <x:c r="L1143" t="str">
        <x:v>common_vdd</x:v>
      </x:c>
      <x:c r="M1143" t="n">
        <x:v>1.1</x:v>
      </x:c>
      <x:c r="N1143" t="str">
        <x:v>simulation</x:v>
      </x:c>
      <x:c r="O1143" t="str">
        <x:v>ngspice</x:v>
      </x:c>
      <x:c r="P1143" t="str">
        <x:v>397141eb8a813045075ac2be3098d3b136ebaf4d597c08fca627922a75e443b7</x:v>
      </x:c>
      <x:c r="Q1143" t="str">
        <x:v>data/raw/ptm45_lp_vds_1v_raw.txt</x:v>
      </x:c>
    </x:row>
    <x:row r="1144">
      <x:c r="A1144" t="str">
        <x:v>PTM</x:v>
      </x:c>
      <x:c r="B1144" t="str">
        <x:v>NMOS</x:v>
      </x:c>
      <x:c r="C1144" t="n">
        <x:v>45</x:v>
      </x:c>
      <x:c r="D1144" t="str">
        <x:v>LP</x:v>
      </x:c>
      <x:c r="E1144" t="n">
        <x:v>1</x:v>
      </x:c>
      <x:c r="F1144" t="n">
        <x:v>0.045</x:v>
      </x:c>
      <x:c r="G1144" t="n">
        <x:v>25</x:v>
      </x:c>
      <x:c r="H1144" t="n">
        <x:v>1</x:v>
      </x:c>
      <x:c r="I1144" t="n">
        <x:v>0.4900000000000004</x:v>
      </x:c>
      <x:c r="J1144" t="n">
        <x:v>0.000004336020624975936</x:v>
      </x:c>
      <x:c r="K1144" t="str">
        <x:v>common_1v</x:v>
      </x:c>
      <x:c r="L1144" t="str">
        <x:v>common_vdd</x:v>
      </x:c>
      <x:c r="M1144" t="n">
        <x:v>1.1</x:v>
      </x:c>
      <x:c r="N1144" t="str">
        <x:v>simulation</x:v>
      </x:c>
      <x:c r="O1144" t="str">
        <x:v>ngspice</x:v>
      </x:c>
      <x:c r="P1144" t="str">
        <x:v>397141eb8a813045075ac2be3098d3b136ebaf4d597c08fca627922a75e443b7</x:v>
      </x:c>
      <x:c r="Q1144" t="str">
        <x:v>data/raw/ptm45_lp_vds_1v_raw.txt</x:v>
      </x:c>
    </x:row>
    <x:row r="1145">
      <x:c r="A1145" t="str">
        <x:v>PTM</x:v>
      </x:c>
      <x:c r="B1145" t="str">
        <x:v>NMOS</x:v>
      </x:c>
      <x:c r="C1145" t="n">
        <x:v>45</x:v>
      </x:c>
      <x:c r="D1145" t="str">
        <x:v>LP</x:v>
      </x:c>
      <x:c r="E1145" t="n">
        <x:v>1</x:v>
      </x:c>
      <x:c r="F1145" t="n">
        <x:v>0.045</x:v>
      </x:c>
      <x:c r="G1145" t="n">
        <x:v>25</x:v>
      </x:c>
      <x:c r="H1145" t="n">
        <x:v>1</x:v>
      </x:c>
      <x:c r="I1145" t="n">
        <x:v>0.4950000000000004</x:v>
      </x:c>
      <x:c r="J1145" t="n">
        <x:v>0.000004790382934131968</x:v>
      </x:c>
      <x:c r="K1145" t="str">
        <x:v>common_1v</x:v>
      </x:c>
      <x:c r="L1145" t="str">
        <x:v>common_vdd</x:v>
      </x:c>
      <x:c r="M1145" t="n">
        <x:v>1.1</x:v>
      </x:c>
      <x:c r="N1145" t="str">
        <x:v>simulation</x:v>
      </x:c>
      <x:c r="O1145" t="str">
        <x:v>ngspice</x:v>
      </x:c>
      <x:c r="P1145" t="str">
        <x:v>397141eb8a813045075ac2be3098d3b136ebaf4d597c08fca627922a75e443b7</x:v>
      </x:c>
      <x:c r="Q1145" t="str">
        <x:v>data/raw/ptm45_lp_vds_1v_raw.txt</x:v>
      </x:c>
    </x:row>
    <x:row r="1146">
      <x:c r="A1146" t="str">
        <x:v>PTM</x:v>
      </x:c>
      <x:c r="B1146" t="str">
        <x:v>NMOS</x:v>
      </x:c>
      <x:c r="C1146" t="n">
        <x:v>45</x:v>
      </x:c>
      <x:c r="D1146" t="str">
        <x:v>LP</x:v>
      </x:c>
      <x:c r="E1146" t="n">
        <x:v>1</x:v>
      </x:c>
      <x:c r="F1146" t="n">
        <x:v>0.045</x:v>
      </x:c>
      <x:c r="G1146" t="n">
        <x:v>25</x:v>
      </x:c>
      <x:c r="H1146" t="n">
        <x:v>1</x:v>
      </x:c>
      <x:c r="I1146" t="n">
        <x:v>0.5000000000000004</x:v>
      </x:c>
      <x:c r="J1146" t="n">
        <x:v>0.000005287283322437928</x:v>
      </x:c>
      <x:c r="K1146" t="str">
        <x:v>common_1v</x:v>
      </x:c>
      <x:c r="L1146" t="str">
        <x:v>common_vdd</x:v>
      </x:c>
      <x:c r="M1146" t="n">
        <x:v>1.1</x:v>
      </x:c>
      <x:c r="N1146" t="str">
        <x:v>simulation</x:v>
      </x:c>
      <x:c r="O1146" t="str">
        <x:v>ngspice</x:v>
      </x:c>
      <x:c r="P1146" t="str">
        <x:v>397141eb8a813045075ac2be3098d3b136ebaf4d597c08fca627922a75e443b7</x:v>
      </x:c>
      <x:c r="Q1146" t="str">
        <x:v>data/raw/ptm45_lp_vds_1v_raw.txt</x:v>
      </x:c>
    </x:row>
    <x:row r="1147">
      <x:c r="A1147" t="str">
        <x:v>PTM</x:v>
      </x:c>
      <x:c r="B1147" t="str">
        <x:v>NMOS</x:v>
      </x:c>
      <x:c r="C1147" t="n">
        <x:v>45</x:v>
      </x:c>
      <x:c r="D1147" t="str">
        <x:v>LP</x:v>
      </x:c>
      <x:c r="E1147" t="n">
        <x:v>1</x:v>
      </x:c>
      <x:c r="F1147" t="n">
        <x:v>0.045</x:v>
      </x:c>
      <x:c r="G1147" t="n">
        <x:v>25</x:v>
      </x:c>
      <x:c r="H1147" t="n">
        <x:v>1</x:v>
      </x:c>
      <x:c r="I1147" t="n">
        <x:v>0.5050000000000004</x:v>
      </x:c>
      <x:c r="J1147" t="n">
        <x:v>0.000005829977124361596</x:v>
      </x:c>
      <x:c r="K1147" t="str">
        <x:v>common_1v</x:v>
      </x:c>
      <x:c r="L1147" t="str">
        <x:v>common_vdd</x:v>
      </x:c>
      <x:c r="M1147" t="n">
        <x:v>1.1</x:v>
      </x:c>
      <x:c r="N1147" t="str">
        <x:v>simulation</x:v>
      </x:c>
      <x:c r="O1147" t="str">
        <x:v>ngspice</x:v>
      </x:c>
      <x:c r="P1147" t="str">
        <x:v>397141eb8a813045075ac2be3098d3b136ebaf4d597c08fca627922a75e443b7</x:v>
      </x:c>
      <x:c r="Q1147" t="str">
        <x:v>data/raw/ptm45_lp_vds_1v_raw.txt</x:v>
      </x:c>
    </x:row>
    <x:row r="1148">
      <x:c r="A1148" t="str">
        <x:v>PTM</x:v>
      </x:c>
      <x:c r="B1148" t="str">
        <x:v>NMOS</x:v>
      </x:c>
      <x:c r="C1148" t="n">
        <x:v>45</x:v>
      </x:c>
      <x:c r="D1148" t="str">
        <x:v>LP</x:v>
      </x:c>
      <x:c r="E1148" t="n">
        <x:v>1</x:v>
      </x:c>
      <x:c r="F1148" t="n">
        <x:v>0.045</x:v>
      </x:c>
      <x:c r="G1148" t="n">
        <x:v>25</x:v>
      </x:c>
      <x:c r="H1148" t="n">
        <x:v>1</x:v>
      </x:c>
      <x:c r="I1148" t="n">
        <x:v>0.5100000000000005</x:v>
      </x:c>
      <x:c r="J1148" t="n">
        <x:v>0.000006421854124527282</x:v>
      </x:c>
      <x:c r="K1148" t="str">
        <x:v>common_1v</x:v>
      </x:c>
      <x:c r="L1148" t="str">
        <x:v>common_vdd</x:v>
      </x:c>
      <x:c r="M1148" t="n">
        <x:v>1.1</x:v>
      </x:c>
      <x:c r="N1148" t="str">
        <x:v>simulation</x:v>
      </x:c>
      <x:c r="O1148" t="str">
        <x:v>ngspice</x:v>
      </x:c>
      <x:c r="P1148" t="str">
        <x:v>397141eb8a813045075ac2be3098d3b136ebaf4d597c08fca627922a75e443b7</x:v>
      </x:c>
      <x:c r="Q1148" t="str">
        <x:v>data/raw/ptm45_lp_vds_1v_raw.txt</x:v>
      </x:c>
    </x:row>
    <x:row r="1149">
      <x:c r="A1149" t="str">
        <x:v>PTM</x:v>
      </x:c>
      <x:c r="B1149" t="str">
        <x:v>NMOS</x:v>
      </x:c>
      <x:c r="C1149" t="n">
        <x:v>45</x:v>
      </x:c>
      <x:c r="D1149" t="str">
        <x:v>LP</x:v>
      </x:c>
      <x:c r="E1149" t="n">
        <x:v>1</x:v>
      </x:c>
      <x:c r="F1149" t="n">
        <x:v>0.045</x:v>
      </x:c>
      <x:c r="G1149" t="n">
        <x:v>25</x:v>
      </x:c>
      <x:c r="H1149" t="n">
        <x:v>1</x:v>
      </x:c>
      <x:c r="I1149" t="n">
        <x:v>0.5150000000000005</x:v>
      </x:c>
      <x:c r="J1149" t="n">
        <x:v>0.000007066425148395598</x:v>
      </x:c>
      <x:c r="K1149" t="str">
        <x:v>common_1v</x:v>
      </x:c>
      <x:c r="L1149" t="str">
        <x:v>common_vdd</x:v>
      </x:c>
      <x:c r="M1149" t="n">
        <x:v>1.1</x:v>
      </x:c>
      <x:c r="N1149" t="str">
        <x:v>simulation</x:v>
      </x:c>
      <x:c r="O1149" t="str">
        <x:v>ngspice</x:v>
      </x:c>
      <x:c r="P1149" t="str">
        <x:v>397141eb8a813045075ac2be3098d3b136ebaf4d597c08fca627922a75e443b7</x:v>
      </x:c>
      <x:c r="Q1149" t="str">
        <x:v>data/raw/ptm45_lp_vds_1v_raw.txt</x:v>
      </x:c>
    </x:row>
    <x:row r="1150">
      <x:c r="A1150" t="str">
        <x:v>PTM</x:v>
      </x:c>
      <x:c r="B1150" t="str">
        <x:v>NMOS</x:v>
      </x:c>
      <x:c r="C1150" t="n">
        <x:v>45</x:v>
      </x:c>
      <x:c r="D1150" t="str">
        <x:v>LP</x:v>
      </x:c>
      <x:c r="E1150" t="n">
        <x:v>1</x:v>
      </x:c>
      <x:c r="F1150" t="n">
        <x:v>0.045</x:v>
      </x:c>
      <x:c r="G1150" t="n">
        <x:v>25</x:v>
      </x:c>
      <x:c r="H1150" t="n">
        <x:v>1</x:v>
      </x:c>
      <x:c r="I1150" t="n">
        <x:v>0.5200000000000005</x:v>
      </x:c>
      <x:c r="J1150" t="n">
        <x:v>0.000007767305482719421</x:v>
      </x:c>
      <x:c r="K1150" t="str">
        <x:v>common_1v</x:v>
      </x:c>
      <x:c r="L1150" t="str">
        <x:v>common_vdd</x:v>
      </x:c>
      <x:c r="M1150" t="n">
        <x:v>1.1</x:v>
      </x:c>
      <x:c r="N1150" t="str">
        <x:v>simulation</x:v>
      </x:c>
      <x:c r="O1150" t="str">
        <x:v>ngspice</x:v>
      </x:c>
      <x:c r="P1150" t="str">
        <x:v>397141eb8a813045075ac2be3098d3b136ebaf4d597c08fca627922a75e443b7</x:v>
      </x:c>
      <x:c r="Q1150" t="str">
        <x:v>data/raw/ptm45_lp_vds_1v_raw.txt</x:v>
      </x:c>
    </x:row>
    <x:row r="1151">
      <x:c r="A1151" t="str">
        <x:v>PTM</x:v>
      </x:c>
      <x:c r="B1151" t="str">
        <x:v>NMOS</x:v>
      </x:c>
      <x:c r="C1151" t="n">
        <x:v>45</x:v>
      </x:c>
      <x:c r="D1151" t="str">
        <x:v>LP</x:v>
      </x:c>
      <x:c r="E1151" t="n">
        <x:v>1</x:v>
      </x:c>
      <x:c r="F1151" t="n">
        <x:v>0.045</x:v>
      </x:c>
      <x:c r="G1151" t="n">
        <x:v>25</x:v>
      </x:c>
      <x:c r="H1151" t="n">
        <x:v>1</x:v>
      </x:c>
      <x:c r="I1151" t="n">
        <x:v>0.5250000000000005</x:v>
      </x:c>
      <x:c r="J1151" t="n">
        <x:v>0.000008528195124520029</x:v>
      </x:c>
      <x:c r="K1151" t="str">
        <x:v>common_1v</x:v>
      </x:c>
      <x:c r="L1151" t="str">
        <x:v>common_vdd</x:v>
      </x:c>
      <x:c r="M1151" t="n">
        <x:v>1.1</x:v>
      </x:c>
      <x:c r="N1151" t="str">
        <x:v>simulation</x:v>
      </x:c>
      <x:c r="O1151" t="str">
        <x:v>ngspice</x:v>
      </x:c>
      <x:c r="P1151" t="str">
        <x:v>397141eb8a813045075ac2be3098d3b136ebaf4d597c08fca627922a75e443b7</x:v>
      </x:c>
      <x:c r="Q1151" t="str">
        <x:v>data/raw/ptm45_lp_vds_1v_raw.txt</x:v>
      </x:c>
    </x:row>
    <x:row r="1152">
      <x:c r="A1152" t="str">
        <x:v>PTM</x:v>
      </x:c>
      <x:c r="B1152" t="str">
        <x:v>NMOS</x:v>
      </x:c>
      <x:c r="C1152" t="n">
        <x:v>45</x:v>
      </x:c>
      <x:c r="D1152" t="str">
        <x:v>LP</x:v>
      </x:c>
      <x:c r="E1152" t="n">
        <x:v>1</x:v>
      </x:c>
      <x:c r="F1152" t="n">
        <x:v>0.045</x:v>
      </x:c>
      <x:c r="G1152" t="n">
        <x:v>25</x:v>
      </x:c>
      <x:c r="H1152" t="n">
        <x:v>1</x:v>
      </x:c>
      <x:c r="I1152" t="n">
        <x:v>0.5300000000000005</x:v>
      </x:c>
      <x:c r="J1152" t="n">
        <x:v>0.000009352855952248095</x:v>
      </x:c>
      <x:c r="K1152" t="str">
        <x:v>common_1v</x:v>
      </x:c>
      <x:c r="L1152" t="str">
        <x:v>common_vdd</x:v>
      </x:c>
      <x:c r="M1152" t="n">
        <x:v>1.1</x:v>
      </x:c>
      <x:c r="N1152" t="str">
        <x:v>simulation</x:v>
      </x:c>
      <x:c r="O1152" t="str">
        <x:v>ngspice</x:v>
      </x:c>
      <x:c r="P1152" t="str">
        <x:v>397141eb8a813045075ac2be3098d3b136ebaf4d597c08fca627922a75e443b7</x:v>
      </x:c>
      <x:c r="Q1152" t="str">
        <x:v>data/raw/ptm45_lp_vds_1v_raw.txt</x:v>
      </x:c>
    </x:row>
    <x:row r="1153">
      <x:c r="A1153" t="str">
        <x:v>PTM</x:v>
      </x:c>
      <x:c r="B1153" t="str">
        <x:v>NMOS</x:v>
      </x:c>
      <x:c r="C1153" t="n">
        <x:v>45</x:v>
      </x:c>
      <x:c r="D1153" t="str">
        <x:v>LP</x:v>
      </x:c>
      <x:c r="E1153" t="n">
        <x:v>1</x:v>
      </x:c>
      <x:c r="F1153" t="n">
        <x:v>0.045</x:v>
      </x:c>
      <x:c r="G1153" t="n">
        <x:v>25</x:v>
      </x:c>
      <x:c r="H1153" t="n">
        <x:v>1</x:v>
      </x:c>
      <x:c r="I1153" t="n">
        <x:v>0.5350000000000005</x:v>
      </x:c>
      <x:c r="J1153" t="n">
        <x:v>0.00001024508601424879</x:v>
      </x:c>
      <x:c r="K1153" t="str">
        <x:v>common_1v</x:v>
      </x:c>
      <x:c r="L1153" t="str">
        <x:v>common_vdd</x:v>
      </x:c>
      <x:c r="M1153" t="n">
        <x:v>1.1</x:v>
      </x:c>
      <x:c r="N1153" t="str">
        <x:v>simulation</x:v>
      </x:c>
      <x:c r="O1153" t="str">
        <x:v>ngspice</x:v>
      </x:c>
      <x:c r="P1153" t="str">
        <x:v>397141eb8a813045075ac2be3098d3b136ebaf4d597c08fca627922a75e443b7</x:v>
      </x:c>
      <x:c r="Q1153" t="str">
        <x:v>data/raw/ptm45_lp_vds_1v_raw.txt</x:v>
      </x:c>
    </x:row>
    <x:row r="1154">
      <x:c r="A1154" t="str">
        <x:v>PTM</x:v>
      </x:c>
      <x:c r="B1154" t="str">
        <x:v>NMOS</x:v>
      </x:c>
      <x:c r="C1154" t="n">
        <x:v>45</x:v>
      </x:c>
      <x:c r="D1154" t="str">
        <x:v>LP</x:v>
      </x:c>
      <x:c r="E1154" t="n">
        <x:v>1</x:v>
      </x:c>
      <x:c r="F1154" t="n">
        <x:v>0.045</x:v>
      </x:c>
      <x:c r="G1154" t="n">
        <x:v>25</x:v>
      </x:c>
      <x:c r="H1154" t="n">
        <x:v>1</x:v>
      </x:c>
      <x:c r="I1154" t="n">
        <x:v>0.5400000000000005</x:v>
      </x:c>
      <x:c r="J1154" t="n">
        <x:v>0.00001120869123336195</x:v>
      </x:c>
      <x:c r="K1154" t="str">
        <x:v>common_1v</x:v>
      </x:c>
      <x:c r="L1154" t="str">
        <x:v>common_vdd</x:v>
      </x:c>
      <x:c r="M1154" t="n">
        <x:v>1.1</x:v>
      </x:c>
      <x:c r="N1154" t="str">
        <x:v>simulation</x:v>
      </x:c>
      <x:c r="O1154" t="str">
        <x:v>ngspice</x:v>
      </x:c>
      <x:c r="P1154" t="str">
        <x:v>397141eb8a813045075ac2be3098d3b136ebaf4d597c08fca627922a75e443b7</x:v>
      </x:c>
      <x:c r="Q1154" t="str">
        <x:v>data/raw/ptm45_lp_vds_1v_raw.txt</x:v>
      </x:c>
    </x:row>
    <x:row r="1155">
      <x:c r="A1155" t="str">
        <x:v>PTM</x:v>
      </x:c>
      <x:c r="B1155" t="str">
        <x:v>NMOS</x:v>
      </x:c>
      <x:c r="C1155" t="n">
        <x:v>45</x:v>
      </x:c>
      <x:c r="D1155" t="str">
        <x:v>LP</x:v>
      </x:c>
      <x:c r="E1155" t="n">
        <x:v>1</x:v>
      </x:c>
      <x:c r="F1155" t="n">
        <x:v>0.045</x:v>
      </x:c>
      <x:c r="G1155" t="n">
        <x:v>25</x:v>
      </x:c>
      <x:c r="H1155" t="n">
        <x:v>1</x:v>
      </x:c>
      <x:c r="I1155" t="n">
        <x:v>0.5450000000000005</x:v>
      </x:c>
      <x:c r="J1155" t="n">
        <x:v>0.00001224745492774779</x:v>
      </x:c>
      <x:c r="K1155" t="str">
        <x:v>common_1v</x:v>
      </x:c>
      <x:c r="L1155" t="str">
        <x:v>common_vdd</x:v>
      </x:c>
      <x:c r="M1155" t="n">
        <x:v>1.1</x:v>
      </x:c>
      <x:c r="N1155" t="str">
        <x:v>simulation</x:v>
      </x:c>
      <x:c r="O1155" t="str">
        <x:v>ngspice</x:v>
      </x:c>
      <x:c r="P1155" t="str">
        <x:v>397141eb8a813045075ac2be3098d3b136ebaf4d597c08fca627922a75e443b7</x:v>
      </x:c>
      <x:c r="Q1155" t="str">
        <x:v>data/raw/ptm45_lp_vds_1v_raw.txt</x:v>
      </x:c>
    </x:row>
    <x:row r="1156">
      <x:c r="A1156" t="str">
        <x:v>PTM</x:v>
      </x:c>
      <x:c r="B1156" t="str">
        <x:v>NMOS</x:v>
      </x:c>
      <x:c r="C1156" t="n">
        <x:v>45</x:v>
      </x:c>
      <x:c r="D1156" t="str">
        <x:v>LP</x:v>
      </x:c>
      <x:c r="E1156" t="n">
        <x:v>1</x:v>
      </x:c>
      <x:c r="F1156" t="n">
        <x:v>0.045</x:v>
      </x:c>
      <x:c r="G1156" t="n">
        <x:v>25</x:v>
      </x:c>
      <x:c r="H1156" t="n">
        <x:v>1</x:v>
      </x:c>
      <x:c r="I1156" t="n">
        <x:v>0.5500000000000005</x:v>
      </x:c>
      <x:c r="J1156" t="n">
        <x:v>0.00001336510564176209</x:v>
      </x:c>
      <x:c r="K1156" t="str">
        <x:v>common_1v</x:v>
      </x:c>
      <x:c r="L1156" t="str">
        <x:v>common_vdd</x:v>
      </x:c>
      <x:c r="M1156" t="n">
        <x:v>1.1</x:v>
      </x:c>
      <x:c r="N1156" t="str">
        <x:v>simulation</x:v>
      </x:c>
      <x:c r="O1156" t="str">
        <x:v>ngspice</x:v>
      </x:c>
      <x:c r="P1156" t="str">
        <x:v>397141eb8a813045075ac2be3098d3b136ebaf4d597c08fca627922a75e443b7</x:v>
      </x:c>
      <x:c r="Q1156" t="str">
        <x:v>data/raw/ptm45_lp_vds_1v_raw.txt</x:v>
      </x:c>
    </x:row>
    <x:row r="1157">
      <x:c r="A1157" t="str">
        <x:v>PTM</x:v>
      </x:c>
      <x:c r="B1157" t="str">
        <x:v>NMOS</x:v>
      </x:c>
      <x:c r="C1157" t="n">
        <x:v>45</x:v>
      </x:c>
      <x:c r="D1157" t="str">
        <x:v>LP</x:v>
      </x:c>
      <x:c r="E1157" t="n">
        <x:v>1</x:v>
      </x:c>
      <x:c r="F1157" t="n">
        <x:v>0.045</x:v>
      </x:c>
      <x:c r="G1157" t="n">
        <x:v>25</x:v>
      </x:c>
      <x:c r="H1157" t="n">
        <x:v>1</x:v>
      </x:c>
      <x:c r="I1157" t="n">
        <x:v>0.5550000000000005</x:v>
      </x:c>
      <x:c r="J1157" t="n">
        <x:v>0.00001456528386198085</x:v>
      </x:c>
      <x:c r="K1157" t="str">
        <x:v>common_1v</x:v>
      </x:c>
      <x:c r="L1157" t="str">
        <x:v>common_vdd</x:v>
      </x:c>
      <x:c r="M1157" t="n">
        <x:v>1.1</x:v>
      </x:c>
      <x:c r="N1157" t="str">
        <x:v>simulation</x:v>
      </x:c>
      <x:c r="O1157" t="str">
        <x:v>ngspice</x:v>
      </x:c>
      <x:c r="P1157" t="str">
        <x:v>397141eb8a813045075ac2be3098d3b136ebaf4d597c08fca627922a75e443b7</x:v>
      </x:c>
      <x:c r="Q1157" t="str">
        <x:v>data/raw/ptm45_lp_vds_1v_raw.txt</x:v>
      </x:c>
    </x:row>
    <x:row r="1158">
      <x:c r="A1158" t="str">
        <x:v>PTM</x:v>
      </x:c>
      <x:c r="B1158" t="str">
        <x:v>NMOS</x:v>
      </x:c>
      <x:c r="C1158" t="n">
        <x:v>45</x:v>
      </x:c>
      <x:c r="D1158" t="str">
        <x:v>LP</x:v>
      </x:c>
      <x:c r="E1158" t="n">
        <x:v>1</x:v>
      </x:c>
      <x:c r="F1158" t="n">
        <x:v>0.045</x:v>
      </x:c>
      <x:c r="G1158" t="n">
        <x:v>25</x:v>
      </x:c>
      <x:c r="H1158" t="n">
        <x:v>1</x:v>
      </x:c>
      <x:c r="I1158" t="n">
        <x:v>0.5600000000000005</x:v>
      </x:c>
      <x:c r="J1158" t="n">
        <x:v>0.00001585150825770279</x:v>
      </x:c>
      <x:c r="K1158" t="str">
        <x:v>common_1v</x:v>
      </x:c>
      <x:c r="L1158" t="str">
        <x:v>common_vdd</x:v>
      </x:c>
      <x:c r="M1158" t="n">
        <x:v>1.1</x:v>
      </x:c>
      <x:c r="N1158" t="str">
        <x:v>simulation</x:v>
      </x:c>
      <x:c r="O1158" t="str">
        <x:v>ngspice</x:v>
      </x:c>
      <x:c r="P1158" t="str">
        <x:v>397141eb8a813045075ac2be3098d3b136ebaf4d597c08fca627922a75e443b7</x:v>
      </x:c>
      <x:c r="Q1158" t="str">
        <x:v>data/raw/ptm45_lp_vds_1v_raw.txt</x:v>
      </x:c>
    </x:row>
    <x:row r="1159">
      <x:c r="A1159" t="str">
        <x:v>PTM</x:v>
      </x:c>
      <x:c r="B1159" t="str">
        <x:v>NMOS</x:v>
      </x:c>
      <x:c r="C1159" t="n">
        <x:v>45</x:v>
      </x:c>
      <x:c r="D1159" t="str">
        <x:v>LP</x:v>
      </x:c>
      <x:c r="E1159" t="n">
        <x:v>1</x:v>
      </x:c>
      <x:c r="F1159" t="n">
        <x:v>0.045</x:v>
      </x:c>
      <x:c r="G1159" t="n">
        <x:v>25</x:v>
      </x:c>
      <x:c r="H1159" t="n">
        <x:v>1</x:v>
      </x:c>
      <x:c r="I1159" t="n">
        <x:v>0.5650000000000005</x:v>
      </x:c>
      <x:c r="J1159" t="n">
        <x:v>0.00001722714212860912</x:v>
      </x:c>
      <x:c r="K1159" t="str">
        <x:v>common_1v</x:v>
      </x:c>
      <x:c r="L1159" t="str">
        <x:v>common_vdd</x:v>
      </x:c>
      <x:c r="M1159" t="n">
        <x:v>1.1</x:v>
      </x:c>
      <x:c r="N1159" t="str">
        <x:v>simulation</x:v>
      </x:c>
      <x:c r="O1159" t="str">
        <x:v>ngspice</x:v>
      </x:c>
      <x:c r="P1159" t="str">
        <x:v>397141eb8a813045075ac2be3098d3b136ebaf4d597c08fca627922a75e443b7</x:v>
      </x:c>
      <x:c r="Q1159" t="str">
        <x:v>data/raw/ptm45_lp_vds_1v_raw.txt</x:v>
      </x:c>
    </x:row>
    <x:row r="1160">
      <x:c r="A1160" t="str">
        <x:v>PTM</x:v>
      </x:c>
      <x:c r="B1160" t="str">
        <x:v>NMOS</x:v>
      </x:c>
      <x:c r="C1160" t="n">
        <x:v>45</x:v>
      </x:c>
      <x:c r="D1160" t="str">
        <x:v>LP</x:v>
      </x:c>
      <x:c r="E1160" t="n">
        <x:v>1</x:v>
      </x:c>
      <x:c r="F1160" t="n">
        <x:v>0.045</x:v>
      </x:c>
      <x:c r="G1160" t="n">
        <x:v>25</x:v>
      </x:c>
      <x:c r="H1160" t="n">
        <x:v>1</x:v>
      </x:c>
      <x:c r="I1160" t="n">
        <x:v>0.5700000000000005</x:v>
      </x:c>
      <x:c r="J1160" t="n">
        <x:v>0.00001869536076189657</x:v>
      </x:c>
      <x:c r="K1160" t="str">
        <x:v>common_1v</x:v>
      </x:c>
      <x:c r="L1160" t="str">
        <x:v>common_vdd</x:v>
      </x:c>
      <x:c r="M1160" t="n">
        <x:v>1.1</x:v>
      </x:c>
      <x:c r="N1160" t="str">
        <x:v>simulation</x:v>
      </x:c>
      <x:c r="O1160" t="str">
        <x:v>ngspice</x:v>
      </x:c>
      <x:c r="P1160" t="str">
        <x:v>397141eb8a813045075ac2be3098d3b136ebaf4d597c08fca627922a75e443b7</x:v>
      </x:c>
      <x:c r="Q1160" t="str">
        <x:v>data/raw/ptm45_lp_vds_1v_raw.txt</x:v>
      </x:c>
    </x:row>
    <x:row r="1161">
      <x:c r="A1161" t="str">
        <x:v>PTM</x:v>
      </x:c>
      <x:c r="B1161" t="str">
        <x:v>NMOS</x:v>
      </x:c>
      <x:c r="C1161" t="n">
        <x:v>45</x:v>
      </x:c>
      <x:c r="D1161" t="str">
        <x:v>LP</x:v>
      </x:c>
      <x:c r="E1161" t="n">
        <x:v>1</x:v>
      </x:c>
      <x:c r="F1161" t="n">
        <x:v>0.045</x:v>
      </x:c>
      <x:c r="G1161" t="n">
        <x:v>25</x:v>
      </x:c>
      <x:c r="H1161" t="n">
        <x:v>1</x:v>
      </x:c>
      <x:c r="I1161" t="n">
        <x:v>0.5750000000000005</x:v>
      </x:c>
      <x:c r="J1161" t="n">
        <x:v>0.00002025912039554523</x:v>
      </x:c>
      <x:c r="K1161" t="str">
        <x:v>common_1v</x:v>
      </x:c>
      <x:c r="L1161" t="str">
        <x:v>common_vdd</x:v>
      </x:c>
      <x:c r="M1161" t="n">
        <x:v>1.1</x:v>
      </x:c>
      <x:c r="N1161" t="str">
        <x:v>simulation</x:v>
      </x:c>
      <x:c r="O1161" t="str">
        <x:v>ngspice</x:v>
      </x:c>
      <x:c r="P1161" t="str">
        <x:v>397141eb8a813045075ac2be3098d3b136ebaf4d597c08fca627922a75e443b7</x:v>
      </x:c>
      <x:c r="Q1161" t="str">
        <x:v>data/raw/ptm45_lp_vds_1v_raw.txt</x:v>
      </x:c>
    </x:row>
    <x:row r="1162">
      <x:c r="A1162" t="str">
        <x:v>PTM</x:v>
      </x:c>
      <x:c r="B1162" t="str">
        <x:v>NMOS</x:v>
      </x:c>
      <x:c r="C1162" t="n">
        <x:v>45</x:v>
      </x:c>
      <x:c r="D1162" t="str">
        <x:v>LP</x:v>
      </x:c>
      <x:c r="E1162" t="n">
        <x:v>1</x:v>
      </x:c>
      <x:c r="F1162" t="n">
        <x:v>0.045</x:v>
      </x:c>
      <x:c r="G1162" t="n">
        <x:v>25</x:v>
      </x:c>
      <x:c r="H1162" t="n">
        <x:v>1</x:v>
      </x:c>
      <x:c r="I1162" t="n">
        <x:v>0.5800000000000005</x:v>
      </x:c>
      <x:c r="J1162" t="n">
        <x:v>0.00002192112945321904</x:v>
      </x:c>
      <x:c r="K1162" t="str">
        <x:v>common_1v</x:v>
      </x:c>
      <x:c r="L1162" t="str">
        <x:v>common_vdd</x:v>
      </x:c>
      <x:c r="M1162" t="n">
        <x:v>1.1</x:v>
      </x:c>
      <x:c r="N1162" t="str">
        <x:v>simulation</x:v>
      </x:c>
      <x:c r="O1162" t="str">
        <x:v>ngspice</x:v>
      </x:c>
      <x:c r="P1162" t="str">
        <x:v>397141eb8a813045075ac2be3098d3b136ebaf4d597c08fca627922a75e443b7</x:v>
      </x:c>
      <x:c r="Q1162" t="str">
        <x:v>data/raw/ptm45_lp_vds_1v_raw.txt</x:v>
      </x:c>
    </x:row>
    <x:row r="1163">
      <x:c r="A1163" t="str">
        <x:v>PTM</x:v>
      </x:c>
      <x:c r="B1163" t="str">
        <x:v>NMOS</x:v>
      </x:c>
      <x:c r="C1163" t="n">
        <x:v>45</x:v>
      </x:c>
      <x:c r="D1163" t="str">
        <x:v>LP</x:v>
      </x:c>
      <x:c r="E1163" t="n">
        <x:v>1</x:v>
      </x:c>
      <x:c r="F1163" t="n">
        <x:v>0.045</x:v>
      </x:c>
      <x:c r="G1163" t="n">
        <x:v>25</x:v>
      </x:c>
      <x:c r="H1163" t="n">
        <x:v>1</x:v>
      </x:c>
      <x:c r="I1163" t="n">
        <x:v>0.5850000000000005</x:v>
      </x:c>
      <x:c r="J1163" t="n">
        <x:v>0.00002368382266081207</x:v>
      </x:c>
      <x:c r="K1163" t="str">
        <x:v>common_1v</x:v>
      </x:c>
      <x:c r="L1163" t="str">
        <x:v>common_vdd</x:v>
      </x:c>
      <x:c r="M1163" t="n">
        <x:v>1.1</x:v>
      </x:c>
      <x:c r="N1163" t="str">
        <x:v>simulation</x:v>
      </x:c>
      <x:c r="O1163" t="str">
        <x:v>ngspice</x:v>
      </x:c>
      <x:c r="P1163" t="str">
        <x:v>397141eb8a813045075ac2be3098d3b136ebaf4d597c08fca627922a75e443b7</x:v>
      </x:c>
      <x:c r="Q1163" t="str">
        <x:v>data/raw/ptm45_lp_vds_1v_raw.txt</x:v>
      </x:c>
    </x:row>
    <x:row r="1164">
      <x:c r="A1164" t="str">
        <x:v>PTM</x:v>
      </x:c>
      <x:c r="B1164" t="str">
        <x:v>NMOS</x:v>
      </x:c>
      <x:c r="C1164" t="n">
        <x:v>45</x:v>
      </x:c>
      <x:c r="D1164" t="str">
        <x:v>LP</x:v>
      </x:c>
      <x:c r="E1164" t="n">
        <x:v>1</x:v>
      </x:c>
      <x:c r="F1164" t="n">
        <x:v>0.045</x:v>
      </x:c>
      <x:c r="G1164" t="n">
        <x:v>25</x:v>
      </x:c>
      <x:c r="H1164" t="n">
        <x:v>1</x:v>
      </x:c>
      <x:c r="I1164" t="n">
        <x:v>0.5900000000000005</x:v>
      </x:c>
      <x:c r="J1164" t="n">
        <x:v>0.00002554933857736896</x:v>
      </x:c>
      <x:c r="K1164" t="str">
        <x:v>common_1v</x:v>
      </x:c>
      <x:c r="L1164" t="str">
        <x:v>common_vdd</x:v>
      </x:c>
      <x:c r="M1164" t="n">
        <x:v>1.1</x:v>
      </x:c>
      <x:c r="N1164" t="str">
        <x:v>simulation</x:v>
      </x:c>
      <x:c r="O1164" t="str">
        <x:v>ngspice</x:v>
      </x:c>
      <x:c r="P1164" t="str">
        <x:v>397141eb8a813045075ac2be3098d3b136ebaf4d597c08fca627922a75e443b7</x:v>
      </x:c>
      <x:c r="Q1164" t="str">
        <x:v>data/raw/ptm45_lp_vds_1v_raw.txt</x:v>
      </x:c>
    </x:row>
    <x:row r="1165">
      <x:c r="A1165" t="str">
        <x:v>PTM</x:v>
      </x:c>
      <x:c r="B1165" t="str">
        <x:v>NMOS</x:v>
      </x:c>
      <x:c r="C1165" t="n">
        <x:v>45</x:v>
      </x:c>
      <x:c r="D1165" t="str">
        <x:v>LP</x:v>
      </x:c>
      <x:c r="E1165" t="n">
        <x:v>1</x:v>
      </x:c>
      <x:c r="F1165" t="n">
        <x:v>0.045</x:v>
      </x:c>
      <x:c r="G1165" t="n">
        <x:v>25</x:v>
      </x:c>
      <x:c r="H1165" t="n">
        <x:v>1</x:v>
      </x:c>
      <x:c r="I1165" t="n">
        <x:v>0.5950000000000005</x:v>
      </x:c>
      <x:c r="J1165" t="n">
        <x:v>0.00002751950097767965</x:v>
      </x:c>
      <x:c r="K1165" t="str">
        <x:v>common_1v</x:v>
      </x:c>
      <x:c r="L1165" t="str">
        <x:v>common_vdd</x:v>
      </x:c>
      <x:c r="M1165" t="n">
        <x:v>1.1</x:v>
      </x:c>
      <x:c r="N1165" t="str">
        <x:v>simulation</x:v>
      </x:c>
      <x:c r="O1165" t="str">
        <x:v>ngspice</x:v>
      </x:c>
      <x:c r="P1165" t="str">
        <x:v>397141eb8a813045075ac2be3098d3b136ebaf4d597c08fca627922a75e443b7</x:v>
      </x:c>
      <x:c r="Q1165" t="str">
        <x:v>data/raw/ptm45_lp_vds_1v_raw.txt</x:v>
      </x:c>
    </x:row>
    <x:row r="1166">
      <x:c r="A1166" t="str">
        <x:v>PTM</x:v>
      </x:c>
      <x:c r="B1166" t="str">
        <x:v>NMOS</x:v>
      </x:c>
      <x:c r="C1166" t="n">
        <x:v>45</x:v>
      </x:c>
      <x:c r="D1166" t="str">
        <x:v>LP</x:v>
      </x:c>
      <x:c r="E1166" t="n">
        <x:v>1</x:v>
      </x:c>
      <x:c r="F1166" t="n">
        <x:v>0.045</x:v>
      </x:c>
      <x:c r="G1166" t="n">
        <x:v>25</x:v>
      </x:c>
      <x:c r="H1166" t="n">
        <x:v>1</x:v>
      </x:c>
      <x:c r="I1166" t="n">
        <x:v>0.6000000000000005</x:v>
      </x:c>
      <x:c r="J1166" t="n">
        <x:v>0.00002959580441483823</x:v>
      </x:c>
      <x:c r="K1166" t="str">
        <x:v>common_1v</x:v>
      </x:c>
      <x:c r="L1166" t="str">
        <x:v>common_vdd</x:v>
      </x:c>
      <x:c r="M1166" t="n">
        <x:v>1.1</x:v>
      </x:c>
      <x:c r="N1166" t="str">
        <x:v>simulation</x:v>
      </x:c>
      <x:c r="O1166" t="str">
        <x:v>ngspice</x:v>
      </x:c>
      <x:c r="P1166" t="str">
        <x:v>397141eb8a813045075ac2be3098d3b136ebaf4d597c08fca627922a75e443b7</x:v>
      </x:c>
      <x:c r="Q1166" t="str">
        <x:v>data/raw/ptm45_lp_vds_1v_raw.txt</x:v>
      </x:c>
    </x:row>
    <x:row r="1167">
      <x:c r="A1167" t="str">
        <x:v>PTM</x:v>
      </x:c>
      <x:c r="B1167" t="str">
        <x:v>NMOS</x:v>
      </x:c>
      <x:c r="C1167" t="n">
        <x:v>45</x:v>
      </x:c>
      <x:c r="D1167" t="str">
        <x:v>LP</x:v>
      </x:c>
      <x:c r="E1167" t="n">
        <x:v>1</x:v>
      </x:c>
      <x:c r="F1167" t="n">
        <x:v>0.045</x:v>
      </x:c>
      <x:c r="G1167" t="n">
        <x:v>25</x:v>
      </x:c>
      <x:c r="H1167" t="n">
        <x:v>1</x:v>
      </x:c>
      <x:c r="I1167" t="n">
        <x:v>0.6050000000000005</x:v>
      </x:c>
      <x:c r="J1167" t="n">
        <x:v>0.00003177940417358866</x:v>
      </x:c>
      <x:c r="K1167" t="str">
        <x:v>common_1v</x:v>
      </x:c>
      <x:c r="L1167" t="str">
        <x:v>common_vdd</x:v>
      </x:c>
      <x:c r="M1167" t="n">
        <x:v>1.1</x:v>
      </x:c>
      <x:c r="N1167" t="str">
        <x:v>simulation</x:v>
      </x:c>
      <x:c r="O1167" t="str">
        <x:v>ngspice</x:v>
      </x:c>
      <x:c r="P1167" t="str">
        <x:v>397141eb8a813045075ac2be3098d3b136ebaf4d597c08fca627922a75e443b7</x:v>
      </x:c>
      <x:c r="Q1167" t="str">
        <x:v>data/raw/ptm45_lp_vds_1v_raw.txt</x:v>
      </x:c>
    </x:row>
    <x:row r="1168">
      <x:c r="A1168" t="str">
        <x:v>PTM</x:v>
      </x:c>
      <x:c r="B1168" t="str">
        <x:v>NMOS</x:v>
      </x:c>
      <x:c r="C1168" t="n">
        <x:v>45</x:v>
      </x:c>
      <x:c r="D1168" t="str">
        <x:v>LP</x:v>
      </x:c>
      <x:c r="E1168" t="n">
        <x:v>1</x:v>
      </x:c>
      <x:c r="F1168" t="n">
        <x:v>0.045</x:v>
      </x:c>
      <x:c r="G1168" t="n">
        <x:v>25</x:v>
      </x:c>
      <x:c r="H1168" t="n">
        <x:v>1</x:v>
      </x:c>
      <x:c r="I1168" t="n">
        <x:v>0.6100000000000005</x:v>
      </x:c>
      <x:c r="J1168" t="n">
        <x:v>0.00003407111070470726</x:v>
      </x:c>
      <x:c r="K1168" t="str">
        <x:v>common_1v</x:v>
      </x:c>
      <x:c r="L1168" t="str">
        <x:v>common_vdd</x:v>
      </x:c>
      <x:c r="M1168" t="n">
        <x:v>1.1</x:v>
      </x:c>
      <x:c r="N1168" t="str">
        <x:v>simulation</x:v>
      </x:c>
      <x:c r="O1168" t="str">
        <x:v>ngspice</x:v>
      </x:c>
      <x:c r="P1168" t="str">
        <x:v>397141eb8a813045075ac2be3098d3b136ebaf4d597c08fca627922a75e443b7</x:v>
      </x:c>
      <x:c r="Q1168" t="str">
        <x:v>data/raw/ptm45_lp_vds_1v_raw.txt</x:v>
      </x:c>
    </x:row>
    <x:row r="1169">
      <x:c r="A1169" t="str">
        <x:v>PTM</x:v>
      </x:c>
      <x:c r="B1169" t="str">
        <x:v>NMOS</x:v>
      </x:c>
      <x:c r="C1169" t="n">
        <x:v>45</x:v>
      </x:c>
      <x:c r="D1169" t="str">
        <x:v>LP</x:v>
      </x:c>
      <x:c r="E1169" t="n">
        <x:v>1</x:v>
      </x:c>
      <x:c r="F1169" t="n">
        <x:v>0.045</x:v>
      </x:c>
      <x:c r="G1169" t="n">
        <x:v>25</x:v>
      </x:c>
      <x:c r="H1169" t="n">
        <x:v>1</x:v>
      </x:c>
      <x:c r="I1169" t="n">
        <x:v>0.6150000000000005</x:v>
      </x:c>
      <x:c r="J1169" t="n">
        <x:v>0.00003647138851222661</x:v>
      </x:c>
      <x:c r="K1169" t="str">
        <x:v>common_1v</x:v>
      </x:c>
      <x:c r="L1169" t="str">
        <x:v>common_vdd</x:v>
      </x:c>
      <x:c r="M1169" t="n">
        <x:v>1.1</x:v>
      </x:c>
      <x:c r="N1169" t="str">
        <x:v>simulation</x:v>
      </x:c>
      <x:c r="O1169" t="str">
        <x:v>ngspice</x:v>
      </x:c>
      <x:c r="P1169" t="str">
        <x:v>397141eb8a813045075ac2be3098d3b136ebaf4d597c08fca627922a75e443b7</x:v>
      </x:c>
      <x:c r="Q1169" t="str">
        <x:v>data/raw/ptm45_lp_vds_1v_raw.txt</x:v>
      </x:c>
    </x:row>
    <x:row r="1170">
      <x:c r="A1170" t="str">
        <x:v>PTM</x:v>
      </x:c>
      <x:c r="B1170" t="str">
        <x:v>NMOS</x:v>
      </x:c>
      <x:c r="C1170" t="n">
        <x:v>45</x:v>
      </x:c>
      <x:c r="D1170" t="str">
        <x:v>LP</x:v>
      </x:c>
      <x:c r="E1170" t="n">
        <x:v>1</x:v>
      </x:c>
      <x:c r="F1170" t="n">
        <x:v>0.045</x:v>
      </x:c>
      <x:c r="G1170" t="n">
        <x:v>25</x:v>
      </x:c>
      <x:c r="H1170" t="n">
        <x:v>1</x:v>
      </x:c>
      <x:c r="I1170" t="n">
        <x:v>0.6200000000000006</x:v>
      </x:c>
      <x:c r="J1170" t="n">
        <x:v>0.00003898035935380108</x:v>
      </x:c>
      <x:c r="K1170" t="str">
        <x:v>common_1v</x:v>
      </x:c>
      <x:c r="L1170" t="str">
        <x:v>common_vdd</x:v>
      </x:c>
      <x:c r="M1170" t="n">
        <x:v>1.1</x:v>
      </x:c>
      <x:c r="N1170" t="str">
        <x:v>simulation</x:v>
      </x:c>
      <x:c r="O1170" t="str">
        <x:v>ngspice</x:v>
      </x:c>
      <x:c r="P1170" t="str">
        <x:v>397141eb8a813045075ac2be3098d3b136ebaf4d597c08fca627922a75e443b7</x:v>
      </x:c>
      <x:c r="Q1170" t="str">
        <x:v>data/raw/ptm45_lp_vds_1v_raw.txt</x:v>
      </x:c>
    </x:row>
    <x:row r="1171">
      <x:c r="A1171" t="str">
        <x:v>PTM</x:v>
      </x:c>
      <x:c r="B1171" t="str">
        <x:v>NMOS</x:v>
      </x:c>
      <x:c r="C1171" t="n">
        <x:v>45</x:v>
      </x:c>
      <x:c r="D1171" t="str">
        <x:v>LP</x:v>
      </x:c>
      <x:c r="E1171" t="n">
        <x:v>1</x:v>
      </x:c>
      <x:c r="F1171" t="n">
        <x:v>0.045</x:v>
      </x:c>
      <x:c r="G1171" t="n">
        <x:v>25</x:v>
      </x:c>
      <x:c r="H1171" t="n">
        <x:v>1</x:v>
      </x:c>
      <x:c r="I1171" t="n">
        <x:v>0.6250000000000006</x:v>
      </x:c>
      <x:c r="J1171" t="n">
        <x:v>0.00004159780951409044</x:v>
      </x:c>
      <x:c r="K1171" t="str">
        <x:v>common_1v</x:v>
      </x:c>
      <x:c r="L1171" t="str">
        <x:v>common_vdd</x:v>
      </x:c>
      <x:c r="M1171" t="n">
        <x:v>1.1</x:v>
      </x:c>
      <x:c r="N1171" t="str">
        <x:v>simulation</x:v>
      </x:c>
      <x:c r="O1171" t="str">
        <x:v>ngspice</x:v>
      </x:c>
      <x:c r="P1171" t="str">
        <x:v>397141eb8a813045075ac2be3098d3b136ebaf4d597c08fca627922a75e443b7</x:v>
      </x:c>
      <x:c r="Q1171" t="str">
        <x:v>data/raw/ptm45_lp_vds_1v_raw.txt</x:v>
      </x:c>
    </x:row>
    <x:row r="1172">
      <x:c r="A1172" t="str">
        <x:v>PTM</x:v>
      </x:c>
      <x:c r="B1172" t="str">
        <x:v>NMOS</x:v>
      </x:c>
      <x:c r="C1172" t="n">
        <x:v>45</x:v>
      </x:c>
      <x:c r="D1172" t="str">
        <x:v>LP</x:v>
      </x:c>
      <x:c r="E1172" t="n">
        <x:v>1</x:v>
      </x:c>
      <x:c r="F1172" t="n">
        <x:v>0.045</x:v>
      </x:c>
      <x:c r="G1172" t="n">
        <x:v>25</x:v>
      </x:c>
      <x:c r="H1172" t="n">
        <x:v>1</x:v>
      </x:c>
      <x:c r="I1172" t="n">
        <x:v>0.6300000000000006</x:v>
      </x:c>
      <x:c r="J1172" t="n">
        <x:v>0.00004432320082488004</x:v>
      </x:c>
      <x:c r="K1172" t="str">
        <x:v>common_1v</x:v>
      </x:c>
      <x:c r="L1172" t="str">
        <x:v>common_vdd</x:v>
      </x:c>
      <x:c r="M1172" t="n">
        <x:v>1.1</x:v>
      </x:c>
      <x:c r="N1172" t="str">
        <x:v>simulation</x:v>
      </x:c>
      <x:c r="O1172" t="str">
        <x:v>ngspice</x:v>
      </x:c>
      <x:c r="P1172" t="str">
        <x:v>397141eb8a813045075ac2be3098d3b136ebaf4d597c08fca627922a75e443b7</x:v>
      </x:c>
      <x:c r="Q1172" t="str">
        <x:v>data/raw/ptm45_lp_vds_1v_raw.txt</x:v>
      </x:c>
    </x:row>
    <x:row r="1173">
      <x:c r="A1173" t="str">
        <x:v>PTM</x:v>
      </x:c>
      <x:c r="B1173" t="str">
        <x:v>NMOS</x:v>
      </x:c>
      <x:c r="C1173" t="n">
        <x:v>45</x:v>
      </x:c>
      <x:c r="D1173" t="str">
        <x:v>LP</x:v>
      </x:c>
      <x:c r="E1173" t="n">
        <x:v>1</x:v>
      </x:c>
      <x:c r="F1173" t="n">
        <x:v>0.045</x:v>
      </x:c>
      <x:c r="G1173" t="n">
        <x:v>25</x:v>
      </x:c>
      <x:c r="H1173" t="n">
        <x:v>1</x:v>
      </x:c>
      <x:c r="I1173" t="n">
        <x:v>0.6350000000000006</x:v>
      </x:c>
      <x:c r="J1173" t="n">
        <x:v>0.00004715568503611357</x:v>
      </x:c>
      <x:c r="K1173" t="str">
        <x:v>common_1v</x:v>
      </x:c>
      <x:c r="L1173" t="str">
        <x:v>common_vdd</x:v>
      </x:c>
      <x:c r="M1173" t="n">
        <x:v>1.1</x:v>
      </x:c>
      <x:c r="N1173" t="str">
        <x:v>simulation</x:v>
      </x:c>
      <x:c r="O1173" t="str">
        <x:v>ngspice</x:v>
      </x:c>
      <x:c r="P1173" t="str">
        <x:v>397141eb8a813045075ac2be3098d3b136ebaf4d597c08fca627922a75e443b7</x:v>
      </x:c>
      <x:c r="Q1173" t="str">
        <x:v>data/raw/ptm45_lp_vds_1v_raw.txt</x:v>
      </x:c>
    </x:row>
    <x:row r="1174">
      <x:c r="A1174" t="str">
        <x:v>PTM</x:v>
      </x:c>
      <x:c r="B1174" t="str">
        <x:v>NMOS</x:v>
      </x:c>
      <x:c r="C1174" t="n">
        <x:v>45</x:v>
      </x:c>
      <x:c r="D1174" t="str">
        <x:v>LP</x:v>
      </x:c>
      <x:c r="E1174" t="n">
        <x:v>1</x:v>
      </x:c>
      <x:c r="F1174" t="n">
        <x:v>0.045</x:v>
      </x:c>
      <x:c r="G1174" t="n">
        <x:v>25</x:v>
      </x:c>
      <x:c r="H1174" t="n">
        <x:v>1</x:v>
      </x:c>
      <x:c r="I1174" t="n">
        <x:v>0.6400000000000006</x:v>
      </x:c>
      <x:c r="J1174" t="n">
        <x:v>0.0000500941210902771</x:v>
      </x:c>
      <x:c r="K1174" t="str">
        <x:v>common_1v</x:v>
      </x:c>
      <x:c r="L1174" t="str">
        <x:v>common_vdd</x:v>
      </x:c>
      <x:c r="M1174" t="n">
        <x:v>1.1</x:v>
      </x:c>
      <x:c r="N1174" t="str">
        <x:v>simulation</x:v>
      </x:c>
      <x:c r="O1174" t="str">
        <x:v>ngspice</x:v>
      </x:c>
      <x:c r="P1174" t="str">
        <x:v>397141eb8a813045075ac2be3098d3b136ebaf4d597c08fca627922a75e443b7</x:v>
      </x:c>
      <x:c r="Q1174" t="str">
        <x:v>data/raw/ptm45_lp_vds_1v_raw.txt</x:v>
      </x:c>
    </x:row>
    <x:row r="1175">
      <x:c r="A1175" t="str">
        <x:v>PTM</x:v>
      </x:c>
      <x:c r="B1175" t="str">
        <x:v>NMOS</x:v>
      </x:c>
      <x:c r="C1175" t="n">
        <x:v>45</x:v>
      </x:c>
      <x:c r="D1175" t="str">
        <x:v>LP</x:v>
      </x:c>
      <x:c r="E1175" t="n">
        <x:v>1</x:v>
      </x:c>
      <x:c r="F1175" t="n">
        <x:v>0.045</x:v>
      </x:c>
      <x:c r="G1175" t="n">
        <x:v>25</x:v>
      </x:c>
      <x:c r="H1175" t="n">
        <x:v>1</x:v>
      </x:c>
      <x:c r="I1175" t="n">
        <x:v>0.6450000000000006</x:v>
      </x:c>
      <x:c r="J1175" t="n">
        <x:v>0.00005308508338191492</x:v>
      </x:c>
      <x:c r="K1175" t="str">
        <x:v>common_1v</x:v>
      </x:c>
      <x:c r="L1175" t="str">
        <x:v>common_vdd</x:v>
      </x:c>
      <x:c r="M1175" t="n">
        <x:v>1.1</x:v>
      </x:c>
      <x:c r="N1175" t="str">
        <x:v>simulation</x:v>
      </x:c>
      <x:c r="O1175" t="str">
        <x:v>ngspice</x:v>
      </x:c>
      <x:c r="P1175" t="str">
        <x:v>397141eb8a813045075ac2be3098d3b136ebaf4d597c08fca627922a75e443b7</x:v>
      </x:c>
      <x:c r="Q1175" t="str">
        <x:v>data/raw/ptm45_lp_vds_1v_raw.txt</x:v>
      </x:c>
    </x:row>
    <x:row r="1176">
      <x:c r="A1176" t="str">
        <x:v>PTM</x:v>
      </x:c>
      <x:c r="B1176" t="str">
        <x:v>NMOS</x:v>
      </x:c>
      <x:c r="C1176" t="n">
        <x:v>45</x:v>
      </x:c>
      <x:c r="D1176" t="str">
        <x:v>LP</x:v>
      </x:c>
      <x:c r="E1176" t="n">
        <x:v>1</x:v>
      </x:c>
      <x:c r="F1176" t="n">
        <x:v>0.045</x:v>
      </x:c>
      <x:c r="G1176" t="n">
        <x:v>25</x:v>
      </x:c>
      <x:c r="H1176" t="n">
        <x:v>1</x:v>
      </x:c>
      <x:c r="I1176" t="n">
        <x:v>0.6500000000000006</x:v>
      </x:c>
      <x:c r="J1176" t="n">
        <x:v>0.00005623180198962222</x:v>
      </x:c>
      <x:c r="K1176" t="str">
        <x:v>common_1v</x:v>
      </x:c>
      <x:c r="L1176" t="str">
        <x:v>common_vdd</x:v>
      </x:c>
      <x:c r="M1176" t="n">
        <x:v>1.1</x:v>
      </x:c>
      <x:c r="N1176" t="str">
        <x:v>simulation</x:v>
      </x:c>
      <x:c r="O1176" t="str">
        <x:v>ngspice</x:v>
      </x:c>
      <x:c r="P1176" t="str">
        <x:v>397141eb8a813045075ac2be3098d3b136ebaf4d597c08fca627922a75e443b7</x:v>
      </x:c>
      <x:c r="Q1176" t="str">
        <x:v>data/raw/ptm45_lp_vds_1v_raw.txt</x:v>
      </x:c>
    </x:row>
    <x:row r="1177">
      <x:c r="A1177" t="str">
        <x:v>PTM</x:v>
      </x:c>
      <x:c r="B1177" t="str">
        <x:v>NMOS</x:v>
      </x:c>
      <x:c r="C1177" t="n">
        <x:v>45</x:v>
      </x:c>
      <x:c r="D1177" t="str">
        <x:v>LP</x:v>
      </x:c>
      <x:c r="E1177" t="n">
        <x:v>1</x:v>
      </x:c>
      <x:c r="F1177" t="n">
        <x:v>0.045</x:v>
      </x:c>
      <x:c r="G1177" t="n">
        <x:v>25</x:v>
      </x:c>
      <x:c r="H1177" t="n">
        <x:v>1</x:v>
      </x:c>
      <x:c r="I1177" t="n">
        <x:v>0.6550000000000006</x:v>
      </x:c>
      <x:c r="J1177" t="n">
        <x:v>0.00005947960879957343</x:v>
      </x:c>
      <x:c r="K1177" t="str">
        <x:v>common_1v</x:v>
      </x:c>
      <x:c r="L1177" t="str">
        <x:v>common_vdd</x:v>
      </x:c>
      <x:c r="M1177" t="n">
        <x:v>1.1</x:v>
      </x:c>
      <x:c r="N1177" t="str">
        <x:v>simulation</x:v>
      </x:c>
      <x:c r="O1177" t="str">
        <x:v>ngspice</x:v>
      </x:c>
      <x:c r="P1177" t="str">
        <x:v>397141eb8a813045075ac2be3098d3b136ebaf4d597c08fca627922a75e443b7</x:v>
      </x:c>
      <x:c r="Q1177" t="str">
        <x:v>data/raw/ptm45_lp_vds_1v_raw.txt</x:v>
      </x:c>
    </x:row>
    <x:row r="1178">
      <x:c r="A1178" t="str">
        <x:v>PTM</x:v>
      </x:c>
      <x:c r="B1178" t="str">
        <x:v>NMOS</x:v>
      </x:c>
      <x:c r="C1178" t="n">
        <x:v>45</x:v>
      </x:c>
      <x:c r="D1178" t="str">
        <x:v>LP</x:v>
      </x:c>
      <x:c r="E1178" t="n">
        <x:v>1</x:v>
      </x:c>
      <x:c r="F1178" t="n">
        <x:v>0.045</x:v>
      </x:c>
      <x:c r="G1178" t="n">
        <x:v>25</x:v>
      </x:c>
      <x:c r="H1178" t="n">
        <x:v>1</x:v>
      </x:c>
      <x:c r="I1178" t="n">
        <x:v>0.6600000000000006</x:v>
      </x:c>
      <x:c r="J1178" t="n">
        <x:v>0.00006282639315113668</x:v>
      </x:c>
      <x:c r="K1178" t="str">
        <x:v>common_1v</x:v>
      </x:c>
      <x:c r="L1178" t="str">
        <x:v>common_vdd</x:v>
      </x:c>
      <x:c r="M1178" t="n">
        <x:v>1.1</x:v>
      </x:c>
      <x:c r="N1178" t="str">
        <x:v>simulation</x:v>
      </x:c>
      <x:c r="O1178" t="str">
        <x:v>ngspice</x:v>
      </x:c>
      <x:c r="P1178" t="str">
        <x:v>397141eb8a813045075ac2be3098d3b136ebaf4d597c08fca627922a75e443b7</x:v>
      </x:c>
      <x:c r="Q1178" t="str">
        <x:v>data/raw/ptm45_lp_vds_1v_raw.txt</x:v>
      </x:c>
    </x:row>
    <x:row r="1179">
      <x:c r="A1179" t="str">
        <x:v>PTM</x:v>
      </x:c>
      <x:c r="B1179" t="str">
        <x:v>NMOS</x:v>
      </x:c>
      <x:c r="C1179" t="n">
        <x:v>45</x:v>
      </x:c>
      <x:c r="D1179" t="str">
        <x:v>LP</x:v>
      </x:c>
      <x:c r="E1179" t="n">
        <x:v>1</x:v>
      </x:c>
      <x:c r="F1179" t="n">
        <x:v>0.045</x:v>
      </x:c>
      <x:c r="G1179" t="n">
        <x:v>25</x:v>
      </x:c>
      <x:c r="H1179" t="n">
        <x:v>1</x:v>
      </x:c>
      <x:c r="I1179" t="n">
        <x:v>0.6650000000000006</x:v>
      </x:c>
      <x:c r="J1179" t="n">
        <x:v>0.00006626986424818673</x:v>
      </x:c>
      <x:c r="K1179" t="str">
        <x:v>common_1v</x:v>
      </x:c>
      <x:c r="L1179" t="str">
        <x:v>common_vdd</x:v>
      </x:c>
      <x:c r="M1179" t="n">
        <x:v>1.1</x:v>
      </x:c>
      <x:c r="N1179" t="str">
        <x:v>simulation</x:v>
      </x:c>
      <x:c r="O1179" t="str">
        <x:v>ngspice</x:v>
      </x:c>
      <x:c r="P1179" t="str">
        <x:v>397141eb8a813045075ac2be3098d3b136ebaf4d597c08fca627922a75e443b7</x:v>
      </x:c>
      <x:c r="Q1179" t="str">
        <x:v>data/raw/ptm45_lp_vds_1v_raw.txt</x:v>
      </x:c>
    </x:row>
    <x:row r="1180">
      <x:c r="A1180" t="str">
        <x:v>PTM</x:v>
      </x:c>
      <x:c r="B1180" t="str">
        <x:v>NMOS</x:v>
      </x:c>
      <x:c r="C1180" t="n">
        <x:v>45</x:v>
      </x:c>
      <x:c r="D1180" t="str">
        <x:v>LP</x:v>
      </x:c>
      <x:c r="E1180" t="n">
        <x:v>1</x:v>
      </x:c>
      <x:c r="F1180" t="n">
        <x:v>0.045</x:v>
      </x:c>
      <x:c r="G1180" t="n">
        <x:v>25</x:v>
      </x:c>
      <x:c r="H1180" t="n">
        <x:v>1</x:v>
      </x:c>
      <x:c r="I1180" t="n">
        <x:v>0.6700000000000006</x:v>
      </x:c>
      <x:c r="J1180" t="n">
        <x:v>0.00006980757591291327</x:v>
      </x:c>
      <x:c r="K1180" t="str">
        <x:v>common_1v</x:v>
      </x:c>
      <x:c r="L1180" t="str">
        <x:v>common_vdd</x:v>
      </x:c>
      <x:c r="M1180" t="n">
        <x:v>1.1</x:v>
      </x:c>
      <x:c r="N1180" t="str">
        <x:v>simulation</x:v>
      </x:c>
      <x:c r="O1180" t="str">
        <x:v>ngspice</x:v>
      </x:c>
      <x:c r="P1180" t="str">
        <x:v>397141eb8a813045075ac2be3098d3b136ebaf4d597c08fca627922a75e443b7</x:v>
      </x:c>
      <x:c r="Q1180" t="str">
        <x:v>data/raw/ptm45_lp_vds_1v_raw.txt</x:v>
      </x:c>
    </x:row>
    <x:row r="1181">
      <x:c r="A1181" t="str">
        <x:v>PTM</x:v>
      </x:c>
      <x:c r="B1181" t="str">
        <x:v>NMOS</x:v>
      </x:c>
      <x:c r="C1181" t="n">
        <x:v>45</x:v>
      </x:c>
      <x:c r="D1181" t="str">
        <x:v>LP</x:v>
      </x:c>
      <x:c r="E1181" t="n">
        <x:v>1</x:v>
      </x:c>
      <x:c r="F1181" t="n">
        <x:v>0.045</x:v>
      </x:c>
      <x:c r="G1181" t="n">
        <x:v>25</x:v>
      </x:c>
      <x:c r="H1181" t="n">
        <x:v>1</x:v>
      </x:c>
      <x:c r="I1181" t="n">
        <x:v>0.6750000000000006</x:v>
      </x:c>
      <x:c r="J1181" t="n">
        <x:v>0.0000734369510080869</x:v>
      </x:c>
      <x:c r="K1181" t="str">
        <x:v>common_1v</x:v>
      </x:c>
      <x:c r="L1181" t="str">
        <x:v>common_vdd</x:v>
      </x:c>
      <x:c r="M1181" t="n">
        <x:v>1.1</x:v>
      </x:c>
      <x:c r="N1181" t="str">
        <x:v>simulation</x:v>
      </x:c>
      <x:c r="O1181" t="str">
        <x:v>ngspice</x:v>
      </x:c>
      <x:c r="P1181" t="str">
        <x:v>397141eb8a813045075ac2be3098d3b136ebaf4d597c08fca627922a75e443b7</x:v>
      </x:c>
      <x:c r="Q1181" t="str">
        <x:v>data/raw/ptm45_lp_vds_1v_raw.txt</x:v>
      </x:c>
    </x:row>
    <x:row r="1182">
      <x:c r="A1182" t="str">
        <x:v>PTM</x:v>
      </x:c>
      <x:c r="B1182" t="str">
        <x:v>NMOS</x:v>
      </x:c>
      <x:c r="C1182" t="n">
        <x:v>45</x:v>
      </x:c>
      <x:c r="D1182" t="str">
        <x:v>LP</x:v>
      </x:c>
      <x:c r="E1182" t="n">
        <x:v>1</x:v>
      </x:c>
      <x:c r="F1182" t="n">
        <x:v>0.045</x:v>
      </x:c>
      <x:c r="G1182" t="n">
        <x:v>25</x:v>
      </x:c>
      <x:c r="H1182" t="n">
        <x:v>1</x:v>
      </x:c>
      <x:c r="I1182" t="n">
        <x:v>0.6800000000000006</x:v>
      </x:c>
      <x:c r="J1182" t="n">
        <x:v>0.00007715530521942579</x:v>
      </x:c>
      <x:c r="K1182" t="str">
        <x:v>common_1v</x:v>
      </x:c>
      <x:c r="L1182" t="str">
        <x:v>common_vdd</x:v>
      </x:c>
      <x:c r="M1182" t="n">
        <x:v>1.1</x:v>
      </x:c>
      <x:c r="N1182" t="str">
        <x:v>simulation</x:v>
      </x:c>
      <x:c r="O1182" t="str">
        <x:v>ngspice</x:v>
      </x:c>
      <x:c r="P1182" t="str">
        <x:v>397141eb8a813045075ac2be3098d3b136ebaf4d597c08fca627922a75e443b7</x:v>
      </x:c>
      <x:c r="Q1182" t="str">
        <x:v>data/raw/ptm45_lp_vds_1v_raw.txt</x:v>
      </x:c>
    </x:row>
    <x:row r="1183">
      <x:c r="A1183" t="str">
        <x:v>PTM</x:v>
      </x:c>
      <x:c r="B1183" t="str">
        <x:v>NMOS</x:v>
      </x:c>
      <x:c r="C1183" t="n">
        <x:v>45</x:v>
      </x:c>
      <x:c r="D1183" t="str">
        <x:v>LP</x:v>
      </x:c>
      <x:c r="E1183" t="n">
        <x:v>1</x:v>
      </x:c>
      <x:c r="F1183" t="n">
        <x:v>0.045</x:v>
      </x:c>
      <x:c r="G1183" t="n">
        <x:v>25</x:v>
      </x:c>
      <x:c r="H1183" t="n">
        <x:v>1</x:v>
      </x:c>
      <x:c r="I1183" t="n">
        <x:v>0.6850000000000006</x:v>
      </x:c>
      <x:c r="J1183" t="n">
        <x:v>0.00008095986979910509</x:v>
      </x:c>
      <x:c r="K1183" t="str">
        <x:v>common_1v</x:v>
      </x:c>
      <x:c r="L1183" t="str">
        <x:v>common_vdd</x:v>
      </x:c>
      <x:c r="M1183" t="n">
        <x:v>1.1</x:v>
      </x:c>
      <x:c r="N1183" t="str">
        <x:v>simulation</x:v>
      </x:c>
      <x:c r="O1183" t="str">
        <x:v>ngspice</x:v>
      </x:c>
      <x:c r="P1183" t="str">
        <x:v>397141eb8a813045075ac2be3098d3b136ebaf4d597c08fca627922a75e443b7</x:v>
      </x:c>
      <x:c r="Q1183" t="str">
        <x:v>data/raw/ptm45_lp_vds_1v_raw.txt</x:v>
      </x:c>
    </x:row>
    <x:row r="1184">
      <x:c r="A1184" t="str">
        <x:v>PTM</x:v>
      </x:c>
      <x:c r="B1184" t="str">
        <x:v>NMOS</x:v>
      </x:c>
      <x:c r="C1184" t="n">
        <x:v>45</x:v>
      </x:c>
      <x:c r="D1184" t="str">
        <x:v>LP</x:v>
      </x:c>
      <x:c r="E1184" t="n">
        <x:v>1</x:v>
      </x:c>
      <x:c r="F1184" t="n">
        <x:v>0.045</x:v>
      </x:c>
      <x:c r="G1184" t="n">
        <x:v>25</x:v>
      </x:c>
      <x:c r="H1184" t="n">
        <x:v>1</x:v>
      </x:c>
      <x:c r="I1184" t="n">
        <x:v>0.6900000000000006</x:v>
      </x:c>
      <x:c r="J1184" t="n">
        <x:v>0.00008484781329460702</x:v>
      </x:c>
      <x:c r="K1184" t="str">
        <x:v>common_1v</x:v>
      </x:c>
      <x:c r="L1184" t="str">
        <x:v>common_vdd</x:v>
      </x:c>
      <x:c r="M1184" t="n">
        <x:v>1.1</x:v>
      </x:c>
      <x:c r="N1184" t="str">
        <x:v>simulation</x:v>
      </x:c>
      <x:c r="O1184" t="str">
        <x:v>ngspice</x:v>
      </x:c>
      <x:c r="P1184" t="str">
        <x:v>397141eb8a813045075ac2be3098d3b136ebaf4d597c08fca627922a75e443b7</x:v>
      </x:c>
      <x:c r="Q1184" t="str">
        <x:v>data/raw/ptm45_lp_vds_1v_raw.txt</x:v>
      </x:c>
    </x:row>
    <x:row r="1185">
      <x:c r="A1185" t="str">
        <x:v>PTM</x:v>
      </x:c>
      <x:c r="B1185" t="str">
        <x:v>NMOS</x:v>
      </x:c>
      <x:c r="C1185" t="n">
        <x:v>45</x:v>
      </x:c>
      <x:c r="D1185" t="str">
        <x:v>LP</x:v>
      </x:c>
      <x:c r="E1185" t="n">
        <x:v>1</x:v>
      </x:c>
      <x:c r="F1185" t="n">
        <x:v>0.045</x:v>
      </x:c>
      <x:c r="G1185" t="n">
        <x:v>25</x:v>
      </x:c>
      <x:c r="H1185" t="n">
        <x:v>1</x:v>
      </x:c>
      <x:c r="I1185" t="n">
        <x:v>0.6950000000000006</x:v>
      </x:c>
      <x:c r="J1185" t="n">
        <x:v>0.00008881626180850439</x:v>
      </x:c>
      <x:c r="K1185" t="str">
        <x:v>common_1v</x:v>
      </x:c>
      <x:c r="L1185" t="str">
        <x:v>common_vdd</x:v>
      </x:c>
      <x:c r="M1185" t="n">
        <x:v>1.1</x:v>
      </x:c>
      <x:c r="N1185" t="str">
        <x:v>simulation</x:v>
      </x:c>
      <x:c r="O1185" t="str">
        <x:v>ngspice</x:v>
      </x:c>
      <x:c r="P1185" t="str">
        <x:v>397141eb8a813045075ac2be3098d3b136ebaf4d597c08fca627922a75e443b7</x:v>
      </x:c>
      <x:c r="Q1185" t="str">
        <x:v>data/raw/ptm45_lp_vds_1v_raw.txt</x:v>
      </x:c>
    </x:row>
    <x:row r="1186">
      <x:c r="A1186" t="str">
        <x:v>PTM</x:v>
      </x:c>
      <x:c r="B1186" t="str">
        <x:v>NMOS</x:v>
      </x:c>
      <x:c r="C1186" t="n">
        <x:v>45</x:v>
      </x:c>
      <x:c r="D1186" t="str">
        <x:v>LP</x:v>
      </x:c>
      <x:c r="E1186" t="n">
        <x:v>1</x:v>
      </x:c>
      <x:c r="F1186" t="n">
        <x:v>0.045</x:v>
      </x:c>
      <x:c r="G1186" t="n">
        <x:v>25</x:v>
      </x:c>
      <x:c r="H1186" t="n">
        <x:v>1</x:v>
      </x:c>
      <x:c r="I1186" t="n">
        <x:v>0.7000000000000006</x:v>
      </x:c>
      <x:c r="J1186" t="n">
        <x:v>0.00009286231782099647</x:v>
      </x:c>
      <x:c r="K1186" t="str">
        <x:v>common_1v</x:v>
      </x:c>
      <x:c r="L1186" t="str">
        <x:v>common_vdd</x:v>
      </x:c>
      <x:c r="M1186" t="n">
        <x:v>1.1</x:v>
      </x:c>
      <x:c r="N1186" t="str">
        <x:v>simulation</x:v>
      </x:c>
      <x:c r="O1186" t="str">
        <x:v>ngspice</x:v>
      </x:c>
      <x:c r="P1186" t="str">
        <x:v>397141eb8a813045075ac2be3098d3b136ebaf4d597c08fca627922a75e443b7</x:v>
      </x:c>
      <x:c r="Q1186" t="str">
        <x:v>data/raw/ptm45_lp_vds_1v_raw.txt</x:v>
      </x:c>
    </x:row>
    <x:row r="1187">
      <x:c r="A1187" t="str">
        <x:v>PTM</x:v>
      </x:c>
      <x:c r="B1187" t="str">
        <x:v>NMOS</x:v>
      </x:c>
      <x:c r="C1187" t="n">
        <x:v>45</x:v>
      </x:c>
      <x:c r="D1187" t="str">
        <x:v>LP</x:v>
      </x:c>
      <x:c r="E1187" t="n">
        <x:v>1</x:v>
      </x:c>
      <x:c r="F1187" t="n">
        <x:v>0.045</x:v>
      </x:c>
      <x:c r="G1187" t="n">
        <x:v>25</x:v>
      </x:c>
      <x:c r="H1187" t="n">
        <x:v>1</x:v>
      </x:c>
      <x:c r="I1187" t="n">
        <x:v>0.7050000000000006</x:v>
      </x:c>
      <x:c r="J1187" t="n">
        <x:v>0.00009698307744163202</x:v>
      </x:c>
      <x:c r="K1187" t="str">
        <x:v>common_1v</x:v>
      </x:c>
      <x:c r="L1187" t="str">
        <x:v>common_vdd</x:v>
      </x:c>
      <x:c r="M1187" t="n">
        <x:v>1.1</x:v>
      </x:c>
      <x:c r="N1187" t="str">
        <x:v>simulation</x:v>
      </x:c>
      <x:c r="O1187" t="str">
        <x:v>ngspice</x:v>
      </x:c>
      <x:c r="P1187" t="str">
        <x:v>397141eb8a813045075ac2be3098d3b136ebaf4d597c08fca627922a75e443b7</x:v>
      </x:c>
      <x:c r="Q1187" t="str">
        <x:v>data/raw/ptm45_lp_vds_1v_raw.txt</x:v>
      </x:c>
    </x:row>
    <x:row r="1188">
      <x:c r="A1188" t="str">
        <x:v>PTM</x:v>
      </x:c>
      <x:c r="B1188" t="str">
        <x:v>NMOS</x:v>
      </x:c>
      <x:c r="C1188" t="n">
        <x:v>45</x:v>
      </x:c>
      <x:c r="D1188" t="str">
        <x:v>LP</x:v>
      </x:c>
      <x:c r="E1188" t="n">
        <x:v>1</x:v>
      </x:c>
      <x:c r="F1188" t="n">
        <x:v>0.045</x:v>
      </x:c>
      <x:c r="G1188" t="n">
        <x:v>25</x:v>
      </x:c>
      <x:c r="H1188" t="n">
        <x:v>1</x:v>
      </x:c>
      <x:c r="I1188" t="n">
        <x:v>0.7100000000000006</x:v>
      </x:c>
      <x:c r="J1188" t="n">
        <x:v>0.0001011756460477936</x:v>
      </x:c>
      <x:c r="K1188" t="str">
        <x:v>common_1v</x:v>
      </x:c>
      <x:c r="L1188" t="str">
        <x:v>common_vdd</x:v>
      </x:c>
      <x:c r="M1188" t="n">
        <x:v>1.1</x:v>
      </x:c>
      <x:c r="N1188" t="str">
        <x:v>simulation</x:v>
      </x:c>
      <x:c r="O1188" t="str">
        <x:v>ngspice</x:v>
      </x:c>
      <x:c r="P1188" t="str">
        <x:v>397141eb8a813045075ac2be3098d3b136ebaf4d597c08fca627922a75e443b7</x:v>
      </x:c>
      <x:c r="Q1188" t="str">
        <x:v>data/raw/ptm45_lp_vds_1v_raw.txt</x:v>
      </x:c>
    </x:row>
    <x:row r="1189">
      <x:c r="A1189" t="str">
        <x:v>PTM</x:v>
      </x:c>
      <x:c r="B1189" t="str">
        <x:v>NMOS</x:v>
      </x:c>
      <x:c r="C1189" t="n">
        <x:v>45</x:v>
      </x:c>
      <x:c r="D1189" t="str">
        <x:v>LP</x:v>
      </x:c>
      <x:c r="E1189" t="n">
        <x:v>1</x:v>
      </x:c>
      <x:c r="F1189" t="n">
        <x:v>0.045</x:v>
      </x:c>
      <x:c r="G1189" t="n">
        <x:v>25</x:v>
      </x:c>
      <x:c r="H1189" t="n">
        <x:v>1</x:v>
      </x:c>
      <x:c r="I1189" t="n">
        <x:v>0.7150000000000006</x:v>
      </x:c>
      <x:c r="J1189" t="n">
        <x:v>0.0001054371522973078</x:v>
      </x:c>
      <x:c r="K1189" t="str">
        <x:v>common_1v</x:v>
      </x:c>
      <x:c r="L1189" t="str">
        <x:v>common_vdd</x:v>
      </x:c>
      <x:c r="M1189" t="n">
        <x:v>1.1</x:v>
      </x:c>
      <x:c r="N1189" t="str">
        <x:v>simulation</x:v>
      </x:c>
      <x:c r="O1189" t="str">
        <x:v>ngspice</x:v>
      </x:c>
      <x:c r="P1189" t="str">
        <x:v>397141eb8a813045075ac2be3098d3b136ebaf4d597c08fca627922a75e443b7</x:v>
      </x:c>
      <x:c r="Q1189" t="str">
        <x:v>data/raw/ptm45_lp_vds_1v_raw.txt</x:v>
      </x:c>
    </x:row>
    <x:row r="1190">
      <x:c r="A1190" t="str">
        <x:v>PTM</x:v>
      </x:c>
      <x:c r="B1190" t="str">
        <x:v>NMOS</x:v>
      </x:c>
      <x:c r="C1190" t="n">
        <x:v>45</x:v>
      </x:c>
      <x:c r="D1190" t="str">
        <x:v>LP</x:v>
      </x:c>
      <x:c r="E1190" t="n">
        <x:v>1</x:v>
      </x:c>
      <x:c r="F1190" t="n">
        <x:v>0.045</x:v>
      </x:c>
      <x:c r="G1190" t="n">
        <x:v>25</x:v>
      </x:c>
      <x:c r="H1190" t="n">
        <x:v>1</x:v>
      </x:c>
      <x:c r="I1190" t="n">
        <x:v>0.7200000000000006</x:v>
      </x:c>
      <x:c r="J1190" t="n">
        <x:v>0.00010976476053205</x:v>
      </x:c>
      <x:c r="K1190" t="str">
        <x:v>common_1v</x:v>
      </x:c>
      <x:c r="L1190" t="str">
        <x:v>common_vdd</x:v>
      </x:c>
      <x:c r="M1190" t="n">
        <x:v>1.1</x:v>
      </x:c>
      <x:c r="N1190" t="str">
        <x:v>simulation</x:v>
      </x:c>
      <x:c r="O1190" t="str">
        <x:v>ngspice</x:v>
      </x:c>
      <x:c r="P1190" t="str">
        <x:v>397141eb8a813045075ac2be3098d3b136ebaf4d597c08fca627922a75e443b7</x:v>
      </x:c>
      <x:c r="Q1190" t="str">
        <x:v>data/raw/ptm45_lp_vds_1v_raw.txt</x:v>
      </x:c>
    </x:row>
    <x:row r="1191">
      <x:c r="A1191" t="str">
        <x:v>PTM</x:v>
      </x:c>
      <x:c r="B1191" t="str">
        <x:v>NMOS</x:v>
      </x:c>
      <x:c r="C1191" t="n">
        <x:v>45</x:v>
      </x:c>
      <x:c r="D1191" t="str">
        <x:v>LP</x:v>
      </x:c>
      <x:c r="E1191" t="n">
        <x:v>1</x:v>
      </x:c>
      <x:c r="F1191" t="n">
        <x:v>0.045</x:v>
      </x:c>
      <x:c r="G1191" t="n">
        <x:v>25</x:v>
      </x:c>
      <x:c r="H1191" t="n">
        <x:v>1</x:v>
      </x:c>
      <x:c r="I1191" t="n">
        <x:v>0.7250000000000006</x:v>
      </x:c>
      <x:c r="J1191" t="n">
        <x:v>0.0001141556816140852</x:v>
      </x:c>
      <x:c r="K1191" t="str">
        <x:v>common_1v</x:v>
      </x:c>
      <x:c r="L1191" t="str">
        <x:v>common_vdd</x:v>
      </x:c>
      <x:c r="M1191" t="n">
        <x:v>1.1</x:v>
      </x:c>
      <x:c r="N1191" t="str">
        <x:v>simulation</x:v>
      </x:c>
      <x:c r="O1191" t="str">
        <x:v>ngspice</x:v>
      </x:c>
      <x:c r="P1191" t="str">
        <x:v>397141eb8a813045075ac2be3098d3b136ebaf4d597c08fca627922a75e443b7</x:v>
      </x:c>
      <x:c r="Q1191" t="str">
        <x:v>data/raw/ptm45_lp_vds_1v_raw.txt</x:v>
      </x:c>
    </x:row>
    <x:row r="1192">
      <x:c r="A1192" t="str">
        <x:v>PTM</x:v>
      </x:c>
      <x:c r="B1192" t="str">
        <x:v>NMOS</x:v>
      </x:c>
      <x:c r="C1192" t="n">
        <x:v>45</x:v>
      </x:c>
      <x:c r="D1192" t="str">
        <x:v>LP</x:v>
      </x:c>
      <x:c r="E1192" t="n">
        <x:v>1</x:v>
      </x:c>
      <x:c r="F1192" t="n">
        <x:v>0.045</x:v>
      </x:c>
      <x:c r="G1192" t="n">
        <x:v>25</x:v>
      </x:c>
      <x:c r="H1192" t="n">
        <x:v>1</x:v>
      </x:c>
      <x:c r="I1192" t="n">
        <x:v>0.7300000000000006</x:v>
      </x:c>
      <x:c r="J1192" t="n">
        <x:v>0.0001186071822557276</x:v>
      </x:c>
      <x:c r="K1192" t="str">
        <x:v>common_1v</x:v>
      </x:c>
      <x:c r="L1192" t="str">
        <x:v>common_vdd</x:v>
      </x:c>
      <x:c r="M1192" t="n">
        <x:v>1.1</x:v>
      </x:c>
      <x:c r="N1192" t="str">
        <x:v>simulation</x:v>
      </x:c>
      <x:c r="O1192" t="str">
        <x:v>ngspice</x:v>
      </x:c>
      <x:c r="P1192" t="str">
        <x:v>397141eb8a813045075ac2be3098d3b136ebaf4d597c08fca627922a75e443b7</x:v>
      </x:c>
      <x:c r="Q1192" t="str">
        <x:v>data/raw/ptm45_lp_vds_1v_raw.txt</x:v>
      </x:c>
    </x:row>
    <x:row r="1193">
      <x:c r="A1193" t="str">
        <x:v>PTM</x:v>
      </x:c>
      <x:c r="B1193" t="str">
        <x:v>NMOS</x:v>
      </x:c>
      <x:c r="C1193" t="n">
        <x:v>45</x:v>
      </x:c>
      <x:c r="D1193" t="str">
        <x:v>LP</x:v>
      </x:c>
      <x:c r="E1193" t="n">
        <x:v>1</x:v>
      </x:c>
      <x:c r="F1193" t="n">
        <x:v>0.045</x:v>
      </x:c>
      <x:c r="G1193" t="n">
        <x:v>25</x:v>
      </x:c>
      <x:c r="H1193" t="n">
        <x:v>1</x:v>
      </x:c>
      <x:c r="I1193" t="n">
        <x:v>0.7350000000000007</x:v>
      </x:c>
      <x:c r="J1193" t="n">
        <x:v>0.0001231165929203276</x:v>
      </x:c>
      <x:c r="K1193" t="str">
        <x:v>common_1v</x:v>
      </x:c>
      <x:c r="L1193" t="str">
        <x:v>common_vdd</x:v>
      </x:c>
      <x:c r="M1193" t="n">
        <x:v>1.1</x:v>
      </x:c>
      <x:c r="N1193" t="str">
        <x:v>simulation</x:v>
      </x:c>
      <x:c r="O1193" t="str">
        <x:v>ngspice</x:v>
      </x:c>
      <x:c r="P1193" t="str">
        <x:v>397141eb8a813045075ac2be3098d3b136ebaf4d597c08fca627922a75e443b7</x:v>
      </x:c>
      <x:c r="Q1193" t="str">
        <x:v>data/raw/ptm45_lp_vds_1v_raw.txt</x:v>
      </x:c>
    </x:row>
    <x:row r="1194">
      <x:c r="A1194" t="str">
        <x:v>PTM</x:v>
      </x:c>
      <x:c r="B1194" t="str">
        <x:v>NMOS</x:v>
      </x:c>
      <x:c r="C1194" t="n">
        <x:v>45</x:v>
      </x:c>
      <x:c r="D1194" t="str">
        <x:v>LP</x:v>
      </x:c>
      <x:c r="E1194" t="n">
        <x:v>1</x:v>
      </x:c>
      <x:c r="F1194" t="n">
        <x:v>0.045</x:v>
      </x:c>
      <x:c r="G1194" t="n">
        <x:v>25</x:v>
      </x:c>
      <x:c r="H1194" t="n">
        <x:v>1</x:v>
      </x:c>
      <x:c r="I1194" t="n">
        <x:v>0.7400000000000007</x:v>
      </x:c>
      <x:c r="J1194" t="n">
        <x:v>0.000127681314381998</x:v>
      </x:c>
      <x:c r="K1194" t="str">
        <x:v>common_1v</x:v>
      </x:c>
      <x:c r="L1194" t="str">
        <x:v>common_vdd</x:v>
      </x:c>
      <x:c r="M1194" t="n">
        <x:v>1.1</x:v>
      </x:c>
      <x:c r="N1194" t="str">
        <x:v>simulation</x:v>
      </x:c>
      <x:c r="O1194" t="str">
        <x:v>ngspice</x:v>
      </x:c>
      <x:c r="P1194" t="str">
        <x:v>397141eb8a813045075ac2be3098d3b136ebaf4d597c08fca627922a75e443b7</x:v>
      </x:c>
      <x:c r="Q1194" t="str">
        <x:v>data/raw/ptm45_lp_vds_1v_raw.txt</x:v>
      </x:c>
    </x:row>
    <x:row r="1195">
      <x:c r="A1195" t="str">
        <x:v>PTM</x:v>
      </x:c>
      <x:c r="B1195" t="str">
        <x:v>NMOS</x:v>
      </x:c>
      <x:c r="C1195" t="n">
        <x:v>45</x:v>
      </x:c>
      <x:c r="D1195" t="str">
        <x:v>LP</x:v>
      </x:c>
      <x:c r="E1195" t="n">
        <x:v>1</x:v>
      </x:c>
      <x:c r="F1195" t="n">
        <x:v>0.045</x:v>
      </x:c>
      <x:c r="G1195" t="n">
        <x:v>25</x:v>
      </x:c>
      <x:c r="H1195" t="n">
        <x:v>1</x:v>
      </x:c>
      <x:c r="I1195" t="n">
        <x:v>0.7450000000000007</x:v>
      </x:c>
      <x:c r="J1195" t="n">
        <x:v>0.0001322988230402122</x:v>
      </x:c>
      <x:c r="K1195" t="str">
        <x:v>common_1v</x:v>
      </x:c>
      <x:c r="L1195" t="str">
        <x:v>common_vdd</x:v>
      </x:c>
      <x:c r="M1195" t="n">
        <x:v>1.1</x:v>
      </x:c>
      <x:c r="N1195" t="str">
        <x:v>simulation</x:v>
      </x:c>
      <x:c r="O1195" t="str">
        <x:v>ngspice</x:v>
      </x:c>
      <x:c r="P1195" t="str">
        <x:v>397141eb8a813045075ac2be3098d3b136ebaf4d597c08fca627922a75e443b7</x:v>
      </x:c>
      <x:c r="Q1195" t="str">
        <x:v>data/raw/ptm45_lp_vds_1v_raw.txt</x:v>
      </x:c>
    </x:row>
    <x:row r="1196">
      <x:c r="A1196" t="str">
        <x:v>PTM</x:v>
      </x:c>
      <x:c r="B1196" t="str">
        <x:v>NMOS</x:v>
      </x:c>
      <x:c r="C1196" t="n">
        <x:v>45</x:v>
      </x:c>
      <x:c r="D1196" t="str">
        <x:v>LP</x:v>
      </x:c>
      <x:c r="E1196" t="n">
        <x:v>1</x:v>
      </x:c>
      <x:c r="F1196" t="n">
        <x:v>0.045</x:v>
      </x:c>
      <x:c r="G1196" t="n">
        <x:v>25</x:v>
      </x:c>
      <x:c r="H1196" t="n">
        <x:v>1</x:v>
      </x:c>
      <x:c r="I1196" t="n">
        <x:v>0.7500000000000007</x:v>
      </x:c>
      <x:c r="J1196" t="n">
        <x:v>0.0001369666750898708</x:v>
      </x:c>
      <x:c r="K1196" t="str">
        <x:v>common_1v</x:v>
      </x:c>
      <x:c r="L1196" t="str">
        <x:v>common_vdd</x:v>
      </x:c>
      <x:c r="M1196" t="n">
        <x:v>1.1</x:v>
      </x:c>
      <x:c r="N1196" t="str">
        <x:v>simulation</x:v>
      </x:c>
      <x:c r="O1196" t="str">
        <x:v>ngspice</x:v>
      </x:c>
      <x:c r="P1196" t="str">
        <x:v>397141eb8a813045075ac2be3098d3b136ebaf4d597c08fca627922a75e443b7</x:v>
      </x:c>
      <x:c r="Q1196" t="str">
        <x:v>data/raw/ptm45_lp_vds_1v_raw.txt</x:v>
      </x:c>
    </x:row>
    <x:row r="1197">
      <x:c r="A1197" t="str">
        <x:v>PTM</x:v>
      </x:c>
      <x:c r="B1197" t="str">
        <x:v>NMOS</x:v>
      </x:c>
      <x:c r="C1197" t="n">
        <x:v>45</x:v>
      </x:c>
      <x:c r="D1197" t="str">
        <x:v>LP</x:v>
      </x:c>
      <x:c r="E1197" t="n">
        <x:v>1</x:v>
      </x:c>
      <x:c r="F1197" t="n">
        <x:v>0.045</x:v>
      </x:c>
      <x:c r="G1197" t="n">
        <x:v>25</x:v>
      </x:c>
      <x:c r="H1197" t="n">
        <x:v>1</x:v>
      </x:c>
      <x:c r="I1197" t="n">
        <x:v>0.7550000000000007</x:v>
      </x:c>
      <x:c r="J1197" t="n">
        <x:v>0.0001416825096493646</x:v>
      </x:c>
      <x:c r="K1197" t="str">
        <x:v>common_1v</x:v>
      </x:c>
      <x:c r="L1197" t="str">
        <x:v>common_vdd</x:v>
      </x:c>
      <x:c r="M1197" t="n">
        <x:v>1.1</x:v>
      </x:c>
      <x:c r="N1197" t="str">
        <x:v>simulation</x:v>
      </x:c>
      <x:c r="O1197" t="str">
        <x:v>ngspice</x:v>
      </x:c>
      <x:c r="P1197" t="str">
        <x:v>397141eb8a813045075ac2be3098d3b136ebaf4d597c08fca627922a75e443b7</x:v>
      </x:c>
      <x:c r="Q1197" t="str">
        <x:v>data/raw/ptm45_lp_vds_1v_raw.txt</x:v>
      </x:c>
    </x:row>
    <x:row r="1198">
      <x:c r="A1198" t="str">
        <x:v>PTM</x:v>
      </x:c>
      <x:c r="B1198" t="str">
        <x:v>NMOS</x:v>
      </x:c>
      <x:c r="C1198" t="n">
        <x:v>45</x:v>
      </x:c>
      <x:c r="D1198" t="str">
        <x:v>LP</x:v>
      </x:c>
      <x:c r="E1198" t="n">
        <x:v>1</x:v>
      </x:c>
      <x:c r="F1198" t="n">
        <x:v>0.045</x:v>
      </x:c>
      <x:c r="G1198" t="n">
        <x:v>25</x:v>
      </x:c>
      <x:c r="H1198" t="n">
        <x:v>1</x:v>
      </x:c>
      <x:c r="I1198" t="n">
        <x:v>0.7600000000000007</x:v>
      </x:c>
      <x:c r="J1198" t="n">
        <x:v>0.0001464440509488882</x:v>
      </x:c>
      <x:c r="K1198" t="str">
        <x:v>common_1v</x:v>
      </x:c>
      <x:c r="L1198" t="str">
        <x:v>common_vdd</x:v>
      </x:c>
      <x:c r="M1198" t="n">
        <x:v>1.1</x:v>
      </x:c>
      <x:c r="N1198" t="str">
        <x:v>simulation</x:v>
      </x:c>
      <x:c r="O1198" t="str">
        <x:v>ngspice</x:v>
      </x:c>
      <x:c r="P1198" t="str">
        <x:v>397141eb8a813045075ac2be3098d3b136ebaf4d597c08fca627922a75e443b7</x:v>
      </x:c>
      <x:c r="Q1198" t="str">
        <x:v>data/raw/ptm45_lp_vds_1v_raw.txt</x:v>
      </x:c>
    </x:row>
    <x:row r="1199">
      <x:c r="A1199" t="str">
        <x:v>PTM</x:v>
      </x:c>
      <x:c r="B1199" t="str">
        <x:v>NMOS</x:v>
      </x:c>
      <x:c r="C1199" t="n">
        <x:v>45</x:v>
      </x:c>
      <x:c r="D1199" t="str">
        <x:v>LP</x:v>
      </x:c>
      <x:c r="E1199" t="n">
        <x:v>1</x:v>
      </x:c>
      <x:c r="F1199" t="n">
        <x:v>0.045</x:v>
      </x:c>
      <x:c r="G1199" t="n">
        <x:v>25</x:v>
      </x:c>
      <x:c r="H1199" t="n">
        <x:v>1</x:v>
      </x:c>
      <x:c r="I1199" t="n">
        <x:v>0.7650000000000007</x:v>
      </x:c>
      <x:c r="J1199" t="n">
        <x:v>0.0001512491096791367</x:v>
      </x:c>
      <x:c r="K1199" t="str">
        <x:v>common_1v</x:v>
      </x:c>
      <x:c r="L1199" t="str">
        <x:v>common_vdd</x:v>
      </x:c>
      <x:c r="M1199" t="n">
        <x:v>1.1</x:v>
      </x:c>
      <x:c r="N1199" t="str">
        <x:v>simulation</x:v>
      </x:c>
      <x:c r="O1199" t="str">
        <x:v>ngspice</x:v>
      </x:c>
      <x:c r="P1199" t="str">
        <x:v>397141eb8a813045075ac2be3098d3b136ebaf4d597c08fca627922a75e443b7</x:v>
      </x:c>
      <x:c r="Q1199" t="str">
        <x:v>data/raw/ptm45_lp_vds_1v_raw.txt</x:v>
      </x:c>
    </x:row>
    <x:row r="1200">
      <x:c r="A1200" t="str">
        <x:v>PTM</x:v>
      </x:c>
      <x:c r="B1200" t="str">
        <x:v>NMOS</x:v>
      </x:c>
      <x:c r="C1200" t="n">
        <x:v>45</x:v>
      </x:c>
      <x:c r="D1200" t="str">
        <x:v>LP</x:v>
      </x:c>
      <x:c r="E1200" t="n">
        <x:v>1</x:v>
      </x:c>
      <x:c r="F1200" t="n">
        <x:v>0.045</x:v>
      </x:c>
      <x:c r="G1200" t="n">
        <x:v>25</x:v>
      </x:c>
      <x:c r="H1200" t="n">
        <x:v>1</x:v>
      </x:c>
      <x:c r="I1200" t="n">
        <x:v>0.7700000000000007</x:v>
      </x:c>
      <x:c r="J1200" t="n">
        <x:v>0.0001560955835970038</x:v>
      </x:c>
      <x:c r="K1200" t="str">
        <x:v>common_1v</x:v>
      </x:c>
      <x:c r="L1200" t="str">
        <x:v>common_vdd</x:v>
      </x:c>
      <x:c r="M1200" t="n">
        <x:v>1.1</x:v>
      </x:c>
      <x:c r="N1200" t="str">
        <x:v>simulation</x:v>
      </x:c>
      <x:c r="O1200" t="str">
        <x:v>ngspice</x:v>
      </x:c>
      <x:c r="P1200" t="str">
        <x:v>397141eb8a813045075ac2be3098d3b136ebaf4d597c08fca627922a75e443b7</x:v>
      </x:c>
      <x:c r="Q1200" t="str">
        <x:v>data/raw/ptm45_lp_vds_1v_raw.txt</x:v>
      </x:c>
    </x:row>
    <x:row r="1201">
      <x:c r="A1201" t="str">
        <x:v>PTM</x:v>
      </x:c>
      <x:c r="B1201" t="str">
        <x:v>NMOS</x:v>
      </x:c>
      <x:c r="C1201" t="n">
        <x:v>45</x:v>
      </x:c>
      <x:c r="D1201" t="str">
        <x:v>LP</x:v>
      </x:c>
      <x:c r="E1201" t="n">
        <x:v>1</x:v>
      </x:c>
      <x:c r="F1201" t="n">
        <x:v>0.045</x:v>
      </x:c>
      <x:c r="G1201" t="n">
        <x:v>25</x:v>
      </x:c>
      <x:c r="H1201" t="n">
        <x:v>1</x:v>
      </x:c>
      <x:c r="I1201" t="n">
        <x:v>0.7750000000000007</x:v>
      </x:c>
      <x:c r="J1201" t="n">
        <x:v>0.000160981457480334</x:v>
      </x:c>
      <x:c r="K1201" t="str">
        <x:v>common_1v</x:v>
      </x:c>
      <x:c r="L1201" t="str">
        <x:v>common_vdd</x:v>
      </x:c>
      <x:c r="M1201" t="n">
        <x:v>1.1</x:v>
      </x:c>
      <x:c r="N1201" t="str">
        <x:v>simulation</x:v>
      </x:c>
      <x:c r="O1201" t="str">
        <x:v>ngspice</x:v>
      </x:c>
      <x:c r="P1201" t="str">
        <x:v>397141eb8a813045075ac2be3098d3b136ebaf4d597c08fca627922a75e443b7</x:v>
      </x:c>
      <x:c r="Q1201" t="str">
        <x:v>data/raw/ptm45_lp_vds_1v_raw.txt</x:v>
      </x:c>
    </x:row>
    <x:row r="1202">
      <x:c r="A1202" t="str">
        <x:v>PTM</x:v>
      </x:c>
      <x:c r="B1202" t="str">
        <x:v>NMOS</x:v>
      </x:c>
      <x:c r="C1202" t="n">
        <x:v>45</x:v>
      </x:c>
      <x:c r="D1202" t="str">
        <x:v>LP</x:v>
      </x:c>
      <x:c r="E1202" t="n">
        <x:v>1</x:v>
      </x:c>
      <x:c r="F1202" t="n">
        <x:v>0.045</x:v>
      </x:c>
      <x:c r="G1202" t="n">
        <x:v>25</x:v>
      </x:c>
      <x:c r="H1202" t="n">
        <x:v>1</x:v>
      </x:c>
      <x:c r="I1202" t="n">
        <x:v>0.7800000000000007</x:v>
      </x:c>
      <x:c r="J1202" t="n">
        <x:v>0.0001659048025183079</x:v>
      </x:c>
      <x:c r="K1202" t="str">
        <x:v>common_1v</x:v>
      </x:c>
      <x:c r="L1202" t="str">
        <x:v>common_vdd</x:v>
      </x:c>
      <x:c r="M1202" t="n">
        <x:v>1.1</x:v>
      </x:c>
      <x:c r="N1202" t="str">
        <x:v>simulation</x:v>
      </x:c>
      <x:c r="O1202" t="str">
        <x:v>ngspice</x:v>
      </x:c>
      <x:c r="P1202" t="str">
        <x:v>397141eb8a813045075ac2be3098d3b136ebaf4d597c08fca627922a75e443b7</x:v>
      </x:c>
      <x:c r="Q1202" t="str">
        <x:v>data/raw/ptm45_lp_vds_1v_raw.txt</x:v>
      </x:c>
    </x:row>
    <x:row r="1203">
      <x:c r="A1203" t="str">
        <x:v>PTM</x:v>
      </x:c>
      <x:c r="B1203" t="str">
        <x:v>NMOS</x:v>
      </x:c>
      <x:c r="C1203" t="n">
        <x:v>45</x:v>
      </x:c>
      <x:c r="D1203" t="str">
        <x:v>LP</x:v>
      </x:c>
      <x:c r="E1203" t="n">
        <x:v>1</x:v>
      </x:c>
      <x:c r="F1203" t="n">
        <x:v>0.045</x:v>
      </x:c>
      <x:c r="G1203" t="n">
        <x:v>25</x:v>
      </x:c>
      <x:c r="H1203" t="n">
        <x:v>1</x:v>
      </x:c>
      <x:c r="I1203" t="n">
        <x:v>0.7850000000000007</x:v>
      </x:c>
      <x:c r="J1203" t="n">
        <x:v>0.0001708637752182043</x:v>
      </x:c>
      <x:c r="K1203" t="str">
        <x:v>common_1v</x:v>
      </x:c>
      <x:c r="L1203" t="str">
        <x:v>common_vdd</x:v>
      </x:c>
      <x:c r="M1203" t="n">
        <x:v>1.1</x:v>
      </x:c>
      <x:c r="N1203" t="str">
        <x:v>simulation</x:v>
      </x:c>
      <x:c r="O1203" t="str">
        <x:v>ngspice</x:v>
      </x:c>
      <x:c r="P1203" t="str">
        <x:v>397141eb8a813045075ac2be3098d3b136ebaf4d597c08fca627922a75e443b7</x:v>
      </x:c>
      <x:c r="Q1203" t="str">
        <x:v>data/raw/ptm45_lp_vds_1v_raw.txt</x:v>
      </x:c>
    </x:row>
    <x:row r="1204">
      <x:c r="A1204" t="str">
        <x:v>PTM</x:v>
      </x:c>
      <x:c r="B1204" t="str">
        <x:v>NMOS</x:v>
      </x:c>
      <x:c r="C1204" t="n">
        <x:v>45</x:v>
      </x:c>
      <x:c r="D1204" t="str">
        <x:v>LP</x:v>
      </x:c>
      <x:c r="E1204" t="n">
        <x:v>1</x:v>
      </x:c>
      <x:c r="F1204" t="n">
        <x:v>0.045</x:v>
      </x:c>
      <x:c r="G1204" t="n">
        <x:v>25</x:v>
      </x:c>
      <x:c r="H1204" t="n">
        <x:v>1</x:v>
      </x:c>
      <x:c r="I1204" t="n">
        <x:v>0.7900000000000007</x:v>
      </x:c>
      <x:c r="J1204" t="n">
        <x:v>0.0001758566159030563</x:v>
      </x:c>
      <x:c r="K1204" t="str">
        <x:v>common_1v</x:v>
      </x:c>
      <x:c r="L1204" t="str">
        <x:v>common_vdd</x:v>
      </x:c>
      <x:c r="M1204" t="n">
        <x:v>1.1</x:v>
      </x:c>
      <x:c r="N1204" t="str">
        <x:v>simulation</x:v>
      </x:c>
      <x:c r="O1204" t="str">
        <x:v>ngspice</x:v>
      </x:c>
      <x:c r="P1204" t="str">
        <x:v>397141eb8a813045075ac2be3098d3b136ebaf4d597c08fca627922a75e443b7</x:v>
      </x:c>
      <x:c r="Q1204" t="str">
        <x:v>data/raw/ptm45_lp_vds_1v_raw.txt</x:v>
      </x:c>
    </x:row>
    <x:row r="1205">
      <x:c r="A1205" t="str">
        <x:v>PTM</x:v>
      </x:c>
      <x:c r="B1205" t="str">
        <x:v>NMOS</x:v>
      </x:c>
      <x:c r="C1205" t="n">
        <x:v>45</x:v>
      </x:c>
      <x:c r="D1205" t="str">
        <x:v>LP</x:v>
      </x:c>
      <x:c r="E1205" t="n">
        <x:v>1</x:v>
      </x:c>
      <x:c r="F1205" t="n">
        <x:v>0.045</x:v>
      </x:c>
      <x:c r="G1205" t="n">
        <x:v>25</x:v>
      </x:c>
      <x:c r="H1205" t="n">
        <x:v>1</x:v>
      </x:c>
      <x:c r="I1205" t="n">
        <x:v>0.7950000000000007</x:v>
      </x:c>
      <x:c r="J1205" t="n">
        <x:v>0.0001808816468683295</x:v>
      </x:c>
      <x:c r="K1205" t="str">
        <x:v>common_1v</x:v>
      </x:c>
      <x:c r="L1205" t="str">
        <x:v>common_vdd</x:v>
      </x:c>
      <x:c r="M1205" t="n">
        <x:v>1.1</x:v>
      </x:c>
      <x:c r="N1205" t="str">
        <x:v>simulation</x:v>
      </x:c>
      <x:c r="O1205" t="str">
        <x:v>ngspice</x:v>
      </x:c>
      <x:c r="P1205" t="str">
        <x:v>397141eb8a813045075ac2be3098d3b136ebaf4d597c08fca627922a75e443b7</x:v>
      </x:c>
      <x:c r="Q1205" t="str">
        <x:v>data/raw/ptm45_lp_vds_1v_raw.txt</x:v>
      </x:c>
    </x:row>
    <x:row r="1206">
      <x:c r="A1206" t="str">
        <x:v>PTM</x:v>
      </x:c>
      <x:c r="B1206" t="str">
        <x:v>NMOS</x:v>
      </x:c>
      <x:c r="C1206" t="n">
        <x:v>45</x:v>
      </x:c>
      <x:c r="D1206" t="str">
        <x:v>LP</x:v>
      </x:c>
      <x:c r="E1206" t="n">
        <x:v>1</x:v>
      </x:c>
      <x:c r="F1206" t="n">
        <x:v>0.045</x:v>
      </x:c>
      <x:c r="G1206" t="n">
        <x:v>25</x:v>
      </x:c>
      <x:c r="H1206" t="n">
        <x:v>1</x:v>
      </x:c>
      <x:c r="I1206" t="n">
        <x:v>0.8000000000000007</x:v>
      </x:c>
      <x:c r="J1206" t="n">
        <x:v>0.000185937270259543</x:v>
      </x:c>
      <x:c r="K1206" t="str">
        <x:v>common_1v</x:v>
      </x:c>
      <x:c r="L1206" t="str">
        <x:v>common_vdd</x:v>
      </x:c>
      <x:c r="M1206" t="n">
        <x:v>1.1</x:v>
      </x:c>
      <x:c r="N1206" t="str">
        <x:v>simulation</x:v>
      </x:c>
      <x:c r="O1206" t="str">
        <x:v>ngspice</x:v>
      </x:c>
      <x:c r="P1206" t="str">
        <x:v>397141eb8a813045075ac2be3098d3b136ebaf4d597c08fca627922a75e443b7</x:v>
      </x:c>
      <x:c r="Q1206" t="str">
        <x:v>data/raw/ptm45_lp_vds_1v_raw.txt</x:v>
      </x:c>
    </x:row>
    <x:row r="1207">
      <x:c r="A1207" t="str">
        <x:v>PTM</x:v>
      </x:c>
      <x:c r="B1207" t="str">
        <x:v>NMOS</x:v>
      </x:c>
      <x:c r="C1207" t="n">
        <x:v>45</x:v>
      </x:c>
      <x:c r="D1207" t="str">
        <x:v>LP</x:v>
      </x:c>
      <x:c r="E1207" t="n">
        <x:v>1</x:v>
      </x:c>
      <x:c r="F1207" t="n">
        <x:v>0.045</x:v>
      </x:c>
      <x:c r="G1207" t="n">
        <x:v>25</x:v>
      </x:c>
      <x:c r="H1207" t="n">
        <x:v>1</x:v>
      </x:c>
      <x:c r="I1207" t="n">
        <x:v>0.8050000000000007</x:v>
      </x:c>
      <x:c r="J1207" t="n">
        <x:v>0.0001910219657264625</x:v>
      </x:c>
      <x:c r="K1207" t="str">
        <x:v>common_1v</x:v>
      </x:c>
      <x:c r="L1207" t="str">
        <x:v>common_vdd</x:v>
      </x:c>
      <x:c r="M1207" t="n">
        <x:v>1.1</x:v>
      </x:c>
      <x:c r="N1207" t="str">
        <x:v>simulation</x:v>
      </x:c>
      <x:c r="O1207" t="str">
        <x:v>ngspice</x:v>
      </x:c>
      <x:c r="P1207" t="str">
        <x:v>397141eb8a813045075ac2be3098d3b136ebaf4d597c08fca627922a75e443b7</x:v>
      </x:c>
      <x:c r="Q1207" t="str">
        <x:v>data/raw/ptm45_lp_vds_1v_raw.txt</x:v>
      </x:c>
    </x:row>
    <x:row r="1208">
      <x:c r="A1208" t="str">
        <x:v>PTM</x:v>
      </x:c>
      <x:c r="B1208" t="str">
        <x:v>NMOS</x:v>
      </x:c>
      <x:c r="C1208" t="n">
        <x:v>45</x:v>
      </x:c>
      <x:c r="D1208" t="str">
        <x:v>LP</x:v>
      </x:c>
      <x:c r="E1208" t="n">
        <x:v>1</x:v>
      </x:c>
      <x:c r="F1208" t="n">
        <x:v>0.045</x:v>
      </x:c>
      <x:c r="G1208" t="n">
        <x:v>25</x:v>
      </x:c>
      <x:c r="H1208" t="n">
        <x:v>1</x:v>
      </x:c>
      <x:c r="I1208" t="n">
        <x:v>0.8100000000000007</x:v>
      </x:c>
      <x:c r="J1208" t="n">
        <x:v>0.0001961342879036885</x:v>
      </x:c>
      <x:c r="K1208" t="str">
        <x:v>common_1v</x:v>
      </x:c>
      <x:c r="L1208" t="str">
        <x:v>common_vdd</x:v>
      </x:c>
      <x:c r="M1208" t="n">
        <x:v>1.1</x:v>
      </x:c>
      <x:c r="N1208" t="str">
        <x:v>simulation</x:v>
      </x:c>
      <x:c r="O1208" t="str">
        <x:v>ngspice</x:v>
      </x:c>
      <x:c r="P1208" t="str">
        <x:v>397141eb8a813045075ac2be3098d3b136ebaf4d597c08fca627922a75e443b7</x:v>
      </x:c>
      <x:c r="Q1208" t="str">
        <x:v>data/raw/ptm45_lp_vds_1v_raw.txt</x:v>
      </x:c>
    </x:row>
    <x:row r="1209">
      <x:c r="A1209" t="str">
        <x:v>PTM</x:v>
      </x:c>
      <x:c r="B1209" t="str">
        <x:v>NMOS</x:v>
      </x:c>
      <x:c r="C1209" t="n">
        <x:v>45</x:v>
      </x:c>
      <x:c r="D1209" t="str">
        <x:v>LP</x:v>
      </x:c>
      <x:c r="E1209" t="n">
        <x:v>1</x:v>
      </x:c>
      <x:c r="F1209" t="n">
        <x:v>0.045</x:v>
      </x:c>
      <x:c r="G1209" t="n">
        <x:v>25</x:v>
      </x:c>
      <x:c r="H1209" t="n">
        <x:v>1</x:v>
      </x:c>
      <x:c r="I1209" t="n">
        <x:v>0.8150000000000007</x:v>
      </x:c>
      <x:c r="J1209" t="n">
        <x:v>0.0002012728637616925</x:v>
      </x:c>
      <x:c r="K1209" t="str">
        <x:v>common_1v</x:v>
      </x:c>
      <x:c r="L1209" t="str">
        <x:v>common_vdd</x:v>
      </x:c>
      <x:c r="M1209" t="n">
        <x:v>1.1</x:v>
      </x:c>
      <x:c r="N1209" t="str">
        <x:v>simulation</x:v>
      </x:c>
      <x:c r="O1209" t="str">
        <x:v>ngspice</x:v>
      </x:c>
      <x:c r="P1209" t="str">
        <x:v>397141eb8a813045075ac2be3098d3b136ebaf4d597c08fca627922a75e443b7</x:v>
      </x:c>
      <x:c r="Q1209" t="str">
        <x:v>data/raw/ptm45_lp_vds_1v_raw.txt</x:v>
      </x:c>
    </x:row>
    <x:row r="1210">
      <x:c r="A1210" t="str">
        <x:v>PTM</x:v>
      </x:c>
      <x:c r="B1210" t="str">
        <x:v>NMOS</x:v>
      </x:c>
      <x:c r="C1210" t="n">
        <x:v>45</x:v>
      </x:c>
      <x:c r="D1210" t="str">
        <x:v>LP</x:v>
      </x:c>
      <x:c r="E1210" t="n">
        <x:v>1</x:v>
      </x:c>
      <x:c r="F1210" t="n">
        <x:v>0.045</x:v>
      </x:c>
      <x:c r="G1210" t="n">
        <x:v>25</x:v>
      </x:c>
      <x:c r="H1210" t="n">
        <x:v>1</x:v>
      </x:c>
      <x:c r="I1210" t="n">
        <x:v>0.8200000000000007</x:v>
      </x:c>
      <x:c r="J1210" t="n">
        <x:v>0.0002064363898671368</x:v>
      </x:c>
      <x:c r="K1210" t="str">
        <x:v>common_1v</x:v>
      </x:c>
      <x:c r="L1210" t="str">
        <x:v>common_vdd</x:v>
      </x:c>
      <x:c r="M1210" t="n">
        <x:v>1.1</x:v>
      </x:c>
      <x:c r="N1210" t="str">
        <x:v>simulation</x:v>
      </x:c>
      <x:c r="O1210" t="str">
        <x:v>ngspice</x:v>
      </x:c>
      <x:c r="P1210" t="str">
        <x:v>397141eb8a813045075ac2be3098d3b136ebaf4d597c08fca627922a75e443b7</x:v>
      </x:c>
      <x:c r="Q1210" t="str">
        <x:v>data/raw/ptm45_lp_vds_1v_raw.txt</x:v>
      </x:c>
    </x:row>
    <x:row r="1211">
      <x:c r="A1211" t="str">
        <x:v>PTM</x:v>
      </x:c>
      <x:c r="B1211" t="str">
        <x:v>NMOS</x:v>
      </x:c>
      <x:c r="C1211" t="n">
        <x:v>45</x:v>
      </x:c>
      <x:c r="D1211" t="str">
        <x:v>LP</x:v>
      </x:c>
      <x:c r="E1211" t="n">
        <x:v>1</x:v>
      </x:c>
      <x:c r="F1211" t="n">
        <x:v>0.045</x:v>
      </x:c>
      <x:c r="G1211" t="n">
        <x:v>25</x:v>
      </x:c>
      <x:c r="H1211" t="n">
        <x:v>1</x:v>
      </x:c>
      <x:c r="I1211" t="n">
        <x:v>0.8250000000000007</x:v>
      </x:c>
      <x:c r="J1211" t="n">
        <x:v>0.0002116236295863458</x:v>
      </x:c>
      <x:c r="K1211" t="str">
        <x:v>common_1v</x:v>
      </x:c>
      <x:c r="L1211" t="str">
        <x:v>common_vdd</x:v>
      </x:c>
      <x:c r="M1211" t="n">
        <x:v>1.1</x:v>
      </x:c>
      <x:c r="N1211" t="str">
        <x:v>simulation</x:v>
      </x:c>
      <x:c r="O1211" t="str">
        <x:v>ngspice</x:v>
      </x:c>
      <x:c r="P1211" t="str">
        <x:v>397141eb8a813045075ac2be3098d3b136ebaf4d597c08fca627922a75e443b7</x:v>
      </x:c>
      <x:c r="Q1211" t="str">
        <x:v>data/raw/ptm45_lp_vds_1v_raw.txt</x:v>
      </x:c>
    </x:row>
    <x:row r="1212">
      <x:c r="A1212" t="str">
        <x:v>PTM</x:v>
      </x:c>
      <x:c r="B1212" t="str">
        <x:v>NMOS</x:v>
      </x:c>
      <x:c r="C1212" t="n">
        <x:v>45</x:v>
      </x:c>
      <x:c r="D1212" t="str">
        <x:v>LP</x:v>
      </x:c>
      <x:c r="E1212" t="n">
        <x:v>1</x:v>
      </x:c>
      <x:c r="F1212" t="n">
        <x:v>0.045</x:v>
      </x:c>
      <x:c r="G1212" t="n">
        <x:v>25</x:v>
      </x:c>
      <x:c r="H1212" t="n">
        <x:v>1</x:v>
      </x:c>
      <x:c r="I1212" t="n">
        <x:v>0.8300000000000007</x:v>
      </x:c>
      <x:c r="J1212" t="n">
        <x:v>0.0002168334102612119</x:v>
      </x:c>
      <x:c r="K1212" t="str">
        <x:v>common_1v</x:v>
      </x:c>
      <x:c r="L1212" t="str">
        <x:v>common_vdd</x:v>
      </x:c>
      <x:c r="M1212" t="n">
        <x:v>1.1</x:v>
      </x:c>
      <x:c r="N1212" t="str">
        <x:v>simulation</x:v>
      </x:c>
      <x:c r="O1212" t="str">
        <x:v>ngspice</x:v>
      </x:c>
      <x:c r="P1212" t="str">
        <x:v>397141eb8a813045075ac2be3098d3b136ebaf4d597c08fca627922a75e443b7</x:v>
      </x:c>
      <x:c r="Q1212" t="str">
        <x:v>data/raw/ptm45_lp_vds_1v_raw.txt</x:v>
      </x:c>
    </x:row>
    <x:row r="1213">
      <x:c r="A1213" t="str">
        <x:v>PTM</x:v>
      </x:c>
      <x:c r="B1213" t="str">
        <x:v>NMOS</x:v>
      </x:c>
      <x:c r="C1213" t="n">
        <x:v>45</x:v>
      </x:c>
      <x:c r="D1213" t="str">
        <x:v>LP</x:v>
      </x:c>
      <x:c r="E1213" t="n">
        <x:v>1</x:v>
      </x:c>
      <x:c r="F1213" t="n">
        <x:v>0.045</x:v>
      </x:c>
      <x:c r="G1213" t="n">
        <x:v>25</x:v>
      </x:c>
      <x:c r="H1213" t="n">
        <x:v>1</x:v>
      </x:c>
      <x:c r="I1213" t="n">
        <x:v>0.8350000000000007</x:v>
      </x:c>
      <x:c r="J1213" t="n">
        <x:v>0.0002220646203827073</x:v>
      </x:c>
      <x:c r="K1213" t="str">
        <x:v>common_1v</x:v>
      </x:c>
      <x:c r="L1213" t="str">
        <x:v>common_vdd</x:v>
      </x:c>
      <x:c r="M1213" t="n">
        <x:v>1.1</x:v>
      </x:c>
      <x:c r="N1213" t="str">
        <x:v>simulation</x:v>
      </x:c>
      <x:c r="O1213" t="str">
        <x:v>ngspice</x:v>
      </x:c>
      <x:c r="P1213" t="str">
        <x:v>397141eb8a813045075ac2be3098d3b136ebaf4d597c08fca627922a75e443b7</x:v>
      </x:c>
      <x:c r="Q1213" t="str">
        <x:v>data/raw/ptm45_lp_vds_1v_raw.txt</x:v>
      </x:c>
    </x:row>
    <x:row r="1214">
      <x:c r="A1214" t="str">
        <x:v>PTM</x:v>
      </x:c>
      <x:c r="B1214" t="str">
        <x:v>NMOS</x:v>
      </x:c>
      <x:c r="C1214" t="n">
        <x:v>45</x:v>
      </x:c>
      <x:c r="D1214" t="str">
        <x:v>LP</x:v>
      </x:c>
      <x:c r="E1214" t="n">
        <x:v>1</x:v>
      </x:c>
      <x:c r="F1214" t="n">
        <x:v>0.045</x:v>
      </x:c>
      <x:c r="G1214" t="n">
        <x:v>25</x:v>
      </x:c>
      <x:c r="H1214" t="n">
        <x:v>1</x:v>
      </x:c>
      <x:c r="I1214" t="n">
        <x:v>0.8400000000000007</x:v>
      </x:c>
      <x:c r="J1214" t="n">
        <x:v>0.0002273162067833103</x:v>
      </x:c>
      <x:c r="K1214" t="str">
        <x:v>common_1v</x:v>
      </x:c>
      <x:c r="L1214" t="str">
        <x:v>common_vdd</x:v>
      </x:c>
      <x:c r="M1214" t="n">
        <x:v>1.1</x:v>
      </x:c>
      <x:c r="N1214" t="str">
        <x:v>simulation</x:v>
      </x:c>
      <x:c r="O1214" t="str">
        <x:v>ngspice</x:v>
      </x:c>
      <x:c r="P1214" t="str">
        <x:v>397141eb8a813045075ac2be3098d3b136ebaf4d597c08fca627922a75e443b7</x:v>
      </x:c>
      <x:c r="Q1214" t="str">
        <x:v>data/raw/ptm45_lp_vds_1v_raw.txt</x:v>
      </x:c>
    </x:row>
    <x:row r="1215">
      <x:c r="A1215" t="str">
        <x:v>PTM</x:v>
      </x:c>
      <x:c r="B1215" t="str">
        <x:v>NMOS</x:v>
      </x:c>
      <x:c r="C1215" t="n">
        <x:v>45</x:v>
      </x:c>
      <x:c r="D1215" t="str">
        <x:v>LP</x:v>
      </x:c>
      <x:c r="E1215" t="n">
        <x:v>1</x:v>
      </x:c>
      <x:c r="F1215" t="n">
        <x:v>0.045</x:v>
      </x:c>
      <x:c r="G1215" t="n">
        <x:v>25</x:v>
      </x:c>
      <x:c r="H1215" t="n">
        <x:v>1</x:v>
      </x:c>
      <x:c r="I1215" t="n">
        <x:v>0.8450000000000008</x:v>
      </x:c>
      <x:c r="J1215" t="n">
        <x:v>0.0002325871718663239</x:v>
      </x:c>
      <x:c r="K1215" t="str">
        <x:v>common_1v</x:v>
      </x:c>
      <x:c r="L1215" t="str">
        <x:v>common_vdd</x:v>
      </x:c>
      <x:c r="M1215" t="n">
        <x:v>1.1</x:v>
      </x:c>
      <x:c r="N1215" t="str">
        <x:v>simulation</x:v>
      </x:c>
      <x:c r="O1215" t="str">
        <x:v>ngspice</x:v>
      </x:c>
      <x:c r="P1215" t="str">
        <x:v>397141eb8a813045075ac2be3098d3b136ebaf4d597c08fca627922a75e443b7</x:v>
      </x:c>
      <x:c r="Q1215" t="str">
        <x:v>data/raw/ptm45_lp_vds_1v_raw.txt</x:v>
      </x:c>
    </x:row>
    <x:row r="1216">
      <x:c r="A1216" t="str">
        <x:v>PTM</x:v>
      </x:c>
      <x:c r="B1216" t="str">
        <x:v>NMOS</x:v>
      </x:c>
      <x:c r="C1216" t="n">
        <x:v>45</x:v>
      </x:c>
      <x:c r="D1216" t="str">
        <x:v>LP</x:v>
      </x:c>
      <x:c r="E1216" t="n">
        <x:v>1</x:v>
      </x:c>
      <x:c r="F1216" t="n">
        <x:v>0.045</x:v>
      </x:c>
      <x:c r="G1216" t="n">
        <x:v>25</x:v>
      </x:c>
      <x:c r="H1216" t="n">
        <x:v>1</x:v>
      </x:c>
      <x:c r="I1216" t="n">
        <x:v>0.8500000000000008</x:v>
      </x:c>
      <x:c r="J1216" t="n">
        <x:v>0.0002378765708869011</x:v>
      </x:c>
      <x:c r="K1216" t="str">
        <x:v>common_1v</x:v>
      </x:c>
      <x:c r="L1216" t="str">
        <x:v>common_vdd</x:v>
      </x:c>
      <x:c r="M1216" t="n">
        <x:v>1.1</x:v>
      </x:c>
      <x:c r="N1216" t="str">
        <x:v>simulation</x:v>
      </x:c>
      <x:c r="O1216" t="str">
        <x:v>ngspice</x:v>
      </x:c>
      <x:c r="P1216" t="str">
        <x:v>397141eb8a813045075ac2be3098d3b136ebaf4d597c08fca627922a75e443b7</x:v>
      </x:c>
      <x:c r="Q1216" t="str">
        <x:v>data/raw/ptm45_lp_vds_1v_raw.txt</x:v>
      </x:c>
    </x:row>
    <x:row r="1217">
      <x:c r="A1217" t="str">
        <x:v>PTM</x:v>
      </x:c>
      <x:c r="B1217" t="str">
        <x:v>NMOS</x:v>
      </x:c>
      <x:c r="C1217" t="n">
        <x:v>45</x:v>
      </x:c>
      <x:c r="D1217" t="str">
        <x:v>LP</x:v>
      </x:c>
      <x:c r="E1217" t="n">
        <x:v>1</x:v>
      </x:c>
      <x:c r="F1217" t="n">
        <x:v>0.045</x:v>
      </x:c>
      <x:c r="G1217" t="n">
        <x:v>25</x:v>
      </x:c>
      <x:c r="H1217" t="n">
        <x:v>1</x:v>
      </x:c>
      <x:c r="I1217" t="n">
        <x:v>0.8550000000000008</x:v>
      </x:c>
      <x:c r="J1217" t="n">
        <x:v>0.0002431835092969457</x:v>
      </x:c>
      <x:c r="K1217" t="str">
        <x:v>common_1v</x:v>
      </x:c>
      <x:c r="L1217" t="str">
        <x:v>common_vdd</x:v>
      </x:c>
      <x:c r="M1217" t="n">
        <x:v>1.1</x:v>
      </x:c>
      <x:c r="N1217" t="str">
        <x:v>simulation</x:v>
      </x:c>
      <x:c r="O1217" t="str">
        <x:v>ngspice</x:v>
      </x:c>
      <x:c r="P1217" t="str">
        <x:v>397141eb8a813045075ac2be3098d3b136ebaf4d597c08fca627922a75e443b7</x:v>
      </x:c>
      <x:c r="Q1217" t="str">
        <x:v>data/raw/ptm45_lp_vds_1v_raw.txt</x:v>
      </x:c>
    </x:row>
    <x:row r="1218">
      <x:c r="A1218" t="str">
        <x:v>PTM</x:v>
      </x:c>
      <x:c r="B1218" t="str">
        <x:v>NMOS</x:v>
      </x:c>
      <x:c r="C1218" t="n">
        <x:v>45</x:v>
      </x:c>
      <x:c r="D1218" t="str">
        <x:v>LP</x:v>
      </x:c>
      <x:c r="E1218" t="n">
        <x:v>1</x:v>
      </x:c>
      <x:c r="F1218" t="n">
        <x:v>0.045</x:v>
      </x:c>
      <x:c r="G1218" t="n">
        <x:v>25</x:v>
      </x:c>
      <x:c r="H1218" t="n">
        <x:v>1</x:v>
      </x:c>
      <x:c r="I1218" t="n">
        <x:v>0.8600000000000008</x:v>
      </x:c>
      <x:c r="J1218" t="n">
        <x:v>0.0002485071401636014</x:v>
      </x:c>
      <x:c r="K1218" t="str">
        <x:v>common_1v</x:v>
      </x:c>
      <x:c r="L1218" t="str">
        <x:v>common_vdd</x:v>
      </x:c>
      <x:c r="M1218" t="n">
        <x:v>1.1</x:v>
      </x:c>
      <x:c r="N1218" t="str">
        <x:v>simulation</x:v>
      </x:c>
      <x:c r="O1218" t="str">
        <x:v>ngspice</x:v>
      </x:c>
      <x:c r="P1218" t="str">
        <x:v>397141eb8a813045075ac2be3098d3b136ebaf4d597c08fca627922a75e443b7</x:v>
      </x:c>
      <x:c r="Q1218" t="str">
        <x:v>data/raw/ptm45_lp_vds_1v_raw.txt</x:v>
      </x:c>
    </x:row>
    <x:row r="1219">
      <x:c r="A1219" t="str">
        <x:v>PTM</x:v>
      </x:c>
      <x:c r="B1219" t="str">
        <x:v>NMOS</x:v>
      </x:c>
      <x:c r="C1219" t="n">
        <x:v>45</x:v>
      </x:c>
      <x:c r="D1219" t="str">
        <x:v>LP</x:v>
      </x:c>
      <x:c r="E1219" t="n">
        <x:v>1</x:v>
      </x:c>
      <x:c r="F1219" t="n">
        <x:v>0.045</x:v>
      </x:c>
      <x:c r="G1219" t="n">
        <x:v>25</x:v>
      </x:c>
      <x:c r="H1219" t="n">
        <x:v>1</x:v>
      </x:c>
      <x:c r="I1219" t="n">
        <x:v>0.8650000000000008</x:v>
      </x:c>
      <x:c r="J1219" t="n">
        <x:v>0.0002538466616689089</x:v>
      </x:c>
      <x:c r="K1219" t="str">
        <x:v>common_1v</x:v>
      </x:c>
      <x:c r="L1219" t="str">
        <x:v>common_vdd</x:v>
      </x:c>
      <x:c r="M1219" t="n">
        <x:v>1.1</x:v>
      </x:c>
      <x:c r="N1219" t="str">
        <x:v>simulation</x:v>
      </x:c>
      <x:c r="O1219" t="str">
        <x:v>ngspice</x:v>
      </x:c>
      <x:c r="P1219" t="str">
        <x:v>397141eb8a813045075ac2be3098d3b136ebaf4d597c08fca627922a75e443b7</x:v>
      </x:c>
      <x:c r="Q1219" t="str">
        <x:v>data/raw/ptm45_lp_vds_1v_raw.txt</x:v>
      </x:c>
    </x:row>
    <x:row r="1220">
      <x:c r="A1220" t="str">
        <x:v>PTM</x:v>
      </x:c>
      <x:c r="B1220" t="str">
        <x:v>NMOS</x:v>
      </x:c>
      <x:c r="C1220" t="n">
        <x:v>45</x:v>
      </x:c>
      <x:c r="D1220" t="str">
        <x:v>LP</x:v>
      </x:c>
      <x:c r="E1220" t="n">
        <x:v>1</x:v>
      </x:c>
      <x:c r="F1220" t="n">
        <x:v>0.045</x:v>
      </x:c>
      <x:c r="G1220" t="n">
        <x:v>25</x:v>
      </x:c>
      <x:c r="H1220" t="n">
        <x:v>1</x:v>
      </x:c>
      <x:c r="I1220" t="n">
        <x:v>0.8700000000000008</x:v>
      </x:c>
      <x:c r="J1220" t="n">
        <x:v>0.0002592013146963965</x:v>
      </x:c>
      <x:c r="K1220" t="str">
        <x:v>common_1v</x:v>
      </x:c>
      <x:c r="L1220" t="str">
        <x:v>common_vdd</x:v>
      </x:c>
      <x:c r="M1220" t="n">
        <x:v>1.1</x:v>
      </x:c>
      <x:c r="N1220" t="str">
        <x:v>simulation</x:v>
      </x:c>
      <x:c r="O1220" t="str">
        <x:v>ngspice</x:v>
      </x:c>
      <x:c r="P1220" t="str">
        <x:v>397141eb8a813045075ac2be3098d3b136ebaf4d597c08fca627922a75e443b7</x:v>
      </x:c>
      <x:c r="Q1220" t="str">
        <x:v>data/raw/ptm45_lp_vds_1v_raw.txt</x:v>
      </x:c>
    </x:row>
    <x:row r="1221">
      <x:c r="A1221" t="str">
        <x:v>PTM</x:v>
      </x:c>
      <x:c r="B1221" t="str">
        <x:v>NMOS</x:v>
      </x:c>
      <x:c r="C1221" t="n">
        <x:v>45</x:v>
      </x:c>
      <x:c r="D1221" t="str">
        <x:v>LP</x:v>
      </x:c>
      <x:c r="E1221" t="n">
        <x:v>1</x:v>
      </x:c>
      <x:c r="F1221" t="n">
        <x:v>0.045</x:v>
      </x:c>
      <x:c r="G1221" t="n">
        <x:v>25</x:v>
      </x:c>
      <x:c r="H1221" t="n">
        <x:v>1</x:v>
      </x:c>
      <x:c r="I1221" t="n">
        <x:v>0.8750000000000008</x:v>
      </x:c>
      <x:c r="J1221" t="n">
        <x:v>0.0002645703805086977</x:v>
      </x:c>
      <x:c r="K1221" t="str">
        <x:v>common_1v</x:v>
      </x:c>
      <x:c r="L1221" t="str">
        <x:v>common_vdd</x:v>
      </x:c>
      <x:c r="M1221" t="n">
        <x:v>1.1</x:v>
      </x:c>
      <x:c r="N1221" t="str">
        <x:v>simulation</x:v>
      </x:c>
      <x:c r="O1221" t="str">
        <x:v>ngspice</x:v>
      </x:c>
      <x:c r="P1221" t="str">
        <x:v>397141eb8a813045075ac2be3098d3b136ebaf4d597c08fca627922a75e443b7</x:v>
      </x:c>
      <x:c r="Q1221" t="str">
        <x:v>data/raw/ptm45_lp_vds_1v_raw.txt</x:v>
      </x:c>
    </x:row>
    <x:row r="1222">
      <x:c r="A1222" t="str">
        <x:v>PTM</x:v>
      </x:c>
      <x:c r="B1222" t="str">
        <x:v>NMOS</x:v>
      </x:c>
      <x:c r="C1222" t="n">
        <x:v>45</x:v>
      </x:c>
      <x:c r="D1222" t="str">
        <x:v>LP</x:v>
      </x:c>
      <x:c r="E1222" t="n">
        <x:v>1</x:v>
      </x:c>
      <x:c r="F1222" t="n">
        <x:v>0.045</x:v>
      </x:c>
      <x:c r="G1222" t="n">
        <x:v>25</x:v>
      </x:c>
      <x:c r="H1222" t="n">
        <x:v>1</x:v>
      </x:c>
      <x:c r="I1222" t="n">
        <x:v>0.8800000000000008</x:v>
      </x:c>
      <x:c r="J1222" t="n">
        <x:v>0.0002699531785189462</x:v>
      </x:c>
      <x:c r="K1222" t="str">
        <x:v>common_1v</x:v>
      </x:c>
      <x:c r="L1222" t="str">
        <x:v>common_vdd</x:v>
      </x:c>
      <x:c r="M1222" t="n">
        <x:v>1.1</x:v>
      </x:c>
      <x:c r="N1222" t="str">
        <x:v>simulation</x:v>
      </x:c>
      <x:c r="O1222" t="str">
        <x:v>ngspice</x:v>
      </x:c>
      <x:c r="P1222" t="str">
        <x:v>397141eb8a813045075ac2be3098d3b136ebaf4d597c08fca627922a75e443b7</x:v>
      </x:c>
      <x:c r="Q1222" t="str">
        <x:v>data/raw/ptm45_lp_vds_1v_raw.txt</x:v>
      </x:c>
    </x:row>
    <x:row r="1223">
      <x:c r="A1223" t="str">
        <x:v>PTM</x:v>
      </x:c>
      <x:c r="B1223" t="str">
        <x:v>NMOS</x:v>
      </x:c>
      <x:c r="C1223" t="n">
        <x:v>45</x:v>
      </x:c>
      <x:c r="D1223" t="str">
        <x:v>LP</x:v>
      </x:c>
      <x:c r="E1223" t="n">
        <x:v>1</x:v>
      </x:c>
      <x:c r="F1223" t="n">
        <x:v>0.045</x:v>
      </x:c>
      <x:c r="G1223" t="n">
        <x:v>25</x:v>
      </x:c>
      <x:c r="H1223" t="n">
        <x:v>1</x:v>
      </x:c>
      <x:c r="I1223" t="n">
        <x:v>0.8850000000000008</x:v>
      </x:c>
      <x:c r="J1223" t="n">
        <x:v>0.0002753490641575017</x:v>
      </x:c>
      <x:c r="K1223" t="str">
        <x:v>common_1v</x:v>
      </x:c>
      <x:c r="L1223" t="str">
        <x:v>common_vdd</x:v>
      </x:c>
      <x:c r="M1223" t="n">
        <x:v>1.1</x:v>
      </x:c>
      <x:c r="N1223" t="str">
        <x:v>simulation</x:v>
      </x:c>
      <x:c r="O1223" t="str">
        <x:v>ngspice</x:v>
      </x:c>
      <x:c r="P1223" t="str">
        <x:v>397141eb8a813045075ac2be3098d3b136ebaf4d597c08fca627922a75e443b7</x:v>
      </x:c>
      <x:c r="Q1223" t="str">
        <x:v>data/raw/ptm45_lp_vds_1v_raw.txt</x:v>
      </x:c>
    </x:row>
    <x:row r="1224">
      <x:c r="A1224" t="str">
        <x:v>PTM</x:v>
      </x:c>
      <x:c r="B1224" t="str">
        <x:v>NMOS</x:v>
      </x:c>
      <x:c r="C1224" t="n">
        <x:v>45</x:v>
      </x:c>
      <x:c r="D1224" t="str">
        <x:v>LP</x:v>
      </x:c>
      <x:c r="E1224" t="n">
        <x:v>1</x:v>
      </x:c>
      <x:c r="F1224" t="n">
        <x:v>0.045</x:v>
      </x:c>
      <x:c r="G1224" t="n">
        <x:v>25</x:v>
      </x:c>
      <x:c r="H1224" t="n">
        <x:v>1</x:v>
      </x:c>
      <x:c r="I1224" t="n">
        <x:v>0.8900000000000008</x:v>
      </x:c>
      <x:c r="J1224" t="n">
        <x:v>0.0002807574268345184</x:v>
      </x:c>
      <x:c r="K1224" t="str">
        <x:v>common_1v</x:v>
      </x:c>
      <x:c r="L1224" t="str">
        <x:v>common_vdd</x:v>
      </x:c>
      <x:c r="M1224" t="n">
        <x:v>1.1</x:v>
      </x:c>
      <x:c r="N1224" t="str">
        <x:v>simulation</x:v>
      </x:c>
      <x:c r="O1224" t="str">
        <x:v>ngspice</x:v>
      </x:c>
      <x:c r="P1224" t="str">
        <x:v>397141eb8a813045075ac2be3098d3b136ebaf4d597c08fca627922a75e443b7</x:v>
      </x:c>
      <x:c r="Q1224" t="str">
        <x:v>data/raw/ptm45_lp_vds_1v_raw.txt</x:v>
      </x:c>
    </x:row>
    <x:row r="1225">
      <x:c r="A1225" t="str">
        <x:v>PTM</x:v>
      </x:c>
      <x:c r="B1225" t="str">
        <x:v>NMOS</x:v>
      </x:c>
      <x:c r="C1225" t="n">
        <x:v>45</x:v>
      </x:c>
      <x:c r="D1225" t="str">
        <x:v>LP</x:v>
      </x:c>
      <x:c r="E1225" t="n">
        <x:v>1</x:v>
      </x:c>
      <x:c r="F1225" t="n">
        <x:v>0.045</x:v>
      </x:c>
      <x:c r="G1225" t="n">
        <x:v>25</x:v>
      </x:c>
      <x:c r="H1225" t="n">
        <x:v>1</x:v>
      </x:c>
      <x:c r="I1225" t="n">
        <x:v>0.8950000000000008</x:v>
      </x:c>
      <x:c r="J1225" t="n">
        <x:v>0.0002861776879980341</x:v>
      </x:c>
      <x:c r="K1225" t="str">
        <x:v>common_1v</x:v>
      </x:c>
      <x:c r="L1225" t="str">
        <x:v>common_vdd</x:v>
      </x:c>
      <x:c r="M1225" t="n">
        <x:v>1.1</x:v>
      </x:c>
      <x:c r="N1225" t="str">
        <x:v>simulation</x:v>
      </x:c>
      <x:c r="O1225" t="str">
        <x:v>ngspice</x:v>
      </x:c>
      <x:c r="P1225" t="str">
        <x:v>397141eb8a813045075ac2be3098d3b136ebaf4d597c08fca627922a75e443b7</x:v>
      </x:c>
      <x:c r="Q1225" t="str">
        <x:v>data/raw/ptm45_lp_vds_1v_raw.txt</x:v>
      </x:c>
    </x:row>
    <x:row r="1226">
      <x:c r="A1226" t="str">
        <x:v>PTM</x:v>
      </x:c>
      <x:c r="B1226" t="str">
        <x:v>NMOS</x:v>
      </x:c>
      <x:c r="C1226" t="n">
        <x:v>45</x:v>
      </x:c>
      <x:c r="D1226" t="str">
        <x:v>LP</x:v>
      </x:c>
      <x:c r="E1226" t="n">
        <x:v>1</x:v>
      </x:c>
      <x:c r="F1226" t="n">
        <x:v>0.045</x:v>
      </x:c>
      <x:c r="G1226" t="n">
        <x:v>25</x:v>
      </x:c>
      <x:c r="H1226" t="n">
        <x:v>1</x:v>
      </x:c>
      <x:c r="I1226" t="n">
        <x:v>0.9000000000000008</x:v>
      </x:c>
      <x:c r="J1226" t="n">
        <x:v>0.0002916092992865899</x:v>
      </x:c>
      <x:c r="K1226" t="str">
        <x:v>common_1v</x:v>
      </x:c>
      <x:c r="L1226" t="str">
        <x:v>common_vdd</x:v>
      </x:c>
      <x:c r="M1226" t="n">
        <x:v>1.1</x:v>
      </x:c>
      <x:c r="N1226" t="str">
        <x:v>simulation</x:v>
      </x:c>
      <x:c r="O1226" t="str">
        <x:v>ngspice</x:v>
      </x:c>
      <x:c r="P1226" t="str">
        <x:v>397141eb8a813045075ac2be3098d3b136ebaf4d597c08fca627922a75e443b7</x:v>
      </x:c>
      <x:c r="Q1226" t="str">
        <x:v>data/raw/ptm45_lp_vds_1v_raw.txt</x:v>
      </x:c>
    </x:row>
    <x:row r="1227">
      <x:c r="A1227" t="str">
        <x:v>PTM</x:v>
      </x:c>
      <x:c r="B1227" t="str">
        <x:v>NMOS</x:v>
      </x:c>
      <x:c r="C1227" t="n">
        <x:v>45</x:v>
      </x:c>
      <x:c r="D1227" t="str">
        <x:v>LP</x:v>
      </x:c>
      <x:c r="E1227" t="n">
        <x:v>1</x:v>
      </x:c>
      <x:c r="F1227" t="n">
        <x:v>0.045</x:v>
      </x:c>
      <x:c r="G1227" t="n">
        <x:v>25</x:v>
      </x:c>
      <x:c r="H1227" t="n">
        <x:v>1</x:v>
      </x:c>
      <x:c r="I1227" t="n">
        <x:v>0.9050000000000008</x:v>
      </x:c>
      <x:c r="J1227" t="n">
        <x:v>0.0002970517407747155</x:v>
      </x:c>
      <x:c r="K1227" t="str">
        <x:v>common_1v</x:v>
      </x:c>
      <x:c r="L1227" t="str">
        <x:v>common_vdd</x:v>
      </x:c>
      <x:c r="M1227" t="n">
        <x:v>1.1</x:v>
      </x:c>
      <x:c r="N1227" t="str">
        <x:v>simulation</x:v>
      </x:c>
      <x:c r="O1227" t="str">
        <x:v>ngspice</x:v>
      </x:c>
      <x:c r="P1227" t="str">
        <x:v>397141eb8a813045075ac2be3098d3b136ebaf4d597c08fca627922a75e443b7</x:v>
      </x:c>
      <x:c r="Q1227" t="str">
        <x:v>data/raw/ptm45_lp_vds_1v_raw.txt</x:v>
      </x:c>
    </x:row>
    <x:row r="1228">
      <x:c r="A1228" t="str">
        <x:v>PTM</x:v>
      </x:c>
      <x:c r="B1228" t="str">
        <x:v>NMOS</x:v>
      </x:c>
      <x:c r="C1228" t="n">
        <x:v>45</x:v>
      </x:c>
      <x:c r="D1228" t="str">
        <x:v>LP</x:v>
      </x:c>
      <x:c r="E1228" t="n">
        <x:v>1</x:v>
      </x:c>
      <x:c r="F1228" t="n">
        <x:v>0.045</x:v>
      </x:c>
      <x:c r="G1228" t="n">
        <x:v>25</x:v>
      </x:c>
      <x:c r="H1228" t="n">
        <x:v>1</x:v>
      </x:c>
      <x:c r="I1228" t="n">
        <x:v>0.9100000000000008</x:v>
      </x:c>
      <x:c r="J1228" t="n">
        <x:v>0.000302504519309224</x:v>
      </x:c>
      <x:c r="K1228" t="str">
        <x:v>common_1v</x:v>
      </x:c>
      <x:c r="L1228" t="str">
        <x:v>common_vdd</x:v>
      </x:c>
      <x:c r="M1228" t="n">
        <x:v>1.1</x:v>
      </x:c>
      <x:c r="N1228" t="str">
        <x:v>simulation</x:v>
      </x:c>
      <x:c r="O1228" t="str">
        <x:v>ngspice</x:v>
      </x:c>
      <x:c r="P1228" t="str">
        <x:v>397141eb8a813045075ac2be3098d3b136ebaf4d597c08fca627922a75e443b7</x:v>
      </x:c>
      <x:c r="Q1228" t="str">
        <x:v>data/raw/ptm45_lp_vds_1v_raw.txt</x:v>
      </x:c>
    </x:row>
    <x:row r="1229">
      <x:c r="A1229" t="str">
        <x:v>PTM</x:v>
      </x:c>
      <x:c r="B1229" t="str">
        <x:v>NMOS</x:v>
      </x:c>
      <x:c r="C1229" t="n">
        <x:v>45</x:v>
      </x:c>
      <x:c r="D1229" t="str">
        <x:v>LP</x:v>
      </x:c>
      <x:c r="E1229" t="n">
        <x:v>1</x:v>
      </x:c>
      <x:c r="F1229" t="n">
        <x:v>0.045</x:v>
      </x:c>
      <x:c r="G1229" t="n">
        <x:v>25</x:v>
      </x:c>
      <x:c r="H1229" t="n">
        <x:v>1</x:v>
      </x:c>
      <x:c r="I1229" t="n">
        <x:v>0.9150000000000008</x:v>
      </x:c>
      <x:c r="J1229" t="n">
        <x:v>0.0003079671669338621</x:v>
      </x:c>
      <x:c r="K1229" t="str">
        <x:v>common_1v</x:v>
      </x:c>
      <x:c r="L1229" t="str">
        <x:v>common_vdd</x:v>
      </x:c>
      <x:c r="M1229" t="n">
        <x:v>1.1</x:v>
      </x:c>
      <x:c r="N1229" t="str">
        <x:v>simulation</x:v>
      </x:c>
      <x:c r="O1229" t="str">
        <x:v>ngspice</x:v>
      </x:c>
      <x:c r="P1229" t="str">
        <x:v>397141eb8a813045075ac2be3098d3b136ebaf4d597c08fca627922a75e443b7</x:v>
      </x:c>
      <x:c r="Q1229" t="str">
        <x:v>data/raw/ptm45_lp_vds_1v_raw.txt</x:v>
      </x:c>
    </x:row>
    <x:row r="1230">
      <x:c r="A1230" t="str">
        <x:v>PTM</x:v>
      </x:c>
      <x:c r="B1230" t="str">
        <x:v>NMOS</x:v>
      </x:c>
      <x:c r="C1230" t="n">
        <x:v>45</x:v>
      </x:c>
      <x:c r="D1230" t="str">
        <x:v>LP</x:v>
      </x:c>
      <x:c r="E1230" t="n">
        <x:v>1</x:v>
      </x:c>
      <x:c r="F1230" t="n">
        <x:v>0.045</x:v>
      </x:c>
      <x:c r="G1230" t="n">
        <x:v>25</x:v>
      </x:c>
      <x:c r="H1230" t="n">
        <x:v>1</x:v>
      </x:c>
      <x:c r="I1230" t="n">
        <x:v>0.9200000000000008</x:v>
      </x:c>
      <x:c r="J1230" t="n">
        <x:v>0.0003134392393995268</x:v>
      </x:c>
      <x:c r="K1230" t="str">
        <x:v>common_1v</x:v>
      </x:c>
      <x:c r="L1230" t="str">
        <x:v>common_vdd</x:v>
      </x:c>
      <x:c r="M1230" t="n">
        <x:v>1.1</x:v>
      </x:c>
      <x:c r="N1230" t="str">
        <x:v>simulation</x:v>
      </x:c>
      <x:c r="O1230" t="str">
        <x:v>ngspice</x:v>
      </x:c>
      <x:c r="P1230" t="str">
        <x:v>397141eb8a813045075ac2be3098d3b136ebaf4d597c08fca627922a75e443b7</x:v>
      </x:c>
      <x:c r="Q1230" t="str">
        <x:v>data/raw/ptm45_lp_vds_1v_raw.txt</x:v>
      </x:c>
    </x:row>
    <x:row r="1231">
      <x:c r="A1231" t="str">
        <x:v>PTM</x:v>
      </x:c>
      <x:c r="B1231" t="str">
        <x:v>NMOS</x:v>
      </x:c>
      <x:c r="C1231" t="n">
        <x:v>45</x:v>
      </x:c>
      <x:c r="D1231" t="str">
        <x:v>LP</x:v>
      </x:c>
      <x:c r="E1231" t="n">
        <x:v>1</x:v>
      </x:c>
      <x:c r="F1231" t="n">
        <x:v>0.045</x:v>
      </x:c>
      <x:c r="G1231" t="n">
        <x:v>25</x:v>
      </x:c>
      <x:c r="H1231" t="n">
        <x:v>1</x:v>
      </x:c>
      <x:c r="I1231" t="n">
        <x:v>0.9250000000000008</x:v>
      </x:c>
      <x:c r="J1231" t="n">
        <x:v>0.0003189203147570849</x:v>
      </x:c>
      <x:c r="K1231" t="str">
        <x:v>common_1v</x:v>
      </x:c>
      <x:c r="L1231" t="str">
        <x:v>common_vdd</x:v>
      </x:c>
      <x:c r="M1231" t="n">
        <x:v>1.1</x:v>
      </x:c>
      <x:c r="N1231" t="str">
        <x:v>simulation</x:v>
      </x:c>
      <x:c r="O1231" t="str">
        <x:v>ngspice</x:v>
      </x:c>
      <x:c r="P1231" t="str">
        <x:v>397141eb8a813045075ac2be3098d3b136ebaf4d597c08fca627922a75e443b7</x:v>
      </x:c>
      <x:c r="Q1231" t="str">
        <x:v>data/raw/ptm45_lp_vds_1v_raw.txt</x:v>
      </x:c>
    </x:row>
    <x:row r="1232">
      <x:c r="A1232" t="str">
        <x:v>PTM</x:v>
      </x:c>
      <x:c r="B1232" t="str">
        <x:v>NMOS</x:v>
      </x:c>
      <x:c r="C1232" t="n">
        <x:v>45</x:v>
      </x:c>
      <x:c r="D1232" t="str">
        <x:v>LP</x:v>
      </x:c>
      <x:c r="E1232" t="n">
        <x:v>1</x:v>
      </x:c>
      <x:c r="F1232" t="n">
        <x:v>0.045</x:v>
      </x:c>
      <x:c r="G1232" t="n">
        <x:v>25</x:v>
      </x:c>
      <x:c r="H1232" t="n">
        <x:v>1</x:v>
      </x:c>
      <x:c r="I1232" t="n">
        <x:v>0.9300000000000008</x:v>
      </x:c>
      <x:c r="J1232" t="n">
        <x:v>0.0003244099920296725</x:v>
      </x:c>
      <x:c r="K1232" t="str">
        <x:v>common_1v</x:v>
      </x:c>
      <x:c r="L1232" t="str">
        <x:v>common_vdd</x:v>
      </x:c>
      <x:c r="M1232" t="n">
        <x:v>1.1</x:v>
      </x:c>
      <x:c r="N1232" t="str">
        <x:v>simulation</x:v>
      </x:c>
      <x:c r="O1232" t="str">
        <x:v>ngspice</x:v>
      </x:c>
      <x:c r="P1232" t="str">
        <x:v>397141eb8a813045075ac2be3098d3b136ebaf4d597c08fca627922a75e443b7</x:v>
      </x:c>
      <x:c r="Q1232" t="str">
        <x:v>data/raw/ptm45_lp_vds_1v_raw.txt</x:v>
      </x:c>
    </x:row>
    <x:row r="1233">
      <x:c r="A1233" t="str">
        <x:v>PTM</x:v>
      </x:c>
      <x:c r="B1233" t="str">
        <x:v>NMOS</x:v>
      </x:c>
      <x:c r="C1233" t="n">
        <x:v>45</x:v>
      </x:c>
      <x:c r="D1233" t="str">
        <x:v>LP</x:v>
      </x:c>
      <x:c r="E1233" t="n">
        <x:v>1</x:v>
      </x:c>
      <x:c r="F1233" t="n">
        <x:v>0.045</x:v>
      </x:c>
      <x:c r="G1233" t="n">
        <x:v>25</x:v>
      </x:c>
      <x:c r="H1233" t="n">
        <x:v>1</x:v>
      </x:c>
      <x:c r="I1233" t="n">
        <x:v>0.9350000000000008</x:v>
      </x:c>
      <x:c r="J1233" t="n">
        <x:v>0.0003299078899612007</x:v>
      </x:c>
      <x:c r="K1233" t="str">
        <x:v>common_1v</x:v>
      </x:c>
      <x:c r="L1233" t="str">
        <x:v>common_vdd</x:v>
      </x:c>
      <x:c r="M1233" t="n">
        <x:v>1.1</x:v>
      </x:c>
      <x:c r="N1233" t="str">
        <x:v>simulation</x:v>
      </x:c>
      <x:c r="O1233" t="str">
        <x:v>ngspice</x:v>
      </x:c>
      <x:c r="P1233" t="str">
        <x:v>397141eb8a813045075ac2be3098d3b136ebaf4d597c08fca627922a75e443b7</x:v>
      </x:c>
      <x:c r="Q1233" t="str">
        <x:v>data/raw/ptm45_lp_vds_1v_raw.txt</x:v>
      </x:c>
    </x:row>
    <x:row r="1234">
      <x:c r="A1234" t="str">
        <x:v>PTM</x:v>
      </x:c>
      <x:c r="B1234" t="str">
        <x:v>NMOS</x:v>
      </x:c>
      <x:c r="C1234" t="n">
        <x:v>45</x:v>
      </x:c>
      <x:c r="D1234" t="str">
        <x:v>LP</x:v>
      </x:c>
      <x:c r="E1234" t="n">
        <x:v>1</x:v>
      </x:c>
      <x:c r="F1234" t="n">
        <x:v>0.045</x:v>
      </x:c>
      <x:c r="G1234" t="n">
        <x:v>25</x:v>
      </x:c>
      <x:c r="H1234" t="n">
        <x:v>1</x:v>
      </x:c>
      <x:c r="I1234" t="n">
        <x:v>0.9400000000000008</x:v>
      </x:c>
      <x:c r="J1234" t="n">
        <x:v>0.00033541364583777</x:v>
      </x:c>
      <x:c r="K1234" t="str">
        <x:v>common_1v</x:v>
      </x:c>
      <x:c r="L1234" t="str">
        <x:v>common_vdd</x:v>
      </x:c>
      <x:c r="M1234" t="n">
        <x:v>1.1</x:v>
      </x:c>
      <x:c r="N1234" t="str">
        <x:v>simulation</x:v>
      </x:c>
      <x:c r="O1234" t="str">
        <x:v>ngspice</x:v>
      </x:c>
      <x:c r="P1234" t="str">
        <x:v>397141eb8a813045075ac2be3098d3b136ebaf4d597c08fca627922a75e443b7</x:v>
      </x:c>
      <x:c r="Q1234" t="str">
        <x:v>data/raw/ptm45_lp_vds_1v_raw.txt</x:v>
      </x:c>
    </x:row>
    <x:row r="1235">
      <x:c r="A1235" t="str">
        <x:v>PTM</x:v>
      </x:c>
      <x:c r="B1235" t="str">
        <x:v>NMOS</x:v>
      </x:c>
      <x:c r="C1235" t="n">
        <x:v>45</x:v>
      </x:c>
      <x:c r="D1235" t="str">
        <x:v>LP</x:v>
      </x:c>
      <x:c r="E1235" t="n">
        <x:v>1</x:v>
      </x:c>
      <x:c r="F1235" t="n">
        <x:v>0.045</x:v>
      </x:c>
      <x:c r="G1235" t="n">
        <x:v>25</x:v>
      </x:c>
      <x:c r="H1235" t="n">
        <x:v>1</x:v>
      </x:c>
      <x:c r="I1235" t="n">
        <x:v>0.9450000000000008</x:v>
      </x:c>
      <x:c r="J1235" t="n">
        <x:v>0.000340926914378683</x:v>
      </x:c>
      <x:c r="K1235" t="str">
        <x:v>common_1v</x:v>
      </x:c>
      <x:c r="L1235" t="str">
        <x:v>common_vdd</x:v>
      </x:c>
      <x:c r="M1235" t="n">
        <x:v>1.1</x:v>
      </x:c>
      <x:c r="N1235" t="str">
        <x:v>simulation</x:v>
      </x:c>
      <x:c r="O1235" t="str">
        <x:v>ngspice</x:v>
      </x:c>
      <x:c r="P1235" t="str">
        <x:v>397141eb8a813045075ac2be3098d3b136ebaf4d597c08fca627922a75e443b7</x:v>
      </x:c>
      <x:c r="Q1235" t="str">
        <x:v>data/raw/ptm45_lp_vds_1v_raw.txt</x:v>
      </x:c>
    </x:row>
    <x:row r="1236">
      <x:c r="A1236" t="str">
        <x:v>PTM</x:v>
      </x:c>
      <x:c r="B1236" t="str">
        <x:v>NMOS</x:v>
      </x:c>
      <x:c r="C1236" t="n">
        <x:v>45</x:v>
      </x:c>
      <x:c r="D1236" t="str">
        <x:v>LP</x:v>
      </x:c>
      <x:c r="E1236" t="n">
        <x:v>1</x:v>
      </x:c>
      <x:c r="F1236" t="n">
        <x:v>0.045</x:v>
      </x:c>
      <x:c r="G1236" t="n">
        <x:v>25</x:v>
      </x:c>
      <x:c r="H1236" t="n">
        <x:v>1</x:v>
      </x:c>
      <x:c r="I1236" t="n">
        <x:v>0.9500000000000008</x:v>
      </x:c>
      <x:c r="J1236" t="n">
        <x:v>0.0003464473666936973</x:v>
      </x:c>
      <x:c r="K1236" t="str">
        <x:v>common_1v</x:v>
      </x:c>
      <x:c r="L1236" t="str">
        <x:v>common_vdd</x:v>
      </x:c>
      <x:c r="M1236" t="n">
        <x:v>1.1</x:v>
      </x:c>
      <x:c r="N1236" t="str">
        <x:v>simulation</x:v>
      </x:c>
      <x:c r="O1236" t="str">
        <x:v>ngspice</x:v>
      </x:c>
      <x:c r="P1236" t="str">
        <x:v>397141eb8a813045075ac2be3098d3b136ebaf4d597c08fca627922a75e443b7</x:v>
      </x:c>
      <x:c r="Q1236" t="str">
        <x:v>data/raw/ptm45_lp_vds_1v_raw.txt</x:v>
      </x:c>
    </x:row>
    <x:row r="1237">
      <x:c r="A1237" t="str">
        <x:v>PTM</x:v>
      </x:c>
      <x:c r="B1237" t="str">
        <x:v>NMOS</x:v>
      </x:c>
      <x:c r="C1237" t="n">
        <x:v>45</x:v>
      </x:c>
      <x:c r="D1237" t="str">
        <x:v>LP</x:v>
      </x:c>
      <x:c r="E1237" t="n">
        <x:v>1</x:v>
      </x:c>
      <x:c r="F1237" t="n">
        <x:v>0.045</x:v>
      </x:c>
      <x:c r="G1237" t="n">
        <x:v>25</x:v>
      </x:c>
      <x:c r="H1237" t="n">
        <x:v>1</x:v>
      </x:c>
      <x:c r="I1237" t="n">
        <x:v>0.9550000000000008</x:v>
      </x:c>
      <x:c r="J1237" t="n">
        <x:v>0.0003519746893032687</x:v>
      </x:c>
      <x:c r="K1237" t="str">
        <x:v>common_1v</x:v>
      </x:c>
      <x:c r="L1237" t="str">
        <x:v>common_vdd</x:v>
      </x:c>
      <x:c r="M1237" t="n">
        <x:v>1.1</x:v>
      </x:c>
      <x:c r="N1237" t="str">
        <x:v>simulation</x:v>
      </x:c>
      <x:c r="O1237" t="str">
        <x:v>ngspice</x:v>
      </x:c>
      <x:c r="P1237" t="str">
        <x:v>397141eb8a813045075ac2be3098d3b136ebaf4d597c08fca627922a75e443b7</x:v>
      </x:c>
      <x:c r="Q1237" t="str">
        <x:v>data/raw/ptm45_lp_vds_1v_raw.txt</x:v>
      </x:c>
    </x:row>
    <x:row r="1238">
      <x:c r="A1238" t="str">
        <x:v>PTM</x:v>
      </x:c>
      <x:c r="B1238" t="str">
        <x:v>NMOS</x:v>
      </x:c>
      <x:c r="C1238" t="n">
        <x:v>45</x:v>
      </x:c>
      <x:c r="D1238" t="str">
        <x:v>LP</x:v>
      </x:c>
      <x:c r="E1238" t="n">
        <x:v>1</x:v>
      </x:c>
      <x:c r="F1238" t="n">
        <x:v>0.045</x:v>
      </x:c>
      <x:c r="G1238" t="n">
        <x:v>25</x:v>
      </x:c>
      <x:c r="H1238" t="n">
        <x:v>1</x:v>
      </x:c>
      <x:c r="I1238" t="n">
        <x:v>0.9600000000000009</x:v>
      </x:c>
      <x:c r="J1238" t="n">
        <x:v>0.0003575085832185178</x:v>
      </x:c>
      <x:c r="K1238" t="str">
        <x:v>common_1v</x:v>
      </x:c>
      <x:c r="L1238" t="str">
        <x:v>common_vdd</x:v>
      </x:c>
      <x:c r="M1238" t="n">
        <x:v>1.1</x:v>
      </x:c>
      <x:c r="N1238" t="str">
        <x:v>simulation</x:v>
      </x:c>
      <x:c r="O1238" t="str">
        <x:v>ngspice</x:v>
      </x:c>
      <x:c r="P1238" t="str">
        <x:v>397141eb8a813045075ac2be3098d3b136ebaf4d597c08fca627922a75e443b7</x:v>
      </x:c>
      <x:c r="Q1238" t="str">
        <x:v>data/raw/ptm45_lp_vds_1v_raw.txt</x:v>
      </x:c>
    </x:row>
    <x:row r="1239">
      <x:c r="A1239" t="str">
        <x:v>PTM</x:v>
      </x:c>
      <x:c r="B1239" t="str">
        <x:v>NMOS</x:v>
      </x:c>
      <x:c r="C1239" t="n">
        <x:v>45</x:v>
      </x:c>
      <x:c r="D1239" t="str">
        <x:v>LP</x:v>
      </x:c>
      <x:c r="E1239" t="n">
        <x:v>1</x:v>
      </x:c>
      <x:c r="F1239" t="n">
        <x:v>0.045</x:v>
      </x:c>
      <x:c r="G1239" t="n">
        <x:v>25</x:v>
      </x:c>
      <x:c r="H1239" t="n">
        <x:v>1</x:v>
      </x:c>
      <x:c r="I1239" t="n">
        <x:v>0.9650000000000009</x:v>
      </x:c>
      <x:c r="J1239" t="n">
        <x:v>0.0003630487630777926</x:v>
      </x:c>
      <x:c r="K1239" t="str">
        <x:v>common_1v</x:v>
      </x:c>
      <x:c r="L1239" t="str">
        <x:v>common_vdd</x:v>
      </x:c>
      <x:c r="M1239" t="n">
        <x:v>1.1</x:v>
      </x:c>
      <x:c r="N1239" t="str">
        <x:v>simulation</x:v>
      </x:c>
      <x:c r="O1239" t="str">
        <x:v>ngspice</x:v>
      </x:c>
      <x:c r="P1239" t="str">
        <x:v>397141eb8a813045075ac2be3098d3b136ebaf4d597c08fca627922a75e443b7</x:v>
      </x:c>
      <x:c r="Q1239" t="str">
        <x:v>data/raw/ptm45_lp_vds_1v_raw.txt</x:v>
      </x:c>
    </x:row>
    <x:row r="1240">
      <x:c r="A1240" t="str">
        <x:v>PTM</x:v>
      </x:c>
      <x:c r="B1240" t="str">
        <x:v>NMOS</x:v>
      </x:c>
      <x:c r="C1240" t="n">
        <x:v>45</x:v>
      </x:c>
      <x:c r="D1240" t="str">
        <x:v>LP</x:v>
      </x:c>
      <x:c r="E1240" t="n">
        <x:v>1</x:v>
      </x:c>
      <x:c r="F1240" t="n">
        <x:v>0.045</x:v>
      </x:c>
      <x:c r="G1240" t="n">
        <x:v>25</x:v>
      </x:c>
      <x:c r="H1240" t="n">
        <x:v>1</x:v>
      </x:c>
      <x:c r="I1240" t="n">
        <x:v>0.9700000000000009</x:v>
      </x:c>
      <x:c r="J1240" t="n">
        <x:v>0.0003685949563367402</x:v>
      </x:c>
      <x:c r="K1240" t="str">
        <x:v>common_1v</x:v>
      </x:c>
      <x:c r="L1240" t="str">
        <x:v>common_vdd</x:v>
      </x:c>
      <x:c r="M1240" t="n">
        <x:v>1.1</x:v>
      </x:c>
      <x:c r="N1240" t="str">
        <x:v>simulation</x:v>
      </x:c>
      <x:c r="O1240" t="str">
        <x:v>ngspice</x:v>
      </x:c>
      <x:c r="P1240" t="str">
        <x:v>397141eb8a813045075ac2be3098d3b136ebaf4d597c08fca627922a75e443b7</x:v>
      </x:c>
      <x:c r="Q1240" t="str">
        <x:v>data/raw/ptm45_lp_vds_1v_raw.txt</x:v>
      </x:c>
    </x:row>
    <x:row r="1241">
      <x:c r="A1241" t="str">
        <x:v>PTM</x:v>
      </x:c>
      <x:c r="B1241" t="str">
        <x:v>NMOS</x:v>
      </x:c>
      <x:c r="C1241" t="n">
        <x:v>45</x:v>
      </x:c>
      <x:c r="D1241" t="str">
        <x:v>LP</x:v>
      </x:c>
      <x:c r="E1241" t="n">
        <x:v>1</x:v>
      </x:c>
      <x:c r="F1241" t="n">
        <x:v>0.045</x:v>
      </x:c>
      <x:c r="G1241" t="n">
        <x:v>25</x:v>
      </x:c>
      <x:c r="H1241" t="n">
        <x:v>1</x:v>
      </x:c>
      <x:c r="I1241" t="n">
        <x:v>0.9750000000000009</x:v>
      </x:c>
      <x:c r="J1241" t="n">
        <x:v>0.0003741469025088997</x:v>
      </x:c>
      <x:c r="K1241" t="str">
        <x:v>common_1v</x:v>
      </x:c>
      <x:c r="L1241" t="str">
        <x:v>common_vdd</x:v>
      </x:c>
      <x:c r="M1241" t="n">
        <x:v>1.1</x:v>
      </x:c>
      <x:c r="N1241" t="str">
        <x:v>simulation</x:v>
      </x:c>
      <x:c r="O1241" t="str">
        <x:v>ngspice</x:v>
      </x:c>
      <x:c r="P1241" t="str">
        <x:v>397141eb8a813045075ac2be3098d3b136ebaf4d597c08fca627922a75e443b7</x:v>
      </x:c>
      <x:c r="Q1241" t="str">
        <x:v>data/raw/ptm45_lp_vds_1v_raw.txt</x:v>
      </x:c>
    </x:row>
    <x:row r="1242">
      <x:c r="A1242" t="str">
        <x:v>PTM</x:v>
      </x:c>
      <x:c r="B1242" t="str">
        <x:v>NMOS</x:v>
      </x:c>
      <x:c r="C1242" t="n">
        <x:v>45</x:v>
      </x:c>
      <x:c r="D1242" t="str">
        <x:v>LP</x:v>
      </x:c>
      <x:c r="E1242" t="n">
        <x:v>1</x:v>
      </x:c>
      <x:c r="F1242" t="n">
        <x:v>0.045</x:v>
      </x:c>
      <x:c r="G1242" t="n">
        <x:v>25</x:v>
      </x:c>
      <x:c r="H1242" t="n">
        <x:v>1</x:v>
      </x:c>
      <x:c r="I1242" t="n">
        <x:v>0.9800000000000009</x:v>
      </x:c>
      <x:c r="J1242" t="n">
        <x:v>0.0003797043524539811</x:v>
      </x:c>
      <x:c r="K1242" t="str">
        <x:v>common_1v</x:v>
      </x:c>
      <x:c r="L1242" t="str">
        <x:v>common_vdd</x:v>
      </x:c>
      <x:c r="M1242" t="n">
        <x:v>1.1</x:v>
      </x:c>
      <x:c r="N1242" t="str">
        <x:v>simulation</x:v>
      </x:c>
      <x:c r="O1242" t="str">
        <x:v>ngspice</x:v>
      </x:c>
      <x:c r="P1242" t="str">
        <x:v>397141eb8a813045075ac2be3098d3b136ebaf4d597c08fca627922a75e443b7</x:v>
      </x:c>
      <x:c r="Q1242" t="str">
        <x:v>data/raw/ptm45_lp_vds_1v_raw.txt</x:v>
      </x:c>
    </x:row>
    <x:row r="1243">
      <x:c r="A1243" t="str">
        <x:v>PTM</x:v>
      </x:c>
      <x:c r="B1243" t="str">
        <x:v>NMOS</x:v>
      </x:c>
      <x:c r="C1243" t="n">
        <x:v>45</x:v>
      </x:c>
      <x:c r="D1243" t="str">
        <x:v>LP</x:v>
      </x:c>
      <x:c r="E1243" t="n">
        <x:v>1</x:v>
      </x:c>
      <x:c r="F1243" t="n">
        <x:v>0.045</x:v>
      </x:c>
      <x:c r="G1243" t="n">
        <x:v>25</x:v>
      </x:c>
      <x:c r="H1243" t="n">
        <x:v>1</x:v>
      </x:c>
      <x:c r="I1243" t="n">
        <x:v>0.9850000000000009</x:v>
      </x:c>
      <x:c r="J1243" t="n">
        <x:v>0.000385267067711041</x:v>
      </x:c>
      <x:c r="K1243" t="str">
        <x:v>common_1v</x:v>
      </x:c>
      <x:c r="L1243" t="str">
        <x:v>common_vdd</x:v>
      </x:c>
      <x:c r="M1243" t="n">
        <x:v>1.1</x:v>
      </x:c>
      <x:c r="N1243" t="str">
        <x:v>simulation</x:v>
      </x:c>
      <x:c r="O1243" t="str">
        <x:v>ngspice</x:v>
      </x:c>
      <x:c r="P1243" t="str">
        <x:v>397141eb8a813045075ac2be3098d3b136ebaf4d597c08fca627922a75e443b7</x:v>
      </x:c>
      <x:c r="Q1243" t="str">
        <x:v>data/raw/ptm45_lp_vds_1v_raw.txt</x:v>
      </x:c>
    </x:row>
    <x:row r="1244">
      <x:c r="A1244" t="str">
        <x:v>PTM</x:v>
      </x:c>
      <x:c r="B1244" t="str">
        <x:v>NMOS</x:v>
      </x:c>
      <x:c r="C1244" t="n">
        <x:v>45</x:v>
      </x:c>
      <x:c r="D1244" t="str">
        <x:v>LP</x:v>
      </x:c>
      <x:c r="E1244" t="n">
        <x:v>1</x:v>
      </x:c>
      <x:c r="F1244" t="n">
        <x:v>0.045</x:v>
      </x:c>
      <x:c r="G1244" t="n">
        <x:v>25</x:v>
      </x:c>
      <x:c r="H1244" t="n">
        <x:v>1</x:v>
      </x:c>
      <x:c r="I1244" t="n">
        <x:v>0.9900000000000009</x:v>
      </x:c>
      <x:c r="J1244" t="n">
        <x:v>0.0003908348198739298</x:v>
      </x:c>
      <x:c r="K1244" t="str">
        <x:v>common_1v</x:v>
      </x:c>
      <x:c r="L1244" t="str">
        <x:v>common_vdd</x:v>
      </x:c>
      <x:c r="M1244" t="n">
        <x:v>1.1</x:v>
      </x:c>
      <x:c r="N1244" t="str">
        <x:v>simulation</x:v>
      </x:c>
      <x:c r="O1244" t="str">
        <x:v>ngspice</x:v>
      </x:c>
      <x:c r="P1244" t="str">
        <x:v>397141eb8a813045075ac2be3098d3b136ebaf4d597c08fca627922a75e443b7</x:v>
      </x:c>
      <x:c r="Q1244" t="str">
        <x:v>data/raw/ptm45_lp_vds_1v_raw.txt</x:v>
      </x:c>
    </x:row>
    <x:row r="1245">
      <x:c r="A1245" t="str">
        <x:v>PTM</x:v>
      </x:c>
      <x:c r="B1245" t="str">
        <x:v>NMOS</x:v>
      </x:c>
      <x:c r="C1245" t="n">
        <x:v>45</x:v>
      </x:c>
      <x:c r="D1245" t="str">
        <x:v>LP</x:v>
      </x:c>
      <x:c r="E1245" t="n">
        <x:v>1</x:v>
      </x:c>
      <x:c r="F1245" t="n">
        <x:v>0.045</x:v>
      </x:c>
      <x:c r="G1245" t="n">
        <x:v>25</x:v>
      </x:c>
      <x:c r="H1245" t="n">
        <x:v>1</x:v>
      </x:c>
      <x:c r="I1245" t="n">
        <x:v>0.9950000000000009</x:v>
      </x:c>
      <x:c r="J1245" t="n">
        <x:v>0.0003964073900064677</x:v>
      </x:c>
      <x:c r="K1245" t="str">
        <x:v>common_1v</x:v>
      </x:c>
      <x:c r="L1245" t="str">
        <x:v>common_vdd</x:v>
      </x:c>
      <x:c r="M1245" t="n">
        <x:v>1.1</x:v>
      </x:c>
      <x:c r="N1245" t="str">
        <x:v>simulation</x:v>
      </x:c>
      <x:c r="O1245" t="str">
        <x:v>ngspice</x:v>
      </x:c>
      <x:c r="P1245" t="str">
        <x:v>397141eb8a813045075ac2be3098d3b136ebaf4d597c08fca627922a75e443b7</x:v>
      </x:c>
      <x:c r="Q1245" t="str">
        <x:v>data/raw/ptm45_lp_vds_1v_raw.txt</x:v>
      </x:c>
    </x:row>
    <x:row r="1246">
      <x:c r="A1246" t="str">
        <x:v>PTM</x:v>
      </x:c>
      <x:c r="B1246" t="str">
        <x:v>NMOS</x:v>
      </x:c>
      <x:c r="C1246" t="n">
        <x:v>45</x:v>
      </x:c>
      <x:c r="D1246" t="str">
        <x:v>LP</x:v>
      </x:c>
      <x:c r="E1246" t="n">
        <x:v>1</x:v>
      </x:c>
      <x:c r="F1246" t="n">
        <x:v>0.045</x:v>
      </x:c>
      <x:c r="G1246" t="n">
        <x:v>25</x:v>
      </x:c>
      <x:c r="H1246" t="n">
        <x:v>1</x:v>
      </x:c>
      <x:c r="I1246" t="n">
        <x:v>1.000000000000001</x:v>
      </x:c>
      <x:c r="J1246" t="n">
        <x:v>0.0004019845680949588</x:v>
      </x:c>
      <x:c r="K1246" t="str">
        <x:v>common_1v</x:v>
      </x:c>
      <x:c r="L1246" t="str">
        <x:v>common_vdd</x:v>
      </x:c>
      <x:c r="M1246" t="n">
        <x:v>1.1</x:v>
      </x:c>
      <x:c r="N1246" t="str">
        <x:v>simulation</x:v>
      </x:c>
      <x:c r="O1246" t="str">
        <x:v>ngspice</x:v>
      </x:c>
      <x:c r="P1246" t="str">
        <x:v>397141eb8a813045075ac2be3098d3b136ebaf4d597c08fca627922a75e443b7</x:v>
      </x:c>
      <x:c r="Q1246" t="str">
        <x:v>data/raw/ptm45_lp_vds_1v_raw.txt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6" hidden="0" customWidth="1"/>
    <x:col min="5" max="5" width="13" hidden="0" customWidth="1"/>
    <x:col min="6" max="6" width="16" hidden="0" customWidth="1"/>
    <x:col min="7" max="7" width="16" hidden="0" customWidth="1"/>
    <x:col min="8" max="8" width="13" hidden="0" customWidth="1"/>
    <x:col min="9" max="9" width="17" hidden="0" customWidth="1"/>
    <x:col min="10" max="10" width="17" hidden="0" customWidth="1"/>
    <x:col min="11" max="11" width="14" hidden="0" customWidth="1"/>
    <x:col min="12" max="12" width="16" hidden="0" customWidth="1"/>
    <x:col min="13" max="13" width="15" hidden="0" customWidth="1"/>
    <x:col min="14" max="14" width="13" hidden="0" customWidth="1"/>
  </x:cols>
  <x:sheetData>
    <x:row r="1" ht="30" customHeight="1">
      <x:c r="A1" s="4" t="str">
        <x:v>HP — Excel Cross-Implementation SS Sliding-Window Check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9" t="str">
        <x:v>All 21-point regression windows are recalculated from the processed common 1.0 V curve in Raw_Data.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</x:row>
    <x:row r="3" ht="30" customHeight="1">
      <x:c r="A3" s="11" t="str">
        <x:v>Model</x:v>
      </x:c>
      <x:c r="B3" s="11" t="str">
        <x:v>Raw rows</x:v>
      </x:c>
      <x:c r="C3" s="11" t="str">
        <x:v>Ion_A</x:v>
      </x:c>
      <x:c r="D3" s="11" t="str">
        <x:v>Ioff_A</x:v>
      </x:c>
      <x:c r="E3" s="11" t="str">
        <x:v>Max ID allowed</x:v>
      </x:c>
      <x:c r="F3" s="11" t="str">
        <x:v>Eligible windows</x:v>
      </x:c>
      <x:c r="G3" s="11" t="str">
        <x:v>Selected SS</x:v>
      </x:c>
      <x:c r="H3" s="11" t="str">
        <x:v>VGS min</x:v>
      </x:c>
      <x:c r="I3" s="11" t="str">
        <x:v>VGS max</x:v>
      </x:c>
      <x:c r="J3" s="11" t="str">
        <x:v>R²</x:v>
      </x:c>
      <x:c r="K3" s="11" t="str">
        <x:v>Span (dec)</x:v>
      </x:c>
      <x:c r="L3" s="11" t="str">
        <x:v>Slope (dec/V)</x:v>
      </x:c>
      <x:c r="M3" s="11" t="str">
        <x:v>Max ID</x:v>
      </x:c>
      <x:c r="N3" s="11" t="str">
        <x:v>Status</x:v>
      </x:c>
    </x:row>
    <x:row r="4">
      <x:c r="A4" s="110" t="str">
        <x:v>HP</x:v>
      </x:c>
      <x:c r="B4" s="111" t="str">
        <x:v>243:483</x:v>
      </x:c>
      <x:c r="C4" s="113" t="n">
        <x:f>INDEX($D$7:$D$247,MATCH('Config'!$B$12,$C$7:$C$247,0))</x:f>
        <x:v>0.001339206241155616</x:v>
      </x:c>
      <x:c r="D4" s="113" t="n">
        <x:f>INDEX($D$7:$D$247,MATCH(0,$C$7:$C$247,0))</x:f>
        <x:v>2.004499653917184e-8</x:v>
      </x:c>
      <x:c r="E4" s="113" t="n">
        <x:f>C4*'Config'!$B$16</x:f>
        <x:v>0.00001339206241155616</x:v>
      </x:c>
      <x:c r="F4" s="111" t="n">
        <x:f>COUNT($M$7:$M$227)</x:f>
        <x:v>63</x:v>
      </x:c>
      <x:c r="G4" s="114" t="n">
        <x:f>MIN($M$7:$M$227)</x:f>
        <x:v>87.50593064481744</x:v>
      </x:c>
      <x:c r="H4" s="114" t="n">
        <x:f>INDEX($F$7:$F$227,MATCH($G$4,$M$7:$M$227,0))</x:f>
        <x:v>-0.03499999999999991</x:v>
      </x:c>
      <x:c r="I4" s="114" t="n">
        <x:f>INDEX($G$7:$G$227,MATCH($G$4,$M$7:$M$227,0))</x:f>
        <x:v>0.06500000000000009</x:v>
      </x:c>
      <x:c r="J4" s="115" t="n">
        <x:f>INDEX($J$7:$J$227,MATCH($G$4,$M$7:$M$227,0))</x:f>
        <x:v>0.9999986093900107</x:v>
      </x:c>
      <x:c r="K4" s="114" t="n">
        <x:f>INDEX($H$7:$H$227,MATCH($G$4,$M$7:$M$227,0))</x:f>
        <x:v>1.141250678508718</x:v>
      </x:c>
      <x:c r="L4" s="114" t="n">
        <x:f>INDEX($I$7:$I$227,MATCH($G$4,$M$7:$M$227,0))</x:f>
        <x:v>11.427796866237035</x:v>
      </x:c>
      <x:c r="M4" s="113" t="n">
        <x:f>INDEX($L$7:$L$227,MATCH($G$4,$M$7:$M$227,0))</x:f>
        <x:v>1.106809819940524e-7</x:v>
      </x:c>
      <x:c r="N4" s="112" t="str">
        <x:f>IF(COUNTIF($N$7:$N$227,"SELECTED")=1,"PASS","CHECK")</x:f>
        <x:v>PASS</x:v>
      </x:c>
    </x:row>
    <x:row r="6" ht="30" customHeight="1">
      <x:c r="A6" s="11" t="str">
        <x:v>Raw row</x:v>
      </x:c>
      <x:c r="B6" s="11" t="str">
        <x:v>VGS_V</x:v>
      </x:c>
      <x:c r="C6" s="11" t="str">
        <x:v>VGS_key</x:v>
      </x:c>
      <x:c r="D6" s="11" t="str">
        <x:v>ID_A</x:v>
      </x:c>
      <x:c r="E6" s="11" t="str">
        <x:v>LOG10_ID</x:v>
      </x:c>
      <x:c r="F6" s="11" t="str">
        <x:v>Window start VGS</x:v>
      </x:c>
      <x:c r="G6" s="11" t="str">
        <x:v>Window end VGS</x:v>
      </x:c>
      <x:c r="H6" s="11" t="str">
        <x:v>Span_dec</x:v>
      </x:c>
      <x:c r="I6" s="11" t="str">
        <x:v>Slope_dec_per_V</x:v>
      </x:c>
      <x:c r="J6" s="11" t="str">
        <x:v>R_squared</x:v>
      </x:c>
      <x:c r="K6" s="11" t="str">
        <x:v>SS_mV_dec</x:v>
      </x:c>
      <x:c r="L6" s="11" t="str">
        <x:v>Max_ID_A</x:v>
      </x:c>
      <x:c r="M6" s="11" t="str">
        <x:v>Eligible_SS</x:v>
      </x:c>
      <x:c r="N6" s="11" t="str">
        <x:v>Selection</x:v>
      </x:c>
    </x:row>
    <x:row r="7">
      <x:c r="A7" s="12" t="n">
        <x:v>243</x:v>
      </x:c>
      <x:c r="B7" s="116" t="n">
        <x:f>VALUE('Raw_Data'!I243)</x:f>
        <x:v>-0.2</x:v>
      </x:c>
      <x:c r="C7" s="116" t="n">
        <x:f>ROUND(B7,'Config'!$B$25)</x:f>
        <x:v>-0.2</x:v>
      </x:c>
      <x:c r="D7" s="119" t="n">
        <x:f>VALUE('Raw_Data'!J243)</x:f>
        <x:v>5.063629809557702e-10</x:v>
      </x:c>
      <x:c r="E7" s="116" t="n">
        <x:f>LN(ABS(D7))/LN(10)</x:f>
        <x:v>-9.29553805211057</x:v>
      </x:c>
      <x:c r="F7" s="116" t="n">
        <x:f>B7</x:f>
        <x:v>-0.2</x:v>
      </x:c>
      <x:c r="G7" s="116" t="n">
        <x:f>B27</x:f>
        <x:v>-0.09999999999999992</x:v>
      </x:c>
      <x:c r="H7" s="116" t="n">
        <x:f>MAX(E7:E27)-MIN(E7:E27)</x:f>
        <x:v>0.5088214237252249</x:v>
      </x:c>
      <x:c r="I7" s="116" t="n">
        <x:f>SLOPE(E7:E27,B7:B27)</x:f>
        <x:v>5.173790950877206</x:v>
      </x:c>
      <x:c r="J7" s="122" t="n">
        <x:f>RSQ(E7:E27,B7:B27)</x:f>
        <x:v>0.9184261357694955</x:v>
      </x:c>
      <x:c r="K7" s="116" t="n">
        <x:f>IF(I7&gt;0,'Config'!$B$17/I7,"")</x:f>
        <x:v>193.28187193772334</x:v>
      </x:c>
      <x:c r="L7" s="119" t="n">
        <x:f>MAX(D7:D27)</x:f>
        <x:v>1.602880717400002e-9</x:v>
      </x:c>
      <x:c r="M7" s="119" t="str">
        <x:f>IF(AND(H7&gt;='Config'!$B$14,J7&gt;='Config'!$B$15,L7&lt;=$E$4,I7&gt;0),K7,"")</x:f>
      </x:c>
      <x:c r="N7" s="14" t="str">
        <x:f>IF(AND(M7&lt;&gt;"",ABS(M7-$G$4)&lt;='Config'!$B$22),"SELECTED","")</x:f>
      </x:c>
    </x:row>
    <x:row r="8">
      <x:c r="A8" s="15" t="n">
        <x:v>244</x:v>
      </x:c>
      <x:c r="B8" s="117" t="n">
        <x:f>VALUE('Raw_Data'!I244)</x:f>
        <x:v>-0.195</x:v>
      </x:c>
      <x:c r="C8" s="117" t="n">
        <x:f>ROUND(B8,'Config'!$B$25)</x:f>
        <x:v>-0.195</x:v>
      </x:c>
      <x:c r="D8" s="120" t="n">
        <x:f>VALUE('Raw_Data'!J244)</x:f>
        <x:v>4.990261912616487e-10</x:v>
      </x:c>
      <x:c r="E8" s="117" t="n">
        <x:f>LN(ABS(D8))/LN(10)</x:f>
        <x:v>-9.301876659943938</x:v>
      </x:c>
      <x:c r="F8" s="117" t="n">
        <x:f>B8</x:f>
        <x:v>-0.195</x:v>
      </x:c>
      <x:c r="G8" s="117" t="n">
        <x:f>B28</x:f>
        <x:v>-0.09499999999999992</x:v>
      </x:c>
      <x:c r="H8" s="117" t="n">
        <x:f>MAX(E8:E28)-MIN(E8:E28)</x:f>
        <x:v>0.5578719377590406</x:v>
      </x:c>
      <x:c r="I8" s="117" t="n">
        <x:f>SLOPE(E8:E28,B8:B28)</x:f>
        <x:v>5.7275481420721</x:v>
      </x:c>
      <x:c r="J8" s="123" t="n">
        <x:f>RSQ(E8:E28,B8:B28)</x:f>
        <x:v>0.9388489324808953</x:v>
      </x:c>
      <x:c r="K8" s="117" t="n">
        <x:f>IF(I8&gt;0,'Config'!$B$17/I8,"")</x:f>
        <x:v>174.5947786373773</x:v>
      </x:c>
      <x:c r="L8" s="120" t="n">
        <x:f>MAX(D8:D28)</x:f>
        <x:v>1.79453411299549e-9</x:v>
      </x:c>
      <x:c r="M8" s="120" t="str">
        <x:f>IF(AND(H8&gt;='Config'!$B$14,J8&gt;='Config'!$B$15,L8&lt;=$E$4,I8&gt;0),K8,"")</x:f>
      </x:c>
      <x:c r="N8" s="17" t="str">
        <x:f>IF(AND(M8&lt;&gt;"",ABS(M8-$G$4)&lt;='Config'!$B$22),"SELECTED","")</x:f>
      </x:c>
    </x:row>
    <x:row r="9">
      <x:c r="A9" s="15" t="n">
        <x:v>245</x:v>
      </x:c>
      <x:c r="B9" s="117" t="n">
        <x:f>VALUE('Raw_Data'!I245)</x:f>
        <x:v>-0.19</x:v>
      </x:c>
      <x:c r="C9" s="117" t="n">
        <x:f>ROUND(B9,'Config'!$B$25)</x:f>
        <x:v>-0.19</x:v>
      </x:c>
      <x:c r="D9" s="120" t="n">
        <x:f>VALUE('Raw_Data'!J245)</x:f>
        <x:v>4.966835547138201e-10</x:v>
      </x:c>
      <x:c r="E9" s="117" t="n">
        <x:f>LN(ABS(D9))/LN(10)</x:f>
        <x:v>-9.303920219338938</x:v>
      </x:c>
      <x:c r="F9" s="117" t="n">
        <x:f>B9</x:f>
        <x:v>-0.19</x:v>
      </x:c>
      <x:c r="G9" s="117" t="n">
        <x:f>B29</x:f>
        <x:v>-0.08999999999999991</x:v>
      </x:c>
      <x:c r="H9" s="117" t="n">
        <x:f>MAX(E9:E29)-MIN(E9:E29)</x:f>
        <x:v>0.6080881751822442</x:v>
      </x:c>
      <x:c r="I9" s="117" t="n">
        <x:f>SLOPE(E9:E29,B9:B29)</x:f>
        <x:v>6.25090219496422</x:v>
      </x:c>
      <x:c r="J9" s="123" t="n">
        <x:f>RSQ(E9:E29,B9:B29)</x:f>
        <x:v>0.9534151204106026</x:v>
      </x:c>
      <x:c r="K9" s="117" t="n">
        <x:f>IF(I9&gt;0,'Config'!$B$17/I9,"")</x:f>
        <x:v>159.97690714239755</x:v>
      </x:c>
      <x:c r="L9" s="120" t="n">
        <x:f>MAX(D9:D29)</x:f>
        <x:v>2.014503173327516e-9</x:v>
      </x:c>
      <x:c r="M9" s="120" t="str">
        <x:f>IF(AND(H9&gt;='Config'!$B$14,J9&gt;='Config'!$B$15,L9&lt;=$E$4,I9&gt;0),K9,"")</x:f>
      </x:c>
      <x:c r="N9" s="17" t="str">
        <x:f>IF(AND(M9&lt;&gt;"",ABS(M9-$G$4)&lt;='Config'!$B$22),"SELECTED","")</x:f>
      </x:c>
    </x:row>
    <x:row r="10">
      <x:c r="A10" s="15" t="n">
        <x:v>246</x:v>
      </x:c>
      <x:c r="B10" s="117" t="n">
        <x:f>VALUE('Raw_Data'!I246)</x:f>
        <x:v>-0.185</x:v>
      </x:c>
      <x:c r="C10" s="117" t="n">
        <x:f>ROUND(B10,'Config'!$B$25)</x:f>
        <x:v>-0.185</x:v>
      </x:c>
      <x:c r="D10" s="120" t="n">
        <x:f>VALUE('Raw_Data'!J246)</x:f>
        <x:v>4.990330642746987e-10</x:v>
      </x:c>
      <x:c r="E10" s="117" t="n">
        <x:f>LN(ABS(D10))/LN(10)</x:f>
        <x:v>-9.301870678512223</x:v>
      </x:c>
      <x:c r="F10" s="117" t="n">
        <x:f>B10</x:f>
        <x:v>-0.185</x:v>
      </x:c>
      <x:c r="G10" s="117" t="n">
        <x:f>B30</x:f>
        <x:v>-0.08499999999999991</x:v>
      </x:c>
      <x:c r="H10" s="117" t="n">
        <x:f>MAX(E10:E30)-MIN(E10:E30)</x:f>
        <x:v>0.6572883532201441</x:v>
      </x:c>
      <x:c r="I10" s="117" t="n">
        <x:f>SLOPE(E10:E30,B10:B30)</x:f>
        <x:v>6.744119473704105</x:v>
      </x:c>
      <x:c r="J10" s="123" t="n">
        <x:f>RSQ(E10:E30,B10:B30)</x:f>
        <x:v>0.964091909636269</x:v>
      </x:c>
      <x:c r="K10" s="117" t="n">
        <x:f>IF(I10&gt;0,'Config'!$B$17/I10,"")</x:f>
        <x:v>148.2773257352698</x:v>
      </x:c>
      <x:c r="L10" s="120" t="n">
        <x:f>MAX(D10:D30)</x:f>
        <x:v>2.266823335139018e-9</x:v>
      </x:c>
      <x:c r="M10" s="120" t="str">
        <x:f>IF(AND(H10&gt;='Config'!$B$14,J10&gt;='Config'!$B$15,L10&lt;=$E$4,I10&gt;0),K10,"")</x:f>
      </x:c>
      <x:c r="N10" s="17" t="str">
        <x:f>IF(AND(M10&lt;&gt;"",ABS(M10-$G$4)&lt;='Config'!$B$22),"SELECTED","")</x:f>
      </x:c>
    </x:row>
    <x:row r="11">
      <x:c r="A11" s="15" t="n">
        <x:v>247</x:v>
      </x:c>
      <x:c r="B11" s="117" t="n">
        <x:f>VALUE('Raw_Data'!I247)</x:f>
        <x:v>-0.18</x:v>
      </x:c>
      <x:c r="C11" s="117" t="n">
        <x:f>ROUND(B11,'Config'!$B$25)</x:f>
        <x:v>-0.18</x:v>
      </x:c>
      <x:c r="D11" s="120" t="n">
        <x:f>VALUE('Raw_Data'!J247)</x:f>
        <x:v>5.05913562123524e-10</x:v>
      </x:c>
      <x:c r="E11" s="117" t="n">
        <x:f>LN(ABS(D11))/LN(10)</x:f>
        <x:v>-9.295923678218507</x:v>
      </x:c>
      <x:c r="F11" s="117" t="n">
        <x:f>B11</x:f>
        <x:v>-0.18</x:v>
      </x:c>
      <x:c r="G11" s="117" t="n">
        <x:f>B31</x:f>
        <x:v>-0.0799999999999999</x:v>
      </x:c>
      <x:c r="H11" s="117" t="n">
        <x:f>MAX(E11:E31)-MIN(E11:E31)</x:f>
        <x:v>0.7035024968963857</x:v>
      </x:c>
      <x:c r="I11" s="117" t="n">
        <x:f>SLOPE(E11:E31,B11:B31)</x:f>
        <x:v>7.207419478352194</x:v>
      </x:c>
      <x:c r="J11" s="123" t="n">
        <x:f>RSQ(E11:E31,B11:B31)</x:f>
        <x:v>0.9720981299792694</x:v>
      </x:c>
      <x:c r="K11" s="117" t="n">
        <x:f>IF(I11&gt;0,'Config'!$B$17/I11,"")</x:f>
        <x:v>138.74591356914144</x:v>
      </x:c>
      <x:c r="L11" s="120" t="n">
        <x:f>MAX(D11:D31)</x:f>
        <x:v>2.556105758202359e-9</x:v>
      </x:c>
      <x:c r="M11" s="120" t="str">
        <x:f>IF(AND(H11&gt;='Config'!$B$14,J11&gt;='Config'!$B$15,L11&lt;=$E$4,I11&gt;0),K11,"")</x:f>
      </x:c>
      <x:c r="N11" s="17" t="str">
        <x:f>IF(AND(M11&lt;&gt;"",ABS(M11-$G$4)&lt;='Config'!$B$22),"SELECTED","")</x:f>
      </x:c>
    </x:row>
    <x:row r="12">
      <x:c r="A12" s="15" t="n">
        <x:v>248</x:v>
      </x:c>
      <x:c r="B12" s="117" t="n">
        <x:f>VALUE('Raw_Data'!I248)</x:f>
        <x:v>-0.175</x:v>
      </x:c>
      <x:c r="C12" s="117" t="n">
        <x:f>ROUND(B12,'Config'!$B$25)</x:f>
        <x:v>-0.175</x:v>
      </x:c>
      <x:c r="D12" s="120" t="n">
        <x:f>VALUE('Raw_Data'!J248)</x:f>
        <x:v>5.172951347963915e-10</x:v>
      </x:c>
      <x:c r="E12" s="117" t="n">
        <x:f>LN(ABS(D12))/LN(10)</x:f>
        <x:v>-9.2862616061473</x:v>
      </x:c>
      <x:c r="F12" s="117" t="n">
        <x:f>B12</x:f>
        <x:v>-0.175</x:v>
      </x:c>
      <x:c r="G12" s="117" t="n">
        <x:f>B32</x:f>
        <x:v>-0.0749999999999999</x:v>
      </x:c>
      <x:c r="H12" s="117" t="n">
        <x:f>MAX(E12:E32)-MIN(E12:E32)</x:f>
        <x:v>0.7468013635283004</x:v>
      </x:c>
      <x:c r="I12" s="117" t="n">
        <x:f>SLOPE(E12:E32,B12:B32)</x:f>
        <x:v>7.640999195486514</x:v>
      </x:c>
      <x:c r="J12" s="123" t="n">
        <x:f>RSQ(E12:E32,B12:B32)</x:f>
        <x:v>0.9782120543022851</x:v>
      </x:c>
      <x:c r="K12" s="117" t="n">
        <x:f>IF(I12&gt;0,'Config'!$B$17/I12,"")</x:f>
        <x:v>130.87293617184164</x:v>
      </x:c>
      <x:c r="L12" s="120" t="n">
        <x:f>MAX(D12:D32)</x:f>
        <x:v>2.887618113375948e-9</x:v>
      </x:c>
      <x:c r="M12" s="120" t="str">
        <x:f>IF(AND(H12&gt;='Config'!$B$14,J12&gt;='Config'!$B$15,L12&lt;=$E$4,I12&gt;0),K12,"")</x:f>
      </x:c>
      <x:c r="N12" s="17" t="str">
        <x:f>IF(AND(M12&lt;&gt;"",ABS(M12-$G$4)&lt;='Config'!$B$22),"SELECTED","")</x:f>
      </x:c>
    </x:row>
    <x:row r="13">
      <x:c r="A13" s="15" t="n">
        <x:v>249</x:v>
      </x:c>
      <x:c r="B13" s="117" t="n">
        <x:f>VALUE('Raw_Data'!I249)</x:f>
        <x:v>-0.17</x:v>
      </x:c>
      <x:c r="C13" s="117" t="n">
        <x:f>ROUND(B13,'Config'!$B$25)</x:f>
        <x:v>-0.17</x:v>
      </x:c>
      <x:c r="D13" s="120" t="n">
        <x:f>VALUE('Raw_Data'!J249)</x:f>
        <x:v>5.33272245024237e-10</x:v>
      </x:c>
      <x:c r="E13" s="117" t="n">
        <x:f>LN(ABS(D13))/LN(10)</x:f>
        <x:v>-9.273051019254481</x:v>
      </x:c>
      <x:c r="F13" s="117" t="n">
        <x:f>B13</x:f>
        <x:v>-0.17</x:v>
      </x:c>
      <x:c r="G13" s="117" t="n">
        <x:f>B33</x:f>
        <x:v>-0.0699999999999999</x:v>
      </x:c>
      <x:c r="H13" s="117" t="n">
        <x:f>MAX(E13:E33)-MIN(E13:E33)</x:f>
        <x:v>0.7872502273888902</x:v>
      </x:c>
      <x:c r="I13" s="117" t="n">
        <x:f>SLOPE(E13:E33,B13:B33)</x:f>
        <x:v>8.045076020339762</x:v>
      </x:c>
      <x:c r="J13" s="123" t="n">
        <x:f>RSQ(E13:E33,B13:B33)</x:f>
        <x:v>0.9829458904320663</x:v>
      </x:c>
      <x:c r="K13" s="117" t="n">
        <x:f>IF(I13&gt;0,'Config'!$B$17/I13,"")</x:f>
        <x:v>124.29963339958194</x:v>
      </x:c>
      <x:c r="L13" s="120" t="n">
        <x:f>MAX(D13:D33)</x:f>
        <x:v>3.267376703094192e-9</x:v>
      </x:c>
      <x:c r="M13" s="120" t="str">
        <x:f>IF(AND(H13&gt;='Config'!$B$14,J13&gt;='Config'!$B$15,L13&lt;=$E$4,I13&gt;0),K13,"")</x:f>
      </x:c>
      <x:c r="N13" s="17" t="str">
        <x:f>IF(AND(M13&lt;&gt;"",ABS(M13-$G$4)&lt;='Config'!$B$22),"SELECTED","")</x:f>
      </x:c>
    </x:row>
    <x:row r="14">
      <x:c r="A14" s="15" t="n">
        <x:v>250</x:v>
      </x:c>
      <x:c r="B14" s="117" t="n">
        <x:f>VALUE('Raw_Data'!I250)</x:f>
        <x:v>-0.165</x:v>
      </x:c>
      <x:c r="C14" s="117" t="n">
        <x:f>ROUND(B14,'Config'!$B$25)</x:f>
        <x:v>-0.165</x:v>
      </x:c>
      <x:c r="D14" s="120" t="n">
        <x:f>VALUE('Raw_Data'!J250)</x:f>
        <x:v>5.540595432906033e-10</x:v>
      </x:c>
      <x:c r="E14" s="117" t="n">
        <x:f>LN(ABS(D14))/LN(10)</x:f>
        <x:v>-9.256443560302296</x:v>
      </x:c>
      <x:c r="F14" s="117" t="n">
        <x:f>B14</x:f>
        <x:v>-0.165</x:v>
      </x:c>
      <x:c r="G14" s="117" t="n">
        <x:f>B34</x:f>
        <x:v>-0.06499999999999989</x:v>
      </x:c>
      <x:c r="H14" s="117" t="n">
        <x:f>MAX(E14:E34)-MIN(E14:E34)</x:f>
        <x:v>0.8249094695662293</x:v>
      </x:c>
      <x:c r="I14" s="117" t="n">
        <x:f>SLOPE(E14:E34,B14:B34)</x:f>
        <x:v>8.419937949825355</x:v>
      </x:c>
      <x:c r="J14" s="123" t="n">
        <x:f>RSQ(E14:E34,B14:B34)</x:f>
        <x:v>0.9866471943211538</x:v>
      </x:c>
      <x:c r="K14" s="117" t="n">
        <x:f>IF(I14&gt;0,'Config'!$B$17/I14,"")</x:f>
        <x:v>118.76572083535862</x:v>
      </x:c>
      <x:c r="L14" s="120" t="n">
        <x:f>MAX(D14:D34)</x:f>
        <x:v>3.702251427628463e-9</x:v>
      </x:c>
      <x:c r="M14" s="120" t="str">
        <x:f>IF(AND(H14&gt;='Config'!$B$14,J14&gt;='Config'!$B$15,L14&lt;=$E$4,I14&gt;0),K14,"")</x:f>
      </x:c>
      <x:c r="N14" s="17" t="str">
        <x:f>IF(AND(M14&lt;&gt;"",ABS(M14-$G$4)&lt;='Config'!$B$22),"SELECTED","")</x:f>
      </x:c>
    </x:row>
    <x:row r="15">
      <x:c r="A15" s="15" t="n">
        <x:v>251</x:v>
      </x:c>
      <x:c r="B15" s="117" t="n">
        <x:f>VALUE('Raw_Data'!I251)</x:f>
        <x:v>-0.16</x:v>
      </x:c>
      <x:c r="C15" s="117" t="n">
        <x:f>ROUND(B15,'Config'!$B$25)</x:f>
        <x:v>-0.16</x:v>
      </x:c>
      <x:c r="D15" s="120" t="n">
        <x:f>VALUE('Raw_Data'!J251)</x:f>
        <x:v>5.799903253714522e-10</x:v>
      </x:c>
      <x:c r="E15" s="117" t="n">
        <x:f>LN(ABS(D15))/LN(10)</x:f>
        <x:v>-9.236579250700572</x:v>
      </x:c>
      <x:c r="F15" s="117" t="n">
        <x:f>B15</x:f>
        <x:v>-0.16</x:v>
      </x:c>
      <x:c r="G15" s="117" t="n">
        <x:f>B35</x:f>
        <x:v>-0.05999999999999989</x:v>
      </x:c>
      <x:c r="H15" s="117" t="n">
        <x:f>MAX(E15:E35)-MIN(E15:E35)</x:f>
        <x:v>0.8598373627664841</x:v>
      </x:c>
      <x:c r="I15" s="117" t="n">
        <x:f>SLOPE(E15:E35,B15:B35)</x:f>
        <x:v>8.765991346317549</x:v>
      </x:c>
      <x:c r="J15" s="123" t="n">
        <x:f>RSQ(E15:E35,B15:B35)</x:f>
        <x:v>0.9895592179206988</x:v>
      </x:c>
      <x:c r="K15" s="117" t="n">
        <x:f>IF(I15&gt;0,'Config'!$B$17/I15,"")</x:f>
        <x:v>114.07722874607717</x:v>
      </x:c>
      <x:c r="L15" s="120" t="n">
        <x:f>MAX(D15:D35)</x:f>
        <x:v>4.20008531395974e-9</x:v>
      </x:c>
      <x:c r="M15" s="120" t="str">
        <x:f>IF(AND(H15&gt;='Config'!$B$14,J15&gt;='Config'!$B$15,L15&lt;=$E$4,I15&gt;0),K15,"")</x:f>
      </x:c>
      <x:c r="N15" s="17" t="str">
        <x:f>IF(AND(M15&lt;&gt;"",ABS(M15-$G$4)&lt;='Config'!$B$22),"SELECTED","")</x:f>
      </x:c>
    </x:row>
    <x:row r="16">
      <x:c r="A16" s="15" t="n">
        <x:v>252</x:v>
      </x:c>
      <x:c r="B16" s="117" t="n">
        <x:f>VALUE('Raw_Data'!I252)</x:f>
        <x:v>-0.155</x:v>
      </x:c>
      <x:c r="C16" s="117" t="n">
        <x:f>ROUND(B16,'Config'!$B$25)</x:f>
        <x:v>-0.155</x:v>
      </x:c>
      <x:c r="D16" s="120" t="n">
        <x:f>VALUE('Raw_Data'!J252)</x:f>
        <x:v>6.11517628490725e-10</x:v>
      </x:c>
      <x:c r="E16" s="117" t="n">
        <x:f>LN(ABS(D16))/LN(10)</x:f>
        <x:v>-9.213591018847001</x:v>
      </x:c>
      <x:c r="F16" s="117" t="n">
        <x:f>B16</x:f>
        <x:v>-0.155</x:v>
      </x:c>
      <x:c r="G16" s="117" t="n">
        <x:f>B36</x:f>
        <x:v>-0.0549999999999999</x:v>
      </x:c>
      <x:c r="H16" s="117" t="n">
        <x:f>MAX(E16:E36)-MIN(E16:E36)</x:f>
        <x:v>0.8920939698338817</x:v>
      </x:c>
      <x:c r="I16" s="117" t="n">
        <x:f>SLOPE(E16:E36,B16:B36)</x:f>
        <x:v>9.08379906033193</x:v>
      </x:c>
      <x:c r="J16" s="123" t="n">
        <x:f>RSQ(E16:E36,B16:B36)</x:f>
        <x:v>0.9918575543299905</x:v>
      </x:c>
      <x:c r="K16" s="117" t="n">
        <x:f>IF(I16&gt;0,'Config'!$B$17/I16,"")</x:f>
        <x:v>110.08609870807281</x:v>
      </x:c>
      <x:c r="L16" s="120" t="n">
        <x:f>MAX(D16:D36)</x:f>
        <x:v>4.769830551596083e-9</x:v>
      </x:c>
      <x:c r="M16" s="120" t="str">
        <x:f>IF(AND(H16&gt;='Config'!$B$14,J16&gt;='Config'!$B$15,L16&lt;=$E$4,I16&gt;0),K16,"")</x:f>
      </x:c>
      <x:c r="N16" s="17" t="str">
        <x:f>IF(AND(M16&lt;&gt;"",ABS(M16-$G$4)&lt;='Config'!$B$22),"SELECTED","")</x:f>
      </x:c>
    </x:row>
    <x:row r="17">
      <x:c r="A17" s="15" t="n">
        <x:v>253</x:v>
      </x:c>
      <x:c r="B17" s="117" t="n">
        <x:f>VALUE('Raw_Data'!I253)</x:f>
        <x:v>-0.15</x:v>
      </x:c>
      <x:c r="C17" s="117" t="n">
        <x:f>ROUND(B17,'Config'!$B$25)</x:f>
        <x:v>-0.15</x:v>
      </x:c>
      <x:c r="D17" s="120" t="n">
        <x:f>VALUE('Raw_Data'!J253)</x:f>
        <x:v>6.492179884146697e-10</x:v>
      </x:c>
      <x:c r="E17" s="117" t="n">
        <x:f>LN(ABS(D17))/LN(10)</x:f>
        <x:v>-9.187609455326092</x:v>
      </x:c>
      <x:c r="F17" s="117" t="n">
        <x:f>B17</x:f>
        <x:v>-0.15</x:v>
      </x:c>
      <x:c r="G17" s="117" t="n">
        <x:f>B37</x:f>
        <x:v>-0.0499999999999999</x:v>
      </x:c>
      <x:c r="H17" s="117" t="n">
        <x:f>MAX(E17:E37)-MIN(E17:E37)</x:f>
        <x:v>0.9217451973740474</x:v>
      </x:c>
      <x:c r="I17" s="117" t="n">
        <x:f>SLOPE(E17:E37,B17:B37)</x:f>
        <x:v>9.374104504037902</x:v>
      </x:c>
      <x:c r="J17" s="123" t="n">
        <x:f>RSQ(E17:E37,B17:B37)</x:f>
        <x:v>0.993672763033002</x:v>
      </x:c>
      <x:c r="K17" s="117" t="n">
        <x:f>IF(I17&gt;0,'Config'!$B$17/I17,"")</x:f>
        <x:v>106.67685639404269</x:v>
      </x:c>
      <x:c r="L17" s="120" t="n">
        <x:f>MAX(D17:D37)</x:f>
        <x:v>5.421703233852641e-9</x:v>
      </x:c>
      <x:c r="M17" s="120" t="str">
        <x:f>IF(AND(H17&gt;='Config'!$B$14,J17&gt;='Config'!$B$15,L17&lt;=$E$4,I17&gt;0),K17,"")</x:f>
      </x:c>
      <x:c r="N17" s="17" t="str">
        <x:f>IF(AND(M17&lt;&gt;"",ABS(M17-$G$4)&lt;='Config'!$B$22),"SELECTED","")</x:f>
      </x:c>
    </x:row>
    <x:row r="18">
      <x:c r="A18" s="15" t="n">
        <x:v>254</x:v>
      </x:c>
      <x:c r="B18" s="117" t="n">
        <x:f>VALUE('Raw_Data'!I254)</x:f>
        <x:v>-0.145</x:v>
      </x:c>
      <x:c r="C18" s="117" t="n">
        <x:f>ROUND(B18,'Config'!$B$25)</x:f>
        <x:v>-0.145</x:v>
      </x:c>
      <x:c r="D18" s="120" t="n">
        <x:f>VALUE('Raw_Data'!J254)</x:f>
        <x:v>6.93797913027349e-10</x:v>
      </x:c>
      <x:c r="E18" s="117" t="n">
        <x:f>LN(ABS(D18))/LN(10)</x:f>
        <x:v>-9.158767010867653</x:v>
      </x:c>
      <x:c r="F18" s="117" t="n">
        <x:f>B18</x:f>
        <x:v>-0.145</x:v>
      </x:c>
      <x:c r="G18" s="117" t="n">
        <x:f>B38</x:f>
        <x:v>-0.0449999999999999</x:v>
      </x:c>
      <x:c r="H18" s="117" t="n">
        <x:f>MAX(E18:E38)-MIN(E18:E38)</x:f>
        <x:v>0.948866260375528</x:v>
      </x:c>
      <x:c r="I18" s="117" t="n">
        <x:f>SLOPE(E18:E38,B18:B38)</x:f>
        <x:v>9.63783995097354</x:v>
      </x:c>
      <x:c r="J18" s="123" t="n">
        <x:f>RSQ(E18:E38,B18:B38)</x:f>
        <x:v>0.9951045380903129</x:v>
      </x:c>
      <x:c r="K18" s="117" t="n">
        <x:f>IF(I18&gt;0,'Config'!$B$17/I18,"")</x:f>
        <x:v>103.75768897251587</x:v>
      </x:c>
      <x:c r="L18" s="120" t="n">
        <x:f>MAX(D18:D38)</x:f>
        <x:v>6.167359286893276e-9</x:v>
      </x:c>
      <x:c r="M18" s="120" t="n">
        <x:f>IF(AND(H18&gt;='Config'!$B$14,J18&gt;='Config'!$B$15,L18&lt;=$E$4,I18&gt;0),K18,"")</x:f>
        <x:v>103.75768897251587</x:v>
      </x:c>
      <x:c r="N18" s="17" t="str">
        <x:f>IF(AND(M18&lt;&gt;"",ABS(M18-$G$4)&lt;='Config'!$B$22),"SELECTED","")</x:f>
      </x:c>
    </x:row>
    <x:row r="19">
      <x:c r="A19" s="15" t="n">
        <x:v>255</x:v>
      </x:c>
      <x:c r="B19" s="117" t="n">
        <x:f>VALUE('Raw_Data'!I255)</x:f>
        <x:v>-0.14</x:v>
      </x:c>
      <x:c r="C19" s="117" t="n">
        <x:f>ROUND(B19,'Config'!$B$25)</x:f>
        <x:v>-0.14</x:v>
      </x:c>
      <x:c r="D19" s="120" t="n">
        <x:f>VALUE('Raw_Data'!J255)</x:f>
        <x:v>7.461031649478637e-10</x:v>
      </x:c>
      <x:c r="E19" s="117" t="n">
        <x:f>LN(ABS(D19))/LN(10)</x:f>
        <x:v>-9.127201117741969</x:v>
      </x:c>
      <x:c r="F19" s="117" t="n">
        <x:f>B19</x:f>
        <x:v>-0.14</x:v>
      </x:c>
      <x:c r="G19" s="117" t="n">
        <x:f>B39</x:f>
        <x:v>-0.0399999999999999</x:v>
      </x:c>
      <x:c r="H19" s="117" t="n">
        <x:f>MAX(E19:E39)-MIN(E19:E39)</x:f>
        <x:v>0.973544069012279</x:v>
      </x:c>
      <x:c r="I19" s="117" t="n">
        <x:f>SLOPE(E19:E39,B19:B39)</x:f>
        <x:v>9.876119606177546</x:v>
      </x:c>
      <x:c r="J19" s="123" t="n">
        <x:f>RSQ(E19:E39,B19:B39)</x:f>
        <x:v>0.9962307057770058</x:v>
      </x:c>
      <x:c r="K19" s="117" t="n">
        <x:f>IF(I19&gt;0,'Config'!$B$17/I19,"")</x:f>
        <x:v>101.25434278605705</x:v>
      </x:c>
      <x:c r="L19" s="120" t="n">
        <x:f>MAX(D19:D39)</x:f>
        <x:v>7.02009438536202e-9</x:v>
      </x:c>
      <x:c r="M19" s="120" t="n">
        <x:f>IF(AND(H19&gt;='Config'!$B$14,J19&gt;='Config'!$B$15,L19&lt;=$E$4,I19&gt;0),K19,"")</x:f>
        <x:v>101.25434278605705</x:v>
      </x:c>
      <x:c r="N19" s="17" t="str">
        <x:f>IF(AND(M19&lt;&gt;"",ABS(M19-$G$4)&lt;='Config'!$B$22),"SELECTED","")</x:f>
      </x:c>
    </x:row>
    <x:row r="20">
      <x:c r="A20" s="15" t="n">
        <x:v>256</x:v>
      </x:c>
      <x:c r="B20" s="117" t="n">
        <x:f>VALUE('Raw_Data'!I256)</x:f>
        <x:v>-0.135</x:v>
      </x:c>
      <x:c r="C20" s="117" t="n">
        <x:f>ROUND(B20,'Config'!$B$25)</x:f>
        <x:v>-0.135</x:v>
      </x:c>
      <x:c r="D20" s="120" t="n">
        <x:f>VALUE('Raw_Data'!J256)</x:f>
        <x:v>8.071309868639366e-10</x:v>
      </x:c>
      <x:c r="E20" s="117" t="n">
        <x:f>LN(ABS(D20))/LN(10)</x:f>
        <x:v>-9.093055979211064</x:v>
      </x:c>
      <x:c r="F20" s="117" t="n">
        <x:f>B20</x:f>
        <x:v>-0.135</x:v>
      </x:c>
      <x:c r="G20" s="117" t="n">
        <x:f>B40</x:f>
        <x:v>-0.03499999999999991</x:v>
      </x:c>
      <x:c r="H20" s="117" t="n">
        <x:f>MAX(E20:E40)-MIN(E20:E40)</x:f>
        <x:v>0.9958783043760526</x:v>
      </x:c>
      <x:c r="I20" s="117" t="n">
        <x:f>SLOPE(E20:E40,B20:B40)</x:f>
        <x:v>10.090219677275408</x:v>
      </x:c>
      <x:c r="J20" s="123" t="n">
        <x:f>RSQ(E20:E40,B20:B40)</x:f>
        <x:v>0.997113038467923</x:v>
      </x:c>
      <x:c r="K20" s="117" t="n">
        <x:f>IF(I20&gt;0,'Config'!$B$17/I20,"")</x:f>
        <x:v>99.1058700388992</x:v>
      </x:c>
      <x:c r="L20" s="120" t="n">
        <x:f>MAX(D20:D40)</x:f>
        <x:v>7.995071005998663e-9</x:v>
      </x:c>
      <x:c r="M20" s="120" t="n">
        <x:f>IF(AND(H20&gt;='Config'!$B$14,J20&gt;='Config'!$B$15,L20&lt;=$E$4,I20&gt;0),K20,"")</x:f>
        <x:v>99.1058700388992</x:v>
      </x:c>
      <x:c r="N20" s="17" t="str">
        <x:f>IF(AND(M20&lt;&gt;"",ABS(M20-$G$4)&lt;='Config'!$B$22),"SELECTED","")</x:f>
      </x:c>
    </x:row>
    <x:row r="21">
      <x:c r="A21" s="15" t="n">
        <x:v>257</x:v>
      </x:c>
      <x:c r="B21" s="117" t="n">
        <x:f>VALUE('Raw_Data'!I257)</x:f>
        <x:v>-0.1299999999999999</x:v>
      </x:c>
      <x:c r="C21" s="117" t="n">
        <x:f>ROUND(B21,'Config'!$B$25)</x:f>
        <x:v>-0.13</x:v>
      </x:c>
      <x:c r="D21" s="120" t="n">
        <x:f>VALUE('Raw_Data'!J257)</x:f>
        <x:v>8.780454488438361e-10</x:v>
      </x:c>
      <x:c r="E21" s="117" t="n">
        <x:f>LN(ABS(D21))/LN(10)</x:f>
        <x:v>-9.056483003830525</x:v>
      </x:c>
      <x:c r="F21" s="117" t="n">
        <x:f>B21</x:f>
        <x:v>-0.1299999999999999</x:v>
      </x:c>
      <x:c r="G21" s="117" t="n">
        <x:f>B41</x:f>
        <x:v>-0.02999999999999991</x:v>
      </x:c>
      <x:c r="H21" s="117" t="n">
        <x:f>MAX(E21:E41)-MIN(E21:E41)</x:f>
        <x:v>1.015981175046436</x:v>
      </x:c>
      <x:c r="I21" s="117" t="n">
        <x:f>SLOPE(E21:E41,B21:B41)</x:f>
        <x:v>10.28154872017645</x:v>
      </x:c>
      <x:c r="J21" s="123" t="n">
        <x:f>RSQ(E21:E41,B21:B41)</x:f>
        <x:v>0.9978011043739565</x:v>
      </x:c>
      <x:c r="K21" s="117" t="n">
        <x:f>IF(I21&gt;0,'Config'!$B$17/I21,"")</x:f>
        <x:v>97.26161176842997</x:v>
      </x:c>
      <x:c r="L21" s="120" t="n">
        <x:f>MAX(D21:D41)</x:f>
        <x:v>9.109576162781831e-9</x:v>
      </x:c>
      <x:c r="M21" s="120" t="n">
        <x:f>IF(AND(H21&gt;='Config'!$B$14,J21&gt;='Config'!$B$15,L21&lt;=$E$4,I21&gt;0),K21,"")</x:f>
        <x:v>97.26161176842997</x:v>
      </x:c>
      <x:c r="N21" s="17" t="str">
        <x:f>IF(AND(M21&lt;&gt;"",ABS(M21-$G$4)&lt;='Config'!$B$22),"SELECTED","")</x:f>
      </x:c>
    </x:row>
    <x:row r="22">
      <x:c r="A22" s="15" t="n">
        <x:v>258</x:v>
      </x:c>
      <x:c r="B22" s="117" t="n">
        <x:f>VALUE('Raw_Data'!I258)</x:f>
        <x:v>-0.1249999999999999</x:v>
      </x:c>
      <x:c r="C22" s="117" t="n">
        <x:f>ROUND(B22,'Config'!$B$25)</x:f>
        <x:v>-0.125</x:v>
      </x:c>
      <x:c r="D22" s="120" t="n">
        <x:f>VALUE('Raw_Data'!J258)</x:f>
        <x:v>9.601961473783615e-10</x:v>
      </x:c>
      <x:c r="E22" s="117" t="n">
        <x:f>LN(ABS(D22))/LN(10)</x:f>
        <x:v>-9.017640040895154</x:v>
      </x:c>
      <x:c r="F22" s="117" t="n">
        <x:f>B22</x:f>
        <x:v>-0.1249999999999999</x:v>
      </x:c>
      <x:c r="G22" s="117" t="n">
        <x:f>B42</x:f>
        <x:v>-0.0249999999999999</x:v>
      </x:c>
      <x:c r="H22" s="117" t="n">
        <x:f>MAX(E22:E42)-MIN(E22:E42)</x:f>
        <x:v>1.03397602027216</x:v>
      </x:c>
      <x:c r="I22" s="117" t="n">
        <x:f>SLOPE(E22:E42,B22:B42)</x:f>
        <x:v>10.451611960576157</x:v>
      </x:c>
      <x:c r="J22" s="123" t="n">
        <x:f>RSQ(E22:E42,B22:B42)</x:f>
        <x:v>0.9983349060426159</x:v>
      </x:c>
      <x:c r="K22" s="117" t="n">
        <x:f>IF(I22&gt;0,'Config'!$B$17/I22,"")</x:f>
        <x:v>95.67902097514093</x:v>
      </x:c>
      <x:c r="L22" s="120" t="n">
        <x:f>MAX(D22:D42)</x:f>
        <x:v>1.038331380252642e-8</x:v>
      </x:c>
      <x:c r="M22" s="120" t="n">
        <x:f>IF(AND(H22&gt;='Config'!$B$14,J22&gt;='Config'!$B$15,L22&lt;=$E$4,I22&gt;0),K22,"")</x:f>
        <x:v>95.67902097514093</x:v>
      </x:c>
      <x:c r="N22" s="17" t="str">
        <x:f>IF(AND(M22&lt;&gt;"",ABS(M22-$G$4)&lt;='Config'!$B$22),"SELECTED","")</x:f>
      </x:c>
    </x:row>
    <x:row r="23">
      <x:c r="A23" s="15" t="n">
        <x:v>259</x:v>
      </x:c>
      <x:c r="B23" s="117" t="n">
        <x:f>VALUE('Raw_Data'!I259)</x:f>
        <x:v>-0.1199999999999999</x:v>
      </x:c>
      <x:c r="C23" s="117" t="n">
        <x:f>ROUND(B23,'Config'!$B$25)</x:f>
        <x:v>-0.12</x:v>
      </x:c>
      <x:c r="D23" s="120" t="n">
        <x:f>VALUE('Raw_Data'!J259)</x:f>
        <x:v>1.055140541806699e-9</x:v>
      </x:c>
      <x:c r="E23" s="117" t="n">
        <x:f>LN(ABS(D23))/LN(10)</x:f>
        <x:v>-8.976689689687618</x:v>
      </x:c>
      <x:c r="F23" s="117" t="n">
        <x:f>B23</x:f>
        <x:v>-0.1199999999999999</x:v>
      </x:c>
      <x:c r="G23" s="117" t="n">
        <x:f>B43</x:f>
        <x:v>-0.0199999999999999</x:v>
      </x:c>
      <x:c r="H23" s="117" t="n">
        <x:f>MAX(E23:E43)-MIN(E23:E43)</x:f>
        <x:v>1.0499950375522262</x:v>
      </x:c>
      <x:c r="I23" s="117" t="n">
        <x:f>SLOPE(E23:E43,B23:B43)</x:f>
        <x:v>10.601973199406409</x:v>
      </x:c>
      <x:c r="J23" s="123" t="n">
        <x:f>RSQ(E23:E43,B23:B43)</x:f>
        <x:v>0.9987467702685976</x:v>
      </x:c>
      <x:c r="K23" s="117" t="n">
        <x:f>IF(I23&gt;0,'Config'!$B$17/I23,"")</x:f>
        <x:v>94.3220645055006</x:v>
      </x:c>
      <x:c r="L23" s="120" t="n">
        <x:f>MAX(D23:D43)</x:f>
        <x:v>1.183873632229351e-8</x:v>
      </x:c>
      <x:c r="M23" s="120" t="n">
        <x:f>IF(AND(H23&gt;='Config'!$B$14,J23&gt;='Config'!$B$15,L23&lt;=$E$4,I23&gt;0),K23,"")</x:f>
        <x:v>94.3220645055006</x:v>
      </x:c>
      <x:c r="N23" s="17" t="str">
        <x:f>IF(AND(M23&lt;&gt;"",ABS(M23-$G$4)&lt;='Config'!$B$22),"SELECTED","")</x:f>
      </x:c>
    </x:row>
    <x:row r="24">
      <x:c r="A24" s="15" t="n">
        <x:v>260</x:v>
      </x:c>
      <x:c r="B24" s="117" t="n">
        <x:f>VALUE('Raw_Data'!I260)</x:f>
        <x:v>-0.1149999999999999</x:v>
      </x:c>
      <x:c r="C24" s="117" t="n">
        <x:f>ROUND(B24,'Config'!$B$25)</x:f>
        <x:v>-0.115</x:v>
      </x:c>
      <x:c r="D24" s="120" t="n">
        <x:f>VALUE('Raw_Data'!J260)</x:f>
        <x:v>1.16467027569472e-9</x:v>
      </x:c>
      <x:c r="E24" s="117" t="n">
        <x:f>LN(ABS(D24))/LN(10)</x:f>
        <x:v>-8.933797008298388</x:v>
      </x:c>
      <x:c r="F24" s="117" t="n">
        <x:f>B24</x:f>
        <x:v>-0.1149999999999999</x:v>
      </x:c>
      <x:c r="G24" s="117" t="n">
        <x:f>B44</x:f>
        <x:v>-0.0149999999999999</x:v>
      </x:c>
      <x:c r="H24" s="117" t="n">
        <x:f>MAX(E24:E44)-MIN(E24:E44)</x:f>
        <x:v>1.064176462277759</x:v>
      </x:c>
      <x:c r="I24" s="117" t="n">
        <x:f>SLOPE(E24:E44,B24:B44)</x:f>
        <x:v>10.734217434514777</x:v>
      </x:c>
      <x:c r="J24" s="123" t="n">
        <x:f>RSQ(E24:E44,B24:B44)</x:f>
        <x:v>0.9990627696603349</x:v>
      </x:c>
      <x:c r="K24" s="117" t="n">
        <x:f>IF(I24&gt;0,'Config'!$B$17/I24,"")</x:f>
        <x:v>93.1600283020728</x:v>
      </x:c>
      <x:c r="L24" s="120" t="n">
        <x:f>MAX(D24:D44)</x:f>
        <x:v>1.350142020335369e-8</x:v>
      </x:c>
      <x:c r="M24" s="120" t="n">
        <x:f>IF(AND(H24&gt;='Config'!$B$14,J24&gt;='Config'!$B$15,L24&lt;=$E$4,I24&gt;0),K24,"")</x:f>
        <x:v>93.1600283020728</x:v>
      </x:c>
      <x:c r="N24" s="17" t="str">
        <x:f>IF(AND(M24&lt;&gt;"",ABS(M24-$G$4)&lt;='Config'!$B$22),"SELECTED","")</x:f>
      </x:c>
    </x:row>
    <x:row r="25">
      <x:c r="A25" s="15" t="n">
        <x:v>261</x:v>
      </x:c>
      <x:c r="B25" s="117" t="n">
        <x:f>VALUE('Raw_Data'!I261)</x:f>
        <x:v>-0.1099999999999999</x:v>
      </x:c>
      <x:c r="C25" s="117" t="n">
        <x:f>ROUND(B25,'Config'!$B$25)</x:f>
        <x:v>-0.11</x:v>
      </x:c>
      <x:c r="D25" s="120" t="n">
        <x:f>VALUE('Raw_Data'!J261)</x:f>
        <x:v>1.290841899359029e-9</x:v>
      </x:c>
      <x:c r="E25" s="117" t="n">
        <x:f>LN(ABS(D25))/LN(10)</x:f>
        <x:v>-8.88912694630106</x:v>
      </x:c>
      <x:c r="F25" s="117" t="n">
        <x:f>B25</x:f>
        <x:v>-0.1099999999999999</x:v>
      </x:c>
      <x:c r="G25" s="117" t="n">
        <x:f>B45</x:f>
        <x:v>-0.009999999999999901</x:v>
      </x:c>
      <x:c r="H25" s="117" t="n">
        <x:f>MAX(E25:E45)-MIN(E25:E45)</x:f>
        <x:v>1.0766615232984886</x:v>
      </x:c>
      <x:c r="I25" s="117" t="n">
        <x:f>SLOPE(E25:E45,B25:B45)</x:f>
        <x:v>10.849916625933568</x:v>
      </x:c>
      <x:c r="J25" s="123" t="n">
        <x:f>RSQ(E25:E45,B25:B45)</x:f>
        <x:v>0.9993038419790942</x:v>
      </x:c>
      <x:c r="K25" s="117" t="n">
        <x:f>IF(I25&gt;0,'Config'!$B$17/I25,"")</x:f>
        <x:v>92.16660684836886</x:v>
      </x:c>
      <x:c r="L25" s="120" t="n">
        <x:f>MAX(D25:D45)</x:f>
        <x:v>1.540049134467929e-8</x:v>
      </x:c>
      <x:c r="M25" s="120" t="n">
        <x:f>IF(AND(H25&gt;='Config'!$B$14,J25&gt;='Config'!$B$15,L25&lt;=$E$4,I25&gt;0),K25,"")</x:f>
        <x:v>92.16660684836886</x:v>
      </x:c>
      <x:c r="N25" s="17" t="str">
        <x:f>IF(AND(M25&lt;&gt;"",ABS(M25-$G$4)&lt;='Config'!$B$22),"SELECTED","")</x:f>
      </x:c>
    </x:row>
    <x:row r="26">
      <x:c r="A26" s="15" t="n">
        <x:v>262</x:v>
      </x:c>
      <x:c r="B26" s="117" t="n">
        <x:f>VALUE('Raw_Data'!I262)</x:f>
        <x:v>-0.1049999999999999</x:v>
      </x:c>
      <x:c r="C26" s="117" t="n">
        <x:f>ROUND(B26,'Config'!$B$25)</x:f>
        <x:v>-0.105</x:v>
      </x:c>
      <x:c r="D26" s="120" t="n">
        <x:f>VALUE('Raw_Data'!J262)</x:f>
        <x:v>1.436012485864877e-9</x:v>
      </x:c>
      <x:c r="E26" s="117" t="n">
        <x:f>LN(ABS(D26))/LN(10)</x:f>
        <x:v>-8.842841783966529</x:v>
      </x:c>
      <x:c r="F26" s="117" t="n">
        <x:f>B26</x:f>
        <x:v>-0.1049999999999999</x:v>
      </x:c>
      <x:c r="G26" s="117" t="n">
        <x:f>B46</x:f>
        <x:v>-0.004999999999999901</x:v>
      </x:c>
      <x:c r="H26" s="117" t="n">
        <x:f>MAX(E26:E46)-MIN(E26:E46)</x:f>
        <x:v>1.0875914551034214</x:v>
      </x:c>
      <x:c r="I26" s="117" t="n">
        <x:f>SLOPE(E26:E46,B26:B46)</x:f>
        <x:v>10.950600242824935</x:v>
      </x:c>
      <x:c r="J26" s="123" t="n">
        <x:f>RSQ(E26:E46,B26:B46)</x:f>
        <x:v>0.9994867033506019</x:v>
      </x:c>
      <x:c r="K26" s="117" t="n">
        <x:f>IF(I26&gt;0,'Config'!$B$17/I26,"")</x:f>
        <x:v>91.31919509665428</x:v>
      </x:c>
      <x:c r="L26" s="120" t="n">
        <x:f>MAX(D26:D46)</x:f>
        <x:v>1.756910632590914e-8</x:v>
      </x:c>
      <x:c r="M26" s="120" t="n">
        <x:f>IF(AND(H26&gt;='Config'!$B$14,J26&gt;='Config'!$B$15,L26&lt;=$E$4,I26&gt;0),K26,"")</x:f>
        <x:v>91.31919509665428</x:v>
      </x:c>
      <x:c r="N26" s="17" t="str">
        <x:f>IF(AND(M26&lt;&gt;"",ABS(M26-$G$4)&lt;='Config'!$B$22),"SELECTED","")</x:f>
      </x:c>
    </x:row>
    <x:row r="27">
      <x:c r="A27" s="15" t="n">
        <x:v>263</x:v>
      </x:c>
      <x:c r="B27" s="117" t="n">
        <x:f>VALUE('Raw_Data'!I263)</x:f>
        <x:v>-0.09999999999999992</x:v>
      </x:c>
      <x:c r="C27" s="117" t="n">
        <x:f>ROUND(B27,'Config'!$B$25)</x:f>
        <x:v>-0.1</x:v>
      </x:c>
      <x:c r="D27" s="120" t="n">
        <x:f>VALUE('Raw_Data'!J263)</x:f>
        <x:v>1.602880717400002e-9</x:v>
      </x:c>
      <x:c r="E27" s="117" t="n">
        <x:f>LN(ABS(D27))/LN(10)</x:f>
        <x:v>-8.795098795613713</x:v>
      </x:c>
      <x:c r="F27" s="117" t="n">
        <x:f>B27</x:f>
        <x:v>-0.09999999999999992</x:v>
      </x:c>
      <x:c r="G27" s="117" t="n">
        <x:f>B47</x:f>
        <x:v>9.8879238130678e-17</x:v>
      </x:c>
      <x:c r="H27" s="117" t="n">
        <x:f>MAX(E27:E47)-MIN(E27:E47)</x:f>
        <x:v>1.0971047812180288</x:v>
      </x:c>
      <x:c r="I27" s="117" t="n">
        <x:f>SLOPE(E27:E47,B27:B47)</x:f>
        <x:v>11.03773147346075</x:v>
      </x:c>
      <x:c r="J27" s="123" t="n">
        <x:f>RSQ(E27:E47,B27:B47)</x:f>
        <x:v>0.9996246099883525</x:v>
      </x:c>
      <x:c r="K27" s="117" t="n">
        <x:f>IF(I27&gt;0,'Config'!$B$17/I27,"")</x:f>
        <x:v>90.59832651341551</x:v>
      </x:c>
      <x:c r="L27" s="120" t="n">
        <x:f>MAX(D27:D47)</x:f>
        <x:v>2.004499653917184e-8</x:v>
      </x:c>
      <x:c r="M27" s="120" t="n">
        <x:f>IF(AND(H27&gt;='Config'!$B$14,J27&gt;='Config'!$B$15,L27&lt;=$E$4,I27&gt;0),K27,"")</x:f>
        <x:v>90.59832651341551</x:v>
      </x:c>
      <x:c r="N27" s="17" t="str">
        <x:f>IF(AND(M27&lt;&gt;"",ABS(M27-$G$4)&lt;='Config'!$B$22),"SELECTED","")</x:f>
      </x:c>
    </x:row>
    <x:row r="28">
      <x:c r="A28" s="15" t="n">
        <x:v>264</x:v>
      </x:c>
      <x:c r="B28" s="117" t="n">
        <x:f>VALUE('Raw_Data'!I264)</x:f>
        <x:v>-0.09499999999999992</x:v>
      </x:c>
      <x:c r="C28" s="117" t="n">
        <x:f>ROUND(B28,'Config'!$B$25)</x:f>
        <x:v>-0.095</x:v>
      </x:c>
      <x:c r="D28" s="120" t="n">
        <x:f>VALUE('Raw_Data'!J264)</x:f>
        <x:v>1.79453411299549e-9</x:v>
      </x:c>
      <x:c r="E28" s="117" t="n">
        <x:f>LN(ABS(D28))/LN(10)</x:f>
        <x:v>-8.746048281579897</x:v>
      </x:c>
      <x:c r="F28" s="117" t="n">
        <x:f>B28</x:f>
        <x:v>-0.09499999999999992</x:v>
      </x:c>
      <x:c r="G28" s="117" t="n">
        <x:f>B48</x:f>
        <x:v>0.005000000000000099</x:v>
      </x:c>
      <x:c r="H28" s="117" t="n">
        <x:f>MAX(E28:E48)-MIN(E28:E48)</x:f>
        <x:v>1.1053350097344135</x:v>
      </x:c>
      <x:c r="I28" s="117" t="n">
        <x:f>SLOPE(E28:E48,B28:B48)</x:f>
        <x:v>11.112689334697123</x:v>
      </x:c>
      <x:c r="J28" s="123" t="n">
        <x:f>RSQ(E28:E48,B28:B48)</x:f>
        <x:v>0.9997279997501766</x:v>
      </x:c>
      <x:c r="K28" s="117" t="n">
        <x:f>IF(I28&gt;0,'Config'!$B$17/I28,"")</x:f>
        <x:v>89.98721820448111</x:v>
      </x:c>
      <x:c r="L28" s="120" t="n">
        <x:f>MAX(D28:D48)</x:f>
        <x:v>2.287108290455236e-8</x:v>
      </x:c>
      <x:c r="M28" s="120" t="n">
        <x:f>IF(AND(H28&gt;='Config'!$B$14,J28&gt;='Config'!$B$15,L28&lt;=$E$4,I28&gt;0),K28,"")</x:f>
        <x:v>89.98721820448111</x:v>
      </x:c>
      <x:c r="N28" s="17" t="str">
        <x:f>IF(AND(M28&lt;&gt;"",ABS(M28-$G$4)&lt;='Config'!$B$22),"SELECTED","")</x:f>
      </x:c>
    </x:row>
    <x:row r="29">
      <x:c r="A29" s="15" t="n">
        <x:v>265</x:v>
      </x:c>
      <x:c r="B29" s="117" t="n">
        <x:f>VALUE('Raw_Data'!I265)</x:f>
        <x:v>-0.08999999999999991</x:v>
      </x:c>
      <x:c r="C29" s="117" t="n">
        <x:f>ROUND(B29,'Config'!$B$25)</x:f>
        <x:v>-0.09</x:v>
      </x:c>
      <x:c r="D29" s="120" t="n">
        <x:f>VALUE('Raw_Data'!J265)</x:f>
        <x:v>2.014503173327516e-9</x:v>
      </x:c>
      <x:c r="E29" s="117" t="n">
        <x:f>LN(ABS(D29))/LN(10)</x:f>
        <x:v>-8.695832044156694</x:v>
      </x:c>
      <x:c r="F29" s="117" t="n">
        <x:f>B29</x:f>
        <x:v>-0.08999999999999991</x:v>
      </x:c>
      <x:c r="G29" s="117" t="n">
        <x:f>B49</x:f>
        <x:v>0.0100000000000001</x:v>
      </x:c>
      <x:c r="H29" s="117" t="n">
        <x:f>MAX(E29:E49)-MIN(E29:E49)</x:f>
        <x:v>1.1124088124949347</x:v>
      </x:c>
      <x:c r="I29" s="117" t="n">
        <x:f>SLOPE(E29:E49,B29:B49)</x:f>
        <x:v>11.176756425138946</x:v>
      </x:c>
      <x:c r="J29" s="123" t="n">
        <x:f>RSQ(E29:E49,B29:B49)</x:f>
        <x:v>0.9998050326173388</x:v>
      </x:c>
      <x:c r="K29" s="117" t="n">
        <x:f>IF(I29&gt;0,'Config'!$B$17/I29,"")</x:f>
        <x:v>89.47139599023411</x:v>
      </x:c>
      <x:c r="L29" s="120" t="n">
        <x:f>MAX(D29:D49)</x:f>
        <x:v>2.609616972837888e-8</x:v>
      </x:c>
      <x:c r="M29" s="120" t="n">
        <x:f>IF(AND(H29&gt;='Config'!$B$14,J29&gt;='Config'!$B$15,L29&lt;=$E$4,I29&gt;0),K29,"")</x:f>
        <x:v>89.47139599023411</x:v>
      </x:c>
      <x:c r="N29" s="17" t="str">
        <x:f>IF(AND(M29&lt;&gt;"",ABS(M29-$G$4)&lt;='Config'!$B$22),"SELECTED","")</x:f>
      </x:c>
    </x:row>
    <x:row r="30">
      <x:c r="A30" s="15" t="n">
        <x:v>266</x:v>
      </x:c>
      <x:c r="B30" s="117" t="n">
        <x:f>VALUE('Raw_Data'!I266)</x:f>
        <x:v>-0.08499999999999991</x:v>
      </x:c>
      <x:c r="C30" s="117" t="n">
        <x:f>ROUND(B30,'Config'!$B$25)</x:f>
        <x:v>-0.085</x:v>
      </x:c>
      <x:c r="D30" s="120" t="n">
        <x:f>VALUE('Raw_Data'!J266)</x:f>
        <x:v>2.266823335139018e-9</x:v>
      </x:c>
      <x:c r="E30" s="117" t="n">
        <x:f>LN(ABS(D30))/LN(10)</x:f>
        <x:v>-8.64458232529208</x:v>
      </x:c>
      <x:c r="F30" s="117" t="n">
        <x:f>B30</x:f>
        <x:v>-0.08499999999999991</x:v>
      </x:c>
      <x:c r="G30" s="117" t="n">
        <x:f>B50</x:f>
        <x:v>0.0150000000000001</x:v>
      </x:c>
      <x:c r="H30" s="117" t="n">
        <x:f>MAX(E30:E50)-MIN(E30:E50)</x:f>
        <x:v>1.1184447018679027</x:v>
      </x:c>
      <x:c r="I30" s="117" t="n">
        <x:f>SLOPE(E30:E50,B30:B50)</x:f>
        <x:v>11.23111173483088</x:v>
      </x:c>
      <x:c r="J30" s="123" t="n">
        <x:f>RSQ(E30:E50,B30:B50)</x:f>
        <x:v>0.9998620433236646</x:v>
      </x:c>
      <x:c r="K30" s="117" t="n">
        <x:f>IF(I30&gt;0,'Config'!$B$17/I30,"")</x:f>
        <x:v>89.03838049253083</x:v>
      </x:c>
      <x:c r="L30" s="120" t="n">
        <x:f>MAX(D30:D50)</x:f>
        <x:v>2.977572717949469e-8</x:v>
      </x:c>
      <x:c r="M30" s="120" t="n">
        <x:f>IF(AND(H30&gt;='Config'!$B$14,J30&gt;='Config'!$B$15,L30&lt;=$E$4,I30&gt;0),K30,"")</x:f>
        <x:v>89.03838049253083</x:v>
      </x:c>
      <x:c r="N30" s="17" t="str">
        <x:f>IF(AND(M30&lt;&gt;"",ABS(M30-$G$4)&lt;='Config'!$B$22),"SELECTED","")</x:f>
      </x:c>
    </x:row>
    <x:row r="31">
      <x:c r="A31" s="15" t="n">
        <x:v>267</x:v>
      </x:c>
      <x:c r="B31" s="117" t="n">
        <x:f>VALUE('Raw_Data'!I267)</x:f>
        <x:v>-0.0799999999999999</x:v>
      </x:c>
      <x:c r="C31" s="117" t="n">
        <x:f>ROUND(B31,'Config'!$B$25)</x:f>
        <x:v>-0.08</x:v>
      </x:c>
      <x:c r="D31" s="120" t="n">
        <x:f>VALUE('Raw_Data'!J267)</x:f>
        <x:v>2.556105758202359e-9</x:v>
      </x:c>
      <x:c r="E31" s="117" t="n">
        <x:f>LN(ABS(D31))/LN(10)</x:f>
        <x:v>-8.592421181322122</x:v>
      </x:c>
      <x:c r="F31" s="117" t="n">
        <x:f>B31</x:f>
        <x:v>-0.0799999999999999</x:v>
      </x:c>
      <x:c r="G31" s="117" t="n">
        <x:f>B51</x:f>
        <x:v>0.0200000000000001</x:v>
      </x:c>
      <x:c r="H31" s="117" t="n">
        <x:f>MAX(E31:E51)-MIN(E31:E51)</x:f>
        <x:v>1.123552176629218</x:v>
      </x:c>
      <x:c r="I31" s="117" t="n">
        <x:f>SLOPE(E31:E51,B31:B51)</x:f>
        <x:v>11.276827739091896</x:v>
      </x:c>
      <x:c r="J31" s="123" t="n">
        <x:f>RSQ(E31:E51,B31:B51)</x:f>
        <x:v>0.9999039168427126</x:v>
      </x:c>
      <x:c r="K31" s="117" t="n">
        <x:f>IF(I31&gt;0,'Config'!$B$17/I31,"")</x:f>
        <x:v>88.67742091452115</x:v>
      </x:c>
      <x:c r="L31" s="120" t="n">
        <x:f>MAX(D31:D51)</x:f>
        <x:v>3.397277284792525e-8</x:v>
      </x:c>
      <x:c r="M31" s="120" t="n">
        <x:f>IF(AND(H31&gt;='Config'!$B$14,J31&gt;='Config'!$B$15,L31&lt;=$E$4,I31&gt;0),K31,"")</x:f>
        <x:v>88.67742091452115</x:v>
      </x:c>
      <x:c r="N31" s="17" t="str">
        <x:f>IF(AND(M31&lt;&gt;"",ABS(M31-$G$4)&lt;='Config'!$B$22),"SELECTED","")</x:f>
      </x:c>
    </x:row>
    <x:row r="32">
      <x:c r="A32" s="15" t="n">
        <x:v>268</x:v>
      </x:c>
      <x:c r="B32" s="117" t="n">
        <x:f>VALUE('Raw_Data'!I268)</x:f>
        <x:v>-0.0749999999999999</x:v>
      </x:c>
      <x:c r="C32" s="117" t="n">
        <x:f>ROUND(B32,'Config'!$B$25)</x:f>
        <x:v>-0.075</x:v>
      </x:c>
      <x:c r="D32" s="120" t="n">
        <x:f>VALUE('Raw_Data'!J268)</x:f>
        <x:v>2.887618113375948e-9</x:v>
      </x:c>
      <x:c r="E32" s="117" t="n">
        <x:f>LN(ABS(D32))/LN(10)</x:f>
        <x:v>-8.539460242618999</x:v>
      </x:c>
      <x:c r="F32" s="117" t="n">
        <x:f>B32</x:f>
        <x:v>-0.0749999999999999</x:v>
      </x:c>
      <x:c r="G32" s="117" t="n">
        <x:f>B52</x:f>
        <x:v>0.0250000000000001</x:v>
      </x:c>
      <x:c r="H32" s="117" t="n">
        <x:f>MAX(E32:E52)-MIN(E32:E52)</x:f>
        <x:v>1.127831281296369</x:v>
      </x:c>
      <x:c r="I32" s="117" t="n">
        <x:f>SLOPE(E32:E52,B32:B52)</x:f>
        <x:v>11.314870937319947</x:v>
      </x:c>
      <x:c r="J32" s="123" t="n">
        <x:f>RSQ(E32:E52,B32:B52)</x:f>
        <x:v>0.9999343964362766</x:v>
      </x:c>
      <x:c r="K32" s="117" t="n">
        <x:f>IF(I32&gt;0,'Config'!$B$17/I32,"")</x:f>
        <x:v>88.37926703182185</x:v>
      </x:c>
      <x:c r="L32" s="120" t="n">
        <x:f>MAX(D32:D52)</x:f>
        <x:v>3.875886391374027e-8</x:v>
      </x:c>
      <x:c r="M32" s="120" t="n">
        <x:f>IF(AND(H32&gt;='Config'!$B$14,J32&gt;='Config'!$B$15,L32&lt;=$E$4,I32&gt;0),K32,"")</x:f>
        <x:v>88.37926703182185</x:v>
      </x:c>
      <x:c r="N32" s="17" t="str">
        <x:f>IF(AND(M32&lt;&gt;"",ABS(M32-$G$4)&lt;='Config'!$B$22),"SELECTED","")</x:f>
      </x:c>
    </x:row>
    <x:row r="33">
      <x:c r="A33" s="15" t="n">
        <x:v>269</x:v>
      </x:c>
      <x:c r="B33" s="117" t="n">
        <x:f>VALUE('Raw_Data'!I269)</x:f>
        <x:v>-0.0699999999999999</x:v>
      </x:c>
      <x:c r="C33" s="117" t="n">
        <x:f>ROUND(B33,'Config'!$B$25)</x:f>
        <x:v>-0.07</x:v>
      </x:c>
      <x:c r="D33" s="120" t="n">
        <x:f>VALUE('Raw_Data'!J269)</x:f>
        <x:v>3.267376703094192e-9</x:v>
      </x:c>
      <x:c r="E33" s="117" t="n">
        <x:f>LN(ABS(D33))/LN(10)</x:f>
        <x:v>-8.485800791865591</x:v>
      </x:c>
      <x:c r="F33" s="117" t="n">
        <x:f>B33</x:f>
        <x:v>-0.0699999999999999</x:v>
      </x:c>
      <x:c r="G33" s="117" t="n">
        <x:f>B53</x:f>
        <x:v>0.0300000000000001</x:v>
      </x:c>
      <x:c r="H33" s="117" t="n">
        <x:f>MAX(E33:E53)-MIN(E33:E53)</x:f>
        <x:v>1.1313725093502534</x:v>
      </x:c>
      <x:c r="I33" s="117" t="n">
        <x:f>SLOPE(E33:E53,B33:B53)</x:f>
        <x:v>11.346105017056516</x:v>
      </x:c>
      <x:c r="J33" s="123" t="n">
        <x:f>RSQ(E33:E53,B33:B53)</x:f>
        <x:v>0.999956333469543</x:v>
      </x:c>
      <x:c r="K33" s="117" t="n">
        <x:f>IF(I33&gt;0,'Config'!$B$17/I33,"")</x:f>
        <x:v>88.13597252067625</x:v>
      </x:c>
      <x:c r="L33" s="120" t="n">
        <x:f>MAX(D33:D53)</x:f>
        <x:v>4.421521259087782e-8</x:v>
      </x:c>
      <x:c r="M33" s="120" t="n">
        <x:f>IF(AND(H33&gt;='Config'!$B$14,J33&gt;='Config'!$B$15,L33&lt;=$E$4,I33&gt;0),K33,"")</x:f>
        <x:v>88.13597252067625</x:v>
      </x:c>
      <x:c r="N33" s="17" t="str">
        <x:f>IF(AND(M33&lt;&gt;"",ABS(M33-$G$4)&lt;='Config'!$B$22),"SELECTED","")</x:f>
      </x:c>
    </x:row>
    <x:row r="34">
      <x:c r="A34" s="15" t="n">
        <x:v>270</x:v>
      </x:c>
      <x:c r="B34" s="117" t="n">
        <x:f>VALUE('Raw_Data'!I270)</x:f>
        <x:v>-0.06499999999999989</x:v>
      </x:c>
      <x:c r="C34" s="117" t="n">
        <x:f>ROUND(B34,'Config'!$B$25)</x:f>
        <x:v>-0.065</x:v>
      </x:c>
      <x:c r="D34" s="120" t="n">
        <x:f>VALUE('Raw_Data'!J270)</x:f>
        <x:v>3.702251427628463e-9</x:v>
      </x:c>
      <x:c r="E34" s="117" t="n">
        <x:f>LN(ABS(D34))/LN(10)</x:f>
        <x:v>-8.431534090736067</x:v>
      </x:c>
      <x:c r="F34" s="117" t="n">
        <x:f>B34</x:f>
        <x:v>-0.06499999999999989</x:v>
      </x:c>
      <x:c r="G34" s="117" t="n">
        <x:f>B54</x:f>
        <x:v>0.0350000000000001</x:v>
      </x:c>
      <x:c r="H34" s="117" t="n">
        <x:f>MAX(E34:E54)-MIN(E34:E54)</x:f>
        <x:v>1.1342569771444113</x:v>
      </x:c>
      <x:c r="I34" s="117" t="n">
        <x:f>SLOPE(E34:E54,B34:B54)</x:f>
        <x:v>11.371295898720527</x:v>
      </x:c>
      <x:c r="J34" s="123" t="n">
        <x:f>RSQ(E34:E54,B34:B54)</x:f>
        <x:v>0.9999718877248993</x:v>
      </x:c>
      <x:c r="K34" s="117" t="n">
        <x:f>IF(I34&gt;0,'Config'!$B$17/I34,"")</x:f>
        <x:v>87.94072451430252</x:v>
      </x:c>
      <x:c r="L34" s="120" t="n">
        <x:f>MAX(D34:D54)</x:f>
        <x:v>5.043393871940648e-8</x:v>
      </x:c>
      <x:c r="M34" s="120" t="n">
        <x:f>IF(AND(H34&gt;='Config'!$B$14,J34&gt;='Config'!$B$15,L34&lt;=$E$4,I34&gt;0),K34,"")</x:f>
        <x:v>87.94072451430252</x:v>
      </x:c>
      <x:c r="N34" s="17" t="str">
        <x:f>IF(AND(M34&lt;&gt;"",ABS(M34-$G$4)&lt;='Config'!$B$22),"SELECTED","")</x:f>
      </x:c>
    </x:row>
    <x:row r="35">
      <x:c r="A35" s="15" t="n">
        <x:v>271</x:v>
      </x:c>
      <x:c r="B35" s="117" t="n">
        <x:f>VALUE('Raw_Data'!I271)</x:f>
        <x:v>-0.05999999999999989</x:v>
      </x:c>
      <x:c r="C35" s="117" t="n">
        <x:f>ROUND(B35,'Config'!$B$25)</x:f>
        <x:v>-0.06</x:v>
      </x:c>
      <x:c r="D35" s="120" t="n">
        <x:f>VALUE('Raw_Data'!J271)</x:f>
        <x:v>4.20008531395974e-9</x:v>
      </x:c>
      <x:c r="E35" s="117" t="n">
        <x:f>LN(ABS(D35))/LN(10)</x:f>
        <x:v>-8.376741887934088</x:v>
      </x:c>
      <x:c r="F35" s="117" t="n">
        <x:f>B35</x:f>
        <x:v>-0.05999999999999989</x:v>
      </x:c>
      <x:c r="G35" s="117" t="n">
        <x:f>B55</x:f>
        <x:v>0.0400000000000001</x:v>
      </x:c>
      <x:c r="H35" s="117" t="n">
        <x:f>MAX(E35:E55)-MIN(E35:E55)</x:f>
        <x:v>1.1365567987760015</x:v>
      </x:c>
      <x:c r="I35" s="117" t="n">
        <x:f>SLOPE(E35:E55,B35:B55)</x:f>
        <x:v>11.391118021549866</x:v>
      </x:c>
      <x:c r="J35" s="123" t="n">
        <x:f>RSQ(E35:E55,B35:B55)</x:f>
        <x:v>0.9999826863242155</x:v>
      </x:c>
      <x:c r="K35" s="117" t="n">
        <x:f>IF(I35&gt;0,'Config'!$B$17/I35,"")</x:f>
        <x:v>87.7876954753859</x:v>
      </x:c>
      <x:c r="L35" s="120" t="n">
        <x:f>MAX(D35:D55)</x:f>
        <x:v>5.751947465615888e-8</x:v>
      </x:c>
      <x:c r="M35" s="120" t="n">
        <x:f>IF(AND(H35&gt;='Config'!$B$14,J35&gt;='Config'!$B$15,L35&lt;=$E$4,I35&gt;0),K35,"")</x:f>
        <x:v>87.7876954753859</x:v>
      </x:c>
      <x:c r="N35" s="17" t="str">
        <x:f>IF(AND(M35&lt;&gt;"",ABS(M35-$G$4)&lt;='Config'!$B$22),"SELECTED","")</x:f>
      </x:c>
    </x:row>
    <x:row r="36">
      <x:c r="A36" s="15" t="n">
        <x:v>272</x:v>
      </x:c>
      <x:c r="B36" s="117" t="n">
        <x:f>VALUE('Raw_Data'!I272)</x:f>
        <x:v>-0.0549999999999999</x:v>
      </x:c>
      <x:c r="C36" s="117" t="n">
        <x:f>ROUND(B36,'Config'!$B$25)</x:f>
        <x:v>-0.055</x:v>
      </x:c>
      <x:c r="D36" s="120" t="n">
        <x:f>VALUE('Raw_Data'!J272)</x:f>
        <x:v>4.769830551596083e-9</x:v>
      </x:c>
      <x:c r="E36" s="117" t="n">
        <x:f>LN(ABS(D36))/LN(10)</x:f>
        <x:v>-8.32149704901312</x:v>
      </x:c>
      <x:c r="F36" s="117" t="n">
        <x:f>B36</x:f>
        <x:v>-0.0549999999999999</x:v>
      </x:c>
      <x:c r="G36" s="117" t="n">
        <x:f>B56</x:f>
        <x:v>0.0450000000000001</x:v>
      </x:c>
      <x:c r="H36" s="117" t="n">
        <x:f>MAX(E36:E56)-MIN(E36:E56)</x:f>
        <x:v>1.1383355999652673</x:v>
      </x:c>
      <x:c r="I36" s="117" t="n">
        <x:f>SLOPE(E36:E56,B36:B56)</x:f>
        <x:v>11.40616134706651</x:v>
      </x:c>
      <x:c r="J36" s="123" t="n">
        <x:f>RSQ(E36:E56,B36:B56)</x:f>
        <x:v>0.9999899485860869</x:v>
      </x:c>
      <x:c r="K36" s="117" t="n">
        <x:f>IF(I36&gt;0,'Config'!$B$17/I36,"")</x:f>
        <x:v>87.67191429018183</x:v>
      </x:c>
      <x:c r="L36" s="120" t="n">
        <x:f>MAX(D36:D56)</x:f>
        <x:v>6.559013895214705e-8</x:v>
      </x:c>
      <x:c r="M36" s="120" t="n">
        <x:f>IF(AND(H36&gt;='Config'!$B$14,J36&gt;='Config'!$B$15,L36&lt;=$E$4,I36&gt;0),K36,"")</x:f>
        <x:v>87.67191429018183</x:v>
      </x:c>
      <x:c r="N36" s="17" t="str">
        <x:f>IF(AND(M36&lt;&gt;"",ABS(M36-$G$4)&lt;='Config'!$B$22),"SELECTED","")</x:f>
      </x:c>
    </x:row>
    <x:row r="37">
      <x:c r="A37" s="15" t="n">
        <x:v>273</x:v>
      </x:c>
      <x:c r="B37" s="117" t="n">
        <x:f>VALUE('Raw_Data'!I273)</x:f>
        <x:v>-0.0499999999999999</x:v>
      </x:c>
      <x:c r="C37" s="117" t="n">
        <x:f>ROUND(B37,'Config'!$B$25)</x:f>
        <x:v>-0.05</x:v>
      </x:c>
      <x:c r="D37" s="120" t="n">
        <x:f>VALUE('Raw_Data'!J273)</x:f>
        <x:v>5.421703233852641e-9</x:v>
      </x:c>
      <x:c r="E37" s="117" t="n">
        <x:f>LN(ABS(D37))/LN(10)</x:f>
        <x:v>-8.265864257952044</x:v>
      </x:c>
      <x:c r="F37" s="117" t="n">
        <x:f>B37</x:f>
        <x:v>-0.0499999999999999</x:v>
      </x:c>
      <x:c r="G37" s="117" t="n">
        <x:f>B57</x:f>
        <x:v>0.05000000000000009</x:v>
      </x:c>
      <x:c r="H37" s="117" t="n">
        <x:f>MAX(E37:E57)-MIN(E37:E57)</x:f>
        <x:v>1.1396491188246411</x:v>
      </x:c>
      <x:c r="I37" s="117" t="n">
        <x:f>SLOPE(E37:E57,B37:B57)</x:f>
        <x:v>11.416938669582875</x:v>
      </x:c>
      <x:c r="J37" s="123" t="n">
        <x:f>RSQ(E37:E57,B37:B57)</x:f>
        <x:v>0.999994583255804</x:v>
      </x:c>
      <x:c r="K37" s="117" t="n">
        <x:f>IF(I37&gt;0,'Config'!$B$17/I37,"")</x:f>
        <x:v>87.58915405792713</x:v>
      </x:c>
      <x:c r="L37" s="120" t="n">
        <x:f>MAX(D37:D57)</x:f>
        <x:v>7.477989669704964e-8</x:v>
      </x:c>
      <x:c r="M37" s="120" t="n">
        <x:f>IF(AND(H37&gt;='Config'!$B$14,J37&gt;='Config'!$B$15,L37&lt;=$E$4,I37&gt;0),K37,"")</x:f>
        <x:v>87.58915405792713</x:v>
      </x:c>
      <x:c r="N37" s="17" t="str">
        <x:f>IF(AND(M37&lt;&gt;"",ABS(M37-$G$4)&lt;='Config'!$B$22),"SELECTED","")</x:f>
      </x:c>
    </x:row>
    <x:row r="38">
      <x:c r="A38" s="15" t="n">
        <x:v>274</x:v>
      </x:c>
      <x:c r="B38" s="117" t="n">
        <x:f>VALUE('Raw_Data'!I274)</x:f>
        <x:v>-0.0449999999999999</x:v>
      </x:c>
      <x:c r="C38" s="117" t="n">
        <x:f>ROUND(B38,'Config'!$B$25)</x:f>
        <x:v>-0.045</x:v>
      </x:c>
      <x:c r="D38" s="120" t="n">
        <x:f>VALUE('Raw_Data'!J274)</x:f>
        <x:v>6.167359286893276e-9</x:v>
      </x:c>
      <x:c r="E38" s="117" t="n">
        <x:f>LN(ABS(D38))/LN(10)</x:f>
        <x:v>-8.209900750492125</x:v>
      </x:c>
      <x:c r="F38" s="117" t="n">
        <x:f>B38</x:f>
        <x:v>-0.0449999999999999</x:v>
      </x:c>
      <x:c r="G38" s="117" t="n">
        <x:f>B58</x:f>
        <x:v>0.05500000000000009</x:v>
      </x:c>
      <x:c r="H38" s="117" t="n">
        <x:f>MAX(E38:E58)-MIN(E38:E58)</x:f>
        <x:v>1.1405458516988762</x:v>
      </x:c>
      <x:c r="I38" s="117" t="n">
        <x:f>SLOPE(E38:E58,B38:B58)</x:f>
        <x:v>11.423892925898627</x:v>
      </x:c>
      <x:c r="J38" s="123" t="n">
        <x:f>RSQ(E38:E58,B38:B58)</x:f>
        <x:v>0.9999972636230726</x:v>
      </x:c>
      <x:c r="K38" s="117" t="n">
        <x:f>IF(I38&gt;0,'Config'!$B$17/I38,"")</x:f>
        <x:v>87.53583445560331</x:v>
      </x:c>
      <x:c r="L38" s="120" t="n">
        <x:f>MAX(D38:D58)</x:f>
        <x:v>8.524032584503317e-8</x:v>
      </x:c>
      <x:c r="M38" s="120" t="n">
        <x:f>IF(AND(H38&gt;='Config'!$B$14,J38&gt;='Config'!$B$15,L38&lt;=$E$4,I38&gt;0),K38,"")</x:f>
        <x:v>87.53583445560331</x:v>
      </x:c>
      <x:c r="N38" s="17" t="str">
        <x:f>IF(AND(M38&lt;&gt;"",ABS(M38-$G$4)&lt;='Config'!$B$22),"SELECTED","")</x:f>
      </x:c>
    </x:row>
    <x:row r="39">
      <x:c r="A39" s="15" t="n">
        <x:v>275</x:v>
      </x:c>
      <x:c r="B39" s="117" t="n">
        <x:f>VALUE('Raw_Data'!I275)</x:f>
        <x:v>-0.0399999999999999</x:v>
      </x:c>
      <x:c r="C39" s="117" t="n">
        <x:f>ROUND(B39,'Config'!$B$25)</x:f>
        <x:v>-0.04</x:v>
      </x:c>
      <x:c r="D39" s="120" t="n">
        <x:f>VALUE('Raw_Data'!J275)</x:f>
        <x:v>7.02009438536202e-9</x:v>
      </x:c>
      <x:c r="E39" s="117" t="n">
        <x:f>LN(ABS(D39))/LN(10)</x:f>
        <x:v>-8.15365704872969</x:v>
      </x:c>
      <x:c r="F39" s="117" t="n">
        <x:f>B39</x:f>
        <x:v>-0.0399999999999999</x:v>
      </x:c>
      <x:c r="G39" s="117" t="n">
        <x:f>B59</x:f>
        <x:v>0.06000000000000009</x:v>
      </x:c>
      <x:c r="H39" s="117" t="n">
        <x:f>MAX(E39:E59)-MIN(E39:E59)</x:f>
        <x:v>1.1410677119934904</x:v>
      </x:c>
      <x:c r="I39" s="117" t="n">
        <x:f>SLOPE(E39:E59,B39:B59)</x:f>
        <x:v>11.427404284414592</x:v>
      </x:c>
      <x:c r="J39" s="123" t="n">
        <x:f>RSQ(E39:E59,B39:B59)</x:f>
        <x:v>0.9999984851477214</x:v>
      </x:c>
      <x:c r="K39" s="117" t="n">
        <x:f>IF(I39&gt;0,'Config'!$B$17/I39,"")</x:f>
        <x:v>87.50893686012863</x:v>
      </x:c>
      <x:c r="L39" s="120" t="n">
        <x:f>MAX(D39:D59)</x:f>
        <x:v>9.714281029803717e-8</x:v>
      </x:c>
      <x:c r="M39" s="120" t="n">
        <x:f>IF(AND(H39&gt;='Config'!$B$14,J39&gt;='Config'!$B$15,L39&lt;=$E$4,I39&gt;0),K39,"")</x:f>
        <x:v>87.50893686012863</x:v>
      </x:c>
      <x:c r="N39" s="17" t="str">
        <x:f>IF(AND(M39&lt;&gt;"",ABS(M39-$G$4)&lt;='Config'!$B$22),"SELECTED","")</x:f>
      </x:c>
    </x:row>
    <x:row r="40">
      <x:c r="A40" s="15" t="n">
        <x:v>276</x:v>
      </x:c>
      <x:c r="B40" s="117" t="n">
        <x:f>VALUE('Raw_Data'!I276)</x:f>
        <x:v>-0.03499999999999991</x:v>
      </x:c>
      <x:c r="C40" s="117" t="n">
        <x:f>ROUND(B40,'Config'!$B$25)</x:f>
        <x:v>-0.035</x:v>
      </x:c>
      <x:c r="D40" s="120" t="n">
        <x:f>VALUE('Raw_Data'!J276)</x:f>
        <x:v>7.995071005998663e-9</x:v>
      </x:c>
      <x:c r="E40" s="117" t="n">
        <x:f>LN(ABS(D40))/LN(10)</x:f>
        <x:v>-8.097177674835011</x:v>
      </x:c>
      <x:c r="F40" s="117" t="n">
        <x:f>B40</x:f>
        <x:v>-0.03499999999999991</x:v>
      </x:c>
      <x:c r="G40" s="117" t="n">
        <x:f>B60</x:f>
        <x:v>0.06500000000000009</x:v>
      </x:c>
      <x:c r="H40" s="117" t="n">
        <x:f>MAX(E40:E60)-MIN(E40:E60)</x:f>
        <x:v>1.141250678508718</x:v>
      </x:c>
      <x:c r="I40" s="117" t="n">
        <x:f>SLOPE(E40:E60,B40:B60)</x:f>
        <x:v>11.427796866237035</x:v>
      </x:c>
      <x:c r="J40" s="123" t="n">
        <x:f>RSQ(E40:E60,B40:B60)</x:f>
        <x:v>0.9999986093900107</x:v>
      </x:c>
      <x:c r="K40" s="117" t="n">
        <x:f>IF(I40&gt;0,'Config'!$B$17/I40,"")</x:f>
        <x:v>87.50593064481744</x:v>
      </x:c>
      <x:c r="L40" s="120" t="n">
        <x:f>MAX(D40:D60)</x:f>
        <x:v>1.106809819940524e-7</x:v>
      </x:c>
      <x:c r="M40" s="120" t="n">
        <x:f>IF(AND(H40&gt;='Config'!$B$14,J40&gt;='Config'!$B$15,L40&lt;=$E$4,I40&gt;0),K40,"")</x:f>
        <x:v>87.50593064481744</x:v>
      </x:c>
      <x:c r="N40" s="17" t="str">
        <x:f>IF(AND(M40&lt;&gt;"",ABS(M40-$G$4)&lt;='Config'!$B$22),"SELECTED","")</x:f>
        <x:v>SELECTED</x:v>
      </x:c>
    </x:row>
    <x:row r="41">
      <x:c r="A41" s="15" t="n">
        <x:v>277</x:v>
      </x:c>
      <x:c r="B41" s="117" t="n">
        <x:f>VALUE('Raw_Data'!I277)</x:f>
        <x:v>-0.02999999999999991</x:v>
      </x:c>
      <x:c r="C41" s="117" t="n">
        <x:f>ROUND(B41,'Config'!$B$25)</x:f>
        <x:v>-0.03</x:v>
      </x:c>
      <x:c r="D41" s="120" t="n">
        <x:f>VALUE('Raw_Data'!J277)</x:f>
        <x:v>9.109576162781831e-9</x:v>
      </x:c>
      <x:c r="E41" s="117" t="n">
        <x:f>LN(ABS(D41))/LN(10)</x:f>
        <x:v>-8.04050182878409</x:v>
      </x:c>
      <x:c r="F41" s="117" t="n">
        <x:f>B41</x:f>
        <x:v>-0.02999999999999991</x:v>
      </x:c>
      <x:c r="G41" s="117" t="n">
        <x:f>B61</x:f>
        <x:v>0.07000000000000009</x:v>
      </x:c>
      <x:c r="H41" s="117" t="n">
        <x:f>MAX(E41:E61)-MIN(E41:E61)</x:f>
        <x:v>1.1411254170158749</x:v>
      </x:c>
      <x:c r="I41" s="117" t="n">
        <x:f>SLOPE(E41:E61,B41:B61)</x:f>
        <x:v>11.425345008064367</x:v>
      </x:c>
      <x:c r="J41" s="123" t="n">
        <x:f>RSQ(E41:E61,B41:B61)</x:f>
        <x:v>0.9999978973143269</x:v>
      </x:c>
      <x:c r="K41" s="117" t="n">
        <x:f>IF(I41&gt;0,'Config'!$B$17/I41,"")</x:f>
        <x:v>87.52470925772208</x:v>
      </x:c>
      <x:c r="L41" s="120" t="n">
        <x:f>MAX(D41:D61)</x:f>
        <x:v>1.260734357078407e-7</x:v>
      </x:c>
      <x:c r="M41" s="120" t="n">
        <x:f>IF(AND(H41&gt;='Config'!$B$14,J41&gt;='Config'!$B$15,L41&lt;=$E$4,I41&gt;0),K41,"")</x:f>
        <x:v>87.52470925772208</x:v>
      </x:c>
      <x:c r="N41" s="17" t="str">
        <x:f>IF(AND(M41&lt;&gt;"",ABS(M41-$G$4)&lt;='Config'!$B$22),"SELECTED","")</x:f>
      </x:c>
    </x:row>
    <x:row r="42">
      <x:c r="A42" s="15" t="n">
        <x:v>278</x:v>
      </x:c>
      <x:c r="B42" s="117" t="n">
        <x:f>VALUE('Raw_Data'!I278)</x:f>
        <x:v>-0.0249999999999999</x:v>
      </x:c>
      <x:c r="C42" s="117" t="n">
        <x:f>ROUND(B42,'Config'!$B$25)</x:f>
        <x:v>-0.025</x:v>
      </x:c>
      <x:c r="D42" s="120" t="n">
        <x:f>VALUE('Raw_Data'!J278)</x:f>
        <x:v>1.038331380252642e-8</x:v>
      </x:c>
      <x:c r="E42" s="117" t="n">
        <x:f>LN(ABS(D42))/LN(10)</x:f>
        <x:v>-7.983664020622994</x:v>
      </x:c>
      <x:c r="F42" s="117" t="n">
        <x:f>B42</x:f>
        <x:v>-0.0249999999999999</x:v>
      </x:c>
      <x:c r="G42" s="117" t="n">
        <x:f>B62</x:f>
        <x:v>0.0750000000000001</x:v>
      </x:c>
      <x:c r="H42" s="117" t="n">
        <x:f>MAX(E42:E62)-MIN(E42:E62)</x:f>
        <x:v>1.1407178646260316</x:v>
      </x:c>
      <x:c r="I42" s="117" t="n">
        <x:f>SLOPE(E42:E62,B42:B62)</x:f>
        <x:v>11.420279020334787</x:v>
      </x:c>
      <x:c r="J42" s="123" t="n">
        <x:f>RSQ(E42:E62,B42:B62)</x:f>
        <x:v>0.9999965344121099</x:v>
      </x:c>
      <x:c r="K42" s="117" t="n">
        <x:f>IF(I42&gt;0,'Config'!$B$17/I42,"")</x:f>
        <x:v>87.56353485054211</x:v>
      </x:c>
      <x:c r="L42" s="120" t="n">
        <x:f>MAX(D42:D62)</x:f>
        <x:v>1.435667416938999e-7</x:v>
      </x:c>
      <x:c r="M42" s="120" t="n">
        <x:f>IF(AND(H42&gt;='Config'!$B$14,J42&gt;='Config'!$B$15,L42&lt;=$E$4,I42&gt;0),K42,"")</x:f>
        <x:v>87.56353485054211</x:v>
      </x:c>
      <x:c r="N42" s="17" t="str">
        <x:f>IF(AND(M42&lt;&gt;"",ABS(M42-$G$4)&lt;='Config'!$B$22),"SELECTED","")</x:f>
      </x:c>
    </x:row>
    <x:row r="43">
      <x:c r="A43" s="15" t="n">
        <x:v>279</x:v>
      </x:c>
      <x:c r="B43" s="117" t="n">
        <x:f>VALUE('Raw_Data'!I279)</x:f>
        <x:v>-0.0199999999999999</x:v>
      </x:c>
      <x:c r="C43" s="117" t="n">
        <x:f>ROUND(B43,'Config'!$B$25)</x:f>
        <x:v>-0.02</x:v>
      </x:c>
      <x:c r="D43" s="120" t="n">
        <x:f>VALUE('Raw_Data'!J279)</x:f>
        <x:v>1.183873632229351e-8</x:v>
      </x:c>
      <x:c r="E43" s="117" t="n">
        <x:f>LN(ABS(D43))/LN(10)</x:f>
        <x:v>-7.926694652135391</x:v>
      </x:c>
      <x:c r="F43" s="117" t="n">
        <x:f>B43</x:f>
        <x:v>-0.0199999999999999</x:v>
      </x:c>
      <x:c r="G43" s="117" t="n">
        <x:f>B63</x:f>
        <x:v>0.0800000000000001</x:v>
      </x:c>
      <x:c r="H43" s="117" t="n">
        <x:f>MAX(E43:E63)-MIN(E43:E63)</x:f>
        <x:v>1.1400497710123565</x:v>
      </x:c>
      <x:c r="I43" s="117" t="n">
        <x:f>SLOPE(E43:E63,B43:B63)</x:f>
        <x:v>11.412790426299795</x:v>
      </x:c>
      <x:c r="J43" s="123" t="n">
        <x:f>RSQ(E43:E63,B43:B63)</x:f>
        <x:v>0.9999946495702677</x:v>
      </x:c>
      <x:c r="K43" s="117" t="n">
        <x:f>IF(I43&gt;0,'Config'!$B$17/I43,"")</x:f>
        <x:v>87.62099036670172</x:v>
      </x:c>
      <x:c r="L43" s="120" t="n">
        <x:f>MAX(D43:D63)</x:f>
        <x:v>1.634387826574535e-7</x:v>
      </x:c>
      <x:c r="M43" s="120" t="n">
        <x:f>IF(AND(H43&gt;='Config'!$B$14,J43&gt;='Config'!$B$15,L43&lt;=$E$4,I43&gt;0),K43,"")</x:f>
        <x:v>87.62099036670172</x:v>
      </x:c>
      <x:c r="N43" s="17" t="str">
        <x:f>IF(AND(M43&lt;&gt;"",ABS(M43-$G$4)&lt;='Config'!$B$22),"SELECTED","")</x:f>
      </x:c>
    </x:row>
    <x:row r="44">
      <x:c r="A44" s="15" t="n">
        <x:v>280</x:v>
      </x:c>
      <x:c r="B44" s="117" t="n">
        <x:f>VALUE('Raw_Data'!I280)</x:f>
        <x:v>-0.0149999999999999</x:v>
      </x:c>
      <x:c r="C44" s="117" t="n">
        <x:f>ROUND(B44,'Config'!$B$25)</x:f>
        <x:v>-0.015</x:v>
      </x:c>
      <x:c r="D44" s="120" t="n">
        <x:f>VALUE('Raw_Data'!J280)</x:f>
        <x:v>1.350142020335369e-8</x:v>
      </x:c>
      <x:c r="E44" s="117" t="n">
        <x:f>LN(ABS(D44))/LN(10)</x:f>
        <x:v>-7.869620546020629</x:v>
      </x:c>
      <x:c r="F44" s="117" t="n">
        <x:f>B44</x:f>
        <x:v>-0.0149999999999999</x:v>
      </x:c>
      <x:c r="G44" s="117" t="n">
        <x:f>B64</x:f>
        <x:v>0.0850000000000001</x:v>
      </x:c>
      <x:c r="H44" s="117" t="n">
        <x:f>MAX(E44:E64)-MIN(E44:E64)</x:f>
        <x:v>1.1391391939241906</x:v>
      </x:c>
      <x:c r="I44" s="117" t="n">
        <x:f>SLOPE(E44:E64,B44:B64)</x:f>
        <x:v>11.4030366904803</x:v>
      </x:c>
      <x:c r="J44" s="123" t="n">
        <x:f>RSQ(E44:E64,B44:B64)</x:f>
        <x:v>0.9999923291870686</x:v>
      </x:c>
      <x:c r="K44" s="117" t="n">
        <x:f>IF(I44&gt;0,'Config'!$B$17/I44,"")</x:f>
        <x:v>87.69593812101289</x:v>
      </x:c>
      <x:c r="L44" s="120" t="n">
        <x:f>MAX(D44:D64)</x:f>
        <x:v>1.860024427952476e-7</x:v>
      </x:c>
      <x:c r="M44" s="120" t="n">
        <x:f>IF(AND(H44&gt;='Config'!$B$14,J44&gt;='Config'!$B$15,L44&lt;=$E$4,I44&gt;0),K44,"")</x:f>
        <x:v>87.69593812101289</x:v>
      </x:c>
      <x:c r="N44" s="17" t="str">
        <x:f>IF(AND(M44&lt;&gt;"",ABS(M44-$G$4)&lt;='Config'!$B$22),"SELECTED","")</x:f>
      </x:c>
    </x:row>
    <x:row r="45">
      <x:c r="A45" s="15" t="n">
        <x:v>281</x:v>
      </x:c>
      <x:c r="B45" s="117" t="n">
        <x:f>VALUE('Raw_Data'!I281)</x:f>
        <x:v>-0.009999999999999901</x:v>
      </x:c>
      <x:c r="C45" s="117" t="n">
        <x:f>ROUND(B45,'Config'!$B$25)</x:f>
        <x:v>-0.01</x:v>
      </x:c>
      <x:c r="D45" s="120" t="n">
        <x:f>VALUE('Raw_Data'!J281)</x:f>
        <x:v>1.540049134467929e-8</x:v>
      </x:c>
      <x:c r="E45" s="117" t="n">
        <x:f>LN(ABS(D45))/LN(10)</x:f>
        <x:v>-7.812465423002571</x:v>
      </x:c>
      <x:c r="F45" s="117" t="n">
        <x:f>B45</x:f>
        <x:v>-0.009999999999999901</x:v>
      </x:c>
      <x:c r="G45" s="117" t="n">
        <x:f>B65</x:f>
        <x:v>0.09000000000000011</x:v>
      </x:c>
      <x:c r="H45" s="117" t="n">
        <x:f>MAX(E45:E65)-MIN(E45:E65)</x:f>
        <x:v>1.1380009488650806</x:v>
      </x:c>
      <x:c r="I45" s="117" t="n">
        <x:f>SLOPE(E45:E65,B45:B65)</x:f>
        <x:v>11.391145460326491</x:v>
      </x:c>
      <x:c r="J45" s="123" t="n">
        <x:f>RSQ(E45:E65,B45:B65)</x:f>
        <x:v>0.9999896276967346</x:v>
      </x:c>
      <x:c r="K45" s="117" t="n">
        <x:f>IF(I45&gt;0,'Config'!$B$17/I45,"")</x:f>
        <x:v>87.78748401403858</x:v>
      </x:c>
      <x:c r="L45" s="120" t="n">
        <x:f>MAX(D45:D65)</x:f>
        <x:v>2.116096777673938e-7</x:v>
      </x:c>
      <x:c r="M45" s="120" t="n">
        <x:f>IF(AND(H45&gt;='Config'!$B$14,J45&gt;='Config'!$B$15,L45&lt;=$E$4,I45&gt;0),K45,"")</x:f>
        <x:v>87.78748401403858</x:v>
      </x:c>
      <x:c r="N45" s="17" t="str">
        <x:f>IF(AND(M45&lt;&gt;"",ABS(M45-$G$4)&lt;='Config'!$B$22),"SELECTED","")</x:f>
      </x:c>
    </x:row>
    <x:row r="46">
      <x:c r="A46" s="15" t="n">
        <x:v>282</x:v>
      </x:c>
      <x:c r="B46" s="117" t="n">
        <x:f>VALUE('Raw_Data'!I282)</x:f>
        <x:v>-0.004999999999999901</x:v>
      </x:c>
      <x:c r="C46" s="117" t="n">
        <x:f>ROUND(B46,'Config'!$B$25)</x:f>
        <x:v>-0.005</x:v>
      </x:c>
      <x:c r="D46" s="120" t="n">
        <x:f>VALUE('Raw_Data'!J282)</x:f>
        <x:v>1.756910632590914e-8</x:v>
      </x:c>
      <x:c r="E46" s="117" t="n">
        <x:f>LN(ABS(D46))/LN(10)</x:f>
        <x:v>-7.755250328863108</x:v>
      </x:c>
      <x:c r="F46" s="117" t="n">
        <x:f>B46</x:f>
        <x:v>-0.004999999999999901</x:v>
      </x:c>
      <x:c r="G46" s="117" t="n">
        <x:f>B66</x:f>
        <x:v>0.09500000000000011</x:v>
      </x:c>
      <x:c r="H46" s="117" t="n">
        <x:f>MAX(E46:E66)-MIN(E46:E66)</x:f>
        <x:v>1.1366470144839127</x:v>
      </x:c>
      <x:c r="I46" s="117" t="n">
        <x:f>SLOPE(E46:E66,B46:B66)</x:f>
        <x:v>11.377218354561892</x:v>
      </x:c>
      <x:c r="J46" s="123" t="n">
        <x:f>RSQ(E46:E66,B46:B66)</x:f>
        <x:v>0.9999865753944432</x:v>
      </x:c>
      <x:c r="K46" s="117" t="n">
        <x:f>IF(I46&gt;0,'Config'!$B$17/I46,"")</x:f>
        <x:v>87.89494662366506</x:v>
      </x:c>
      <x:c r="L46" s="120" t="n">
        <x:f>MAX(D46:D66)</x:f>
        <x:v>2.406559954042008e-7</x:v>
      </x:c>
      <x:c r="M46" s="120" t="n">
        <x:f>IF(AND(H46&gt;='Config'!$B$14,J46&gt;='Config'!$B$15,L46&lt;=$E$4,I46&gt;0),K46,"")</x:f>
        <x:v>87.89494662366506</x:v>
      </x:c>
      <x:c r="N46" s="17" t="str">
        <x:f>IF(AND(M46&lt;&gt;"",ABS(M46-$G$4)&lt;='Config'!$B$22),"SELECTED","")</x:f>
      </x:c>
    </x:row>
    <x:row r="47">
      <x:c r="A47" s="15" t="n">
        <x:v>283</x:v>
      </x:c>
      <x:c r="B47" s="117" t="n">
        <x:f>VALUE('Raw_Data'!I283)</x:f>
        <x:v>9.8879238130678e-17</x:v>
      </x:c>
      <x:c r="C47" s="117" t="n">
        <x:f>ROUND(B47,'Config'!$B$25)</x:f>
        <x:v>0</x:v>
      </x:c>
      <x:c r="D47" s="120" t="n">
        <x:f>VALUE('Raw_Data'!J283)</x:f>
        <x:v>2.004499653917184e-8</x:v>
      </x:c>
      <x:c r="E47" s="117" t="n">
        <x:f>LN(ABS(D47))/LN(10)</x:f>
        <x:v>-7.697994014395684</x:v>
      </x:c>
      <x:c r="F47" s="117" t="n">
        <x:f>B47</x:f>
        <x:v>9.8879238130678e-17</x:v>
      </x:c>
      <x:c r="G47" s="117" t="n">
        <x:f>B67</x:f>
        <x:v>0.1000000000000001</x:v>
      </x:c>
      <x:c r="H47" s="117" t="n">
        <x:f>MAX(E47:E67)-MIN(E47:E67)</x:f>
        <x:v>1.1350868963158396</x:v>
      </x:c>
      <x:c r="I47" s="117" t="n">
        <x:f>SLOPE(E47:E67,B47:B67)</x:f>
        <x:v>11.361334337084106</x:v>
      </x:c>
      <x:c r="J47" s="123" t="n">
        <x:f>RSQ(E47:E67,B47:B67)</x:f>
        <x:v>0.9999831842424844</x:v>
      </x:c>
      <x:c r="K47" s="117" t="n">
        <x:f>IF(I47&gt;0,'Config'!$B$17/I47,"")</x:f>
        <x:v>88.01783050569487</x:v>
      </x:c>
      <x:c r="L47" s="120" t="n">
        <x:f>MAX(D47:D67)</x:f>
        <x:v>2.735853776753727e-7</x:v>
      </x:c>
      <x:c r="M47" s="120" t="n">
        <x:f>IF(AND(H47&gt;='Config'!$B$14,J47&gt;='Config'!$B$15,L47&lt;=$E$4,I47&gt;0),K47,"")</x:f>
        <x:v>88.01783050569487</x:v>
      </x:c>
      <x:c r="N47" s="17" t="str">
        <x:f>IF(AND(M47&lt;&gt;"",ABS(M47-$G$4)&lt;='Config'!$B$22),"SELECTED","")</x:f>
      </x:c>
    </x:row>
    <x:row r="48">
      <x:c r="A48" s="15" t="n">
        <x:v>284</x:v>
      </x:c>
      <x:c r="B48" s="117" t="n">
        <x:f>VALUE('Raw_Data'!I284)</x:f>
        <x:v>0.005000000000000099</x:v>
      </x:c>
      <x:c r="C48" s="117" t="n">
        <x:f>ROUND(B48,'Config'!$B$25)</x:f>
        <x:v>0.005</x:v>
      </x:c>
      <x:c r="D48" s="120" t="n">
        <x:f>VALUE('Raw_Data'!J284)</x:f>
        <x:v>2.287108290455236e-8</x:v>
      </x:c>
      <x:c r="E48" s="117" t="n">
        <x:f>LN(ABS(D48))/LN(10)</x:f>
        <x:v>-7.640713271845484</x:v>
      </x:c>
      <x:c r="F48" s="117" t="n">
        <x:f>B48</x:f>
        <x:v>0.005000000000000099</x:v>
      </x:c>
      <x:c r="G48" s="117" t="n">
        <x:f>B68</x:f>
        <x:v>0.1050000000000001</x:v>
      </x:c>
      <x:c r="H48" s="117" t="n">
        <x:f>MAX(E48:E68)-MIN(E48:E68)</x:f>
        <x:v>1.1333279521491715</x:v>
      </x:c>
      <x:c r="I48" s="117" t="n">
        <x:f>SLOPE(E48:E68,B48:B68)</x:f>
        <x:v>11.34355271757872</x:v>
      </x:c>
      <x:c r="J48" s="123" t="n">
        <x:f>RSQ(E48:E68,B48:B68)</x:f>
        <x:v>0.9999794521750981</x:v>
      </x:c>
      <x:c r="K48" s="117" t="n">
        <x:f>IF(I48&gt;0,'Config'!$B$17/I48,"")</x:f>
        <x:v>88.15580311539733</x:v>
      </x:c>
      <x:c r="L48" s="120" t="n">
        <x:f>MAX(D48:D68)</x:f>
        <x:v>3.108956749076387e-7</x:v>
      </x:c>
      <x:c r="M48" s="120" t="n">
        <x:f>IF(AND(H48&gt;='Config'!$B$14,J48&gt;='Config'!$B$15,L48&lt;=$E$4,I48&gt;0),K48,"")</x:f>
        <x:v>88.15580311539733</x:v>
      </x:c>
      <x:c r="N48" s="17" t="str">
        <x:f>IF(AND(M48&lt;&gt;"",ABS(M48-$G$4)&lt;='Config'!$B$22),"SELECTED","")</x:f>
      </x:c>
    </x:row>
    <x:row r="49">
      <x:c r="A49" s="15" t="n">
        <x:v>285</x:v>
      </x:c>
      <x:c r="B49" s="117" t="n">
        <x:f>VALUE('Raw_Data'!I285)</x:f>
        <x:v>0.0100000000000001</x:v>
      </x:c>
      <x:c r="C49" s="117" t="n">
        <x:f>ROUND(B49,'Config'!$B$25)</x:f>
        <x:v>0.01</x:v>
      </x:c>
      <x:c r="D49" s="120" t="n">
        <x:f>VALUE('Raw_Data'!J285)</x:f>
        <x:v>2.609616972837888e-8</x:v>
      </x:c>
      <x:c r="E49" s="117" t="n">
        <x:f>LN(ABS(D49))/LN(10)</x:f>
        <x:v>-7.583423231661759</x:v>
      </x:c>
      <x:c r="F49" s="117" t="n">
        <x:f>B49</x:f>
        <x:v>0.0100000000000001</x:v>
      </x:c>
      <x:c r="G49" s="117" t="n">
        <x:f>B69</x:f>
        <x:v>0.1100000000000001</x:v>
      </x:c>
      <x:c r="H49" s="117" t="n">
        <x:f>MAX(E49:E69)-MIN(E49:E69)</x:f>
        <x:v>1.131375682606337</x:v>
      </x:c>
      <x:c r="I49" s="117" t="n">
        <x:f>SLOPE(E49:E69,B49:B69)</x:f>
        <x:v>11.323915820089361</x:v>
      </x:c>
      <x:c r="J49" s="123" t="n">
        <x:f>RSQ(E49:E69,B49:B69)</x:f>
        <x:v>0.9999753662940497</x:v>
      </x:c>
      <x:c r="K49" s="117" t="n">
        <x:f>IF(I49&gt;0,'Config'!$B$17/I49,"")</x:f>
        <x:v>88.30867483365914</x:v>
      </x:c>
      <x:c r="L49" s="120" t="n">
        <x:f>MAX(D49:D69)</x:f>
        <x:v>3.531445033858148e-7</x:v>
      </x:c>
      <x:c r="M49" s="120" t="n">
        <x:f>IF(AND(H49&gt;='Config'!$B$14,J49&gt;='Config'!$B$15,L49&lt;=$E$4,I49&gt;0),K49,"")</x:f>
        <x:v>88.30867483365914</x:v>
      </x:c>
      <x:c r="N49" s="17" t="str">
        <x:f>IF(AND(M49&lt;&gt;"",ABS(M49-$G$4)&lt;='Config'!$B$22),"SELECTED","")</x:f>
      </x:c>
    </x:row>
    <x:row r="50">
      <x:c r="A50" s="15" t="n">
        <x:v>286</x:v>
      </x:c>
      <x:c r="B50" s="117" t="n">
        <x:f>VALUE('Raw_Data'!I286)</x:f>
        <x:v>0.0150000000000001</x:v>
      </x:c>
      <x:c r="C50" s="117" t="n">
        <x:f>ROUND(B50,'Config'!$B$25)</x:f>
        <x:v>0.015</x:v>
      </x:c>
      <x:c r="D50" s="120" t="n">
        <x:f>VALUE('Raw_Data'!J286)</x:f>
        <x:v>2.977572717949469e-8</x:v>
      </x:c>
      <x:c r="E50" s="117" t="n">
        <x:f>LN(ABS(D50))/LN(10)</x:f>
        <x:v>-7.526137623424177</x:v>
      </x:c>
      <x:c r="F50" s="117" t="n">
        <x:f>B50</x:f>
        <x:v>0.0150000000000001</x:v>
      </x:c>
      <x:c r="G50" s="117" t="n">
        <x:f>B70</x:f>
        <x:v>0.1150000000000001</x:v>
      </x:c>
      <x:c r="H50" s="117" t="n">
        <x:f>MAX(E50:E70)-MIN(E50:E70)</x:f>
        <x:v>1.1292339905977853</x:v>
      </x:c>
      <x:c r="I50" s="117" t="n">
        <x:f>SLOPE(E50:E70,B50:B70)</x:f>
        <x:v>11.302451359358763</x:v>
      </x:c>
      <x:c r="J50" s="123" t="n">
        <x:f>RSQ(E50:E70,B50:B70)</x:f>
        <x:v>0.999970905251351</x:v>
      </x:c>
      <x:c r="K50" s="117" t="n">
        <x:f>IF(I50&gt;0,'Config'!$B$17/I50,"")</x:f>
        <x:v>88.47638164547114</x:v>
      </x:c>
      <x:c r="L50" s="120" t="n">
        <x:f>MAX(D50:D70)</x:f>
        <x:v>4.009556772627965e-7</x:v>
      </x:c>
      <x:c r="M50" s="120" t="n">
        <x:f>IF(AND(H50&gt;='Config'!$B$14,J50&gt;='Config'!$B$15,L50&lt;=$E$4,I50&gt;0),K50,"")</x:f>
        <x:v>88.47638164547114</x:v>
      </x:c>
      <x:c r="N50" s="17" t="str">
        <x:f>IF(AND(M50&lt;&gt;"",ABS(M50-$G$4)&lt;='Config'!$B$22),"SELECTED","")</x:f>
      </x:c>
    </x:row>
    <x:row r="51">
      <x:c r="A51" s="15" t="n">
        <x:v>287</x:v>
      </x:c>
      <x:c r="B51" s="117" t="n">
        <x:f>VALUE('Raw_Data'!I287)</x:f>
        <x:v>0.0200000000000001</x:v>
      </x:c>
      <x:c r="C51" s="117" t="n">
        <x:f>ROUND(B51,'Config'!$B$25)</x:f>
        <x:v>0.02</x:v>
      </x:c>
      <x:c r="D51" s="120" t="n">
        <x:f>VALUE('Raw_Data'!J287)</x:f>
        <x:v>3.397277284792525e-8</x:v>
      </x:c>
      <x:c r="E51" s="117" t="n">
        <x:f>LN(ABS(D51))/LN(10)</x:f>
        <x:v>-7.468869004692904</x:v>
      </x:c>
      <x:c r="F51" s="117" t="n">
        <x:f>B51</x:f>
        <x:v>0.0200000000000001</x:v>
      </x:c>
      <x:c r="G51" s="117" t="n">
        <x:f>B71</x:f>
        <x:v>0.1200000000000001</x:v>
      </x:c>
      <x:c r="H51" s="117" t="n">
        <x:f>MAX(E51:E71)-MIN(E51:E71)</x:f>
        <x:v>1.1269054132147618</x:v>
      </x:c>
      <x:c r="I51" s="117" t="n">
        <x:f>SLOPE(E51:E71,B51:B71)</x:f>
        <x:v>11.2791745623322</x:v>
      </x:c>
      <x:c r="J51" s="123" t="n">
        <x:f>RSQ(E51:E71,B51:B71)</x:f>
        <x:v>0.9999660410428362</x:v>
      </x:c>
      <x:c r="K51" s="117" t="n">
        <x:f>IF(I51&gt;0,'Config'!$B$17/I51,"")</x:f>
        <x:v>88.6589700756639</x:v>
      </x:c>
      <x:c r="L51" s="120" t="n">
        <x:f>MAX(D51:D71)</x:f>
        <x:v>4.550262050904381e-7</x:v>
      </x:c>
      <x:c r="M51" s="120" t="n">
        <x:f>IF(AND(H51&gt;='Config'!$B$14,J51&gt;='Config'!$B$15,L51&lt;=$E$4,I51&gt;0),K51,"")</x:f>
        <x:v>88.6589700756639</x:v>
      </x:c>
      <x:c r="N51" s="17" t="str">
        <x:f>IF(AND(M51&lt;&gt;"",ABS(M51-$G$4)&lt;='Config'!$B$22),"SELECTED","")</x:f>
      </x:c>
    </x:row>
    <x:row r="52">
      <x:c r="A52" s="15" t="n">
        <x:v>288</x:v>
      </x:c>
      <x:c r="B52" s="117" t="n">
        <x:f>VALUE('Raw_Data'!I288)</x:f>
        <x:v>0.0250000000000001</x:v>
      </x:c>
      <x:c r="C52" s="117" t="n">
        <x:f>ROUND(B52,'Config'!$B$25)</x:f>
        <x:v>0.025</x:v>
      </x:c>
      <x:c r="D52" s="120" t="n">
        <x:f>VALUE('Raw_Data'!J288)</x:f>
        <x:v>3.875886391374027e-8</x:v>
      </x:c>
      <x:c r="E52" s="117" t="n">
        <x:f>LN(ABS(D52))/LN(10)</x:f>
        <x:v>-7.41162896132263</x:v>
      </x:c>
      <x:c r="F52" s="117" t="n">
        <x:f>B52</x:f>
        <x:v>0.0250000000000001</x:v>
      </x:c>
      <x:c r="G52" s="117" t="n">
        <x:f>B72</x:f>
        <x:v>0.1250000000000001</x:v>
      </x:c>
      <x:c r="H52" s="117" t="n">
        <x:f>MAX(E52:E72)-MIN(E52:E72)</x:f>
        <x:v>1.1243913294178798</x:v>
      </x:c>
      <x:c r="I52" s="117" t="n">
        <x:f>SLOPE(E52:E72,B52:B72)</x:f>
        <x:v>11.254090069158071</x:v>
      </x:c>
      <x:c r="J52" s="123" t="n">
        <x:f>RSQ(E52:E72,B52:B72)</x:f>
        <x:v>0.9999607403813823</x:v>
      </x:c>
      <x:c r="K52" s="117" t="n">
        <x:f>IF(I52&gt;0,'Config'!$B$17/I52,"")</x:f>
        <x:v>88.85658403787868</x:v>
      </x:c>
      <x:c r="L52" s="120" t="n">
        <x:f>MAX(D52:D72)</x:f>
        <x:v>5.161338802160976e-7</x:v>
      </x:c>
      <x:c r="M52" s="120" t="n">
        <x:f>IF(AND(H52&gt;='Config'!$B$14,J52&gt;='Config'!$B$15,L52&lt;=$E$4,I52&gt;0),K52,"")</x:f>
        <x:v>88.85658403787868</x:v>
      </x:c>
      <x:c r="N52" s="17" t="str">
        <x:f>IF(AND(M52&lt;&gt;"",ABS(M52-$G$4)&lt;='Config'!$B$22),"SELECTED","")</x:f>
      </x:c>
    </x:row>
    <x:row r="53">
      <x:c r="A53" s="15" t="n">
        <x:v>289</x:v>
      </x:c>
      <x:c r="B53" s="117" t="n">
        <x:f>VALUE('Raw_Data'!I289)</x:f>
        <x:v>0.0300000000000001</x:v>
      </x:c>
      <x:c r="C53" s="117" t="n">
        <x:f>ROUND(B53,'Config'!$B$25)</x:f>
        <x:v>0.03</x:v>
      </x:c>
      <x:c r="D53" s="120" t="n">
        <x:f>VALUE('Raw_Data'!J289)</x:f>
        <x:v>4.421521259087782e-8</x:v>
      </x:c>
      <x:c r="E53" s="117" t="n">
        <x:f>LN(ABS(D53))/LN(10)</x:f>
        <x:v>-7.354428282515338</x:v>
      </x:c>
      <x:c r="F53" s="117" t="n">
        <x:f>B53</x:f>
        <x:v>0.0300000000000001</x:v>
      </x:c>
      <x:c r="G53" s="117" t="n">
        <x:f>B73</x:f>
        <x:v>0.1300000000000001</x:v>
      </x:c>
      <x:c r="H53" s="117" t="n">
        <x:f>MAX(E53:E73)-MIN(E53:E73)</x:f>
        <x:v>1.1216921465968843</x:v>
      </x:c>
      <x:c r="I53" s="117" t="n">
        <x:f>SLOPE(E53:E73,B53:B73)</x:f>
        <x:v>11.227193644593774</x:v>
      </x:c>
      <x:c r="J53" s="123" t="n">
        <x:f>RSQ(E53:E73,B53:B73)</x:f>
        <x:v>0.9999549657769016</x:v>
      </x:c>
      <x:c r="K53" s="117" t="n">
        <x:f>IF(I53&gt;0,'Config'!$B$17/I53,"")</x:f>
        <x:v>89.06945329846783</x:v>
      </x:c>
      <x:c r="L53" s="120" t="n">
        <x:f>MAX(D53:D73)</x:f>
        <x:v>5.851454927207171e-7</x:v>
      </x:c>
      <x:c r="M53" s="120" t="n">
        <x:f>IF(AND(H53&gt;='Config'!$B$14,J53&gt;='Config'!$B$15,L53&lt;=$E$4,I53&gt;0),K53,"")</x:f>
        <x:v>89.06945329846783</x:v>
      </x:c>
      <x:c r="N53" s="17" t="str">
        <x:f>IF(AND(M53&lt;&gt;"",ABS(M53-$G$4)&lt;='Config'!$B$22),"SELECTED","")</x:f>
      </x:c>
    </x:row>
    <x:row r="54">
      <x:c r="A54" s="15" t="n">
        <x:v>290</x:v>
      </x:c>
      <x:c r="B54" s="117" t="n">
        <x:f>VALUE('Raw_Data'!I290)</x:f>
        <x:v>0.0350000000000001</x:v>
      </x:c>
      <x:c r="C54" s="117" t="n">
        <x:f>ROUND(B54,'Config'!$B$25)</x:f>
        <x:v>0.035</x:v>
      </x:c>
      <x:c r="D54" s="120" t="n">
        <x:f>VALUE('Raw_Data'!J290)</x:f>
        <x:v>5.043393871940648e-8</x:v>
      </x:c>
      <x:c r="E54" s="117" t="n">
        <x:f>LN(ABS(D54))/LN(10)</x:f>
        <x:v>-7.297277113591655</x:v>
      </x:c>
      <x:c r="F54" s="117" t="n">
        <x:f>B54</x:f>
        <x:v>0.0350000000000001</x:v>
      </x:c>
      <x:c r="G54" s="117" t="n">
        <x:f>B74</x:f>
        <x:v>0.1350000000000001</x:v>
      </x:c>
      <x:c r="H54" s="117" t="n">
        <x:f>MAX(E54:E74)-MIN(E54:E74)</x:f>
        <x:v>1.1188074687474545</x:v>
      </x:c>
      <x:c r="I54" s="117" t="n">
        <x:f>SLOPE(E54:E74,B54:B74)</x:f>
        <x:v>11.198473727099229</x:v>
      </x:c>
      <x:c r="J54" s="123" t="n">
        <x:f>RSQ(E54:E74,B54:B74)</x:f>
        <x:v>0.9999486764186637</x:v>
      </x:c>
      <x:c r="K54" s="117" t="n">
        <x:f>IF(I54&gt;0,'Config'!$B$17/I54,"")</x:f>
        <x:v>89.29788329815841</x:v>
      </x:c>
      <x:c r="L54" s="120" t="n">
        <x:f>MAX(D54:D74)</x:f>
        <x:v>6.630256884499344e-7</x:v>
      </x:c>
      <x:c r="M54" s="120" t="n">
        <x:f>IF(AND(H54&gt;='Config'!$B$14,J54&gt;='Config'!$B$15,L54&lt;=$E$4,I54&gt;0),K54,"")</x:f>
        <x:v>89.29788329815841</x:v>
      </x:c>
      <x:c r="N54" s="17" t="str">
        <x:f>IF(AND(M54&lt;&gt;"",ABS(M54-$G$4)&lt;='Config'!$B$22),"SELECTED","")</x:f>
      </x:c>
    </x:row>
    <x:row r="55">
      <x:c r="A55" s="15" t="n">
        <x:v>291</x:v>
      </x:c>
      <x:c r="B55" s="117" t="n">
        <x:f>VALUE('Raw_Data'!I291)</x:f>
        <x:v>0.0400000000000001</x:v>
      </x:c>
      <x:c r="C55" s="117" t="n">
        <x:f>ROUND(B55,'Config'!$B$25)</x:f>
        <x:v>0.04</x:v>
      </x:c>
      <x:c r="D55" s="120" t="n">
        <x:f>VALUE('Raw_Data'!J291)</x:f>
        <x:v>5.751947465615888e-8</x:v>
      </x:c>
      <x:c r="E55" s="117" t="n">
        <x:f>LN(ABS(D55))/LN(10)</x:f>
        <x:v>-7.240185089158087</x:v>
      </x:c>
      <x:c r="F55" s="117" t="n">
        <x:f>B55</x:f>
        <x:v>0.0400000000000001</x:v>
      </x:c>
      <x:c r="G55" s="117" t="n">
        <x:f>B75</x:f>
        <x:v>0.1400000000000002</x:v>
      </x:c>
      <x:c r="H55" s="117" t="n">
        <x:f>MAX(E55:E75)-MIN(E55:E75)</x:f>
        <x:v>1.1157362486560176</x:v>
      </x:c>
      <x:c r="I55" s="117" t="n">
        <x:f>SLOPE(E55:E75,B55:B75)</x:f>
        <x:v>11.167912839191873</x:v>
      </x:c>
      <x:c r="J55" s="123" t="n">
        <x:f>RSQ(E55:E75,B55:B75)</x:f>
        <x:v>0.9999418289312604</x:v>
      </x:c>
      <x:c r="K55" s="117" t="n">
        <x:f>IF(I55&gt;0,'Config'!$B$17/I55,"")</x:f>
        <x:v>89.54224611161646</x:v>
      </x:c>
      <x:c r="L55" s="120" t="n">
        <x:f>MAX(D55:D75)</x:f>
        <x:v>7.508464979502032e-7</x:v>
      </x:c>
      <x:c r="M55" s="120" t="n">
        <x:f>IF(AND(H55&gt;='Config'!$B$14,J55&gt;='Config'!$B$15,L55&lt;=$E$4,I55&gt;0),K55,"")</x:f>
        <x:v>89.54224611161646</x:v>
      </x:c>
      <x:c r="N55" s="17" t="str">
        <x:f>IF(AND(M55&lt;&gt;"",ABS(M55-$G$4)&lt;='Config'!$B$22),"SELECTED","")</x:f>
      </x:c>
    </x:row>
    <x:row r="56">
      <x:c r="A56" s="15" t="n">
        <x:v>292</x:v>
      </x:c>
      <x:c r="B56" s="117" t="n">
        <x:f>VALUE('Raw_Data'!I292)</x:f>
        <x:v>0.0450000000000001</x:v>
      </x:c>
      <x:c r="C56" s="117" t="n">
        <x:f>ROUND(B56,'Config'!$B$25)</x:f>
        <x:v>0.045</x:v>
      </x:c>
      <x:c r="D56" s="120" t="n">
        <x:f>VALUE('Raw_Data'!J292)</x:f>
        <x:v>6.559013895214705e-8</x:v>
      </x:c>
      <x:c r="E56" s="117" t="n">
        <x:f>LN(ABS(D56))/LN(10)</x:f>
        <x:v>-7.183161449047852</x:v>
      </x:c>
      <x:c r="F56" s="117" t="n">
        <x:f>B56</x:f>
        <x:v>0.0450000000000001</x:v>
      </x:c>
      <x:c r="G56" s="117" t="n">
        <x:f>B76</x:f>
        <x:v>0.1450000000000002</x:v>
      </x:c>
      <x:c r="H56" s="117" t="n">
        <x:f>MAX(E56:E76)-MIN(E56:E76)</x:f>
        <x:v>1.1124769261136889</x:v>
      </x:c>
      <x:c r="I56" s="117" t="n">
        <x:f>SLOPE(E56:E76,B56:B76)</x:f>
        <x:v>11.13548887891016</x:v>
      </x:c>
      <x:c r="J56" s="123" t="n">
        <x:f>RSQ(E56:E76,B56:B76)</x:f>
        <x:v>0.9999343780565674</x:v>
      </x:c>
      <x:c r="K56" s="117" t="n">
        <x:f>IF(I56&gt;0,'Config'!$B$17/I56,"")</x:f>
        <x:v>89.80297235929447</x:v>
      </x:c>
      <x:c r="L56" s="120" t="n">
        <x:f>MAX(D56:D76)</x:f>
        <x:v>8.497975546936707e-7</x:v>
      </x:c>
      <x:c r="M56" s="120" t="n">
        <x:f>IF(AND(H56&gt;='Config'!$B$14,J56&gt;='Config'!$B$15,L56&lt;=$E$4,I56&gt;0),K56,"")</x:f>
        <x:v>89.80297235929447</x:v>
      </x:c>
      <x:c r="N56" s="17" t="str">
        <x:f>IF(AND(M56&lt;&gt;"",ABS(M56-$G$4)&lt;='Config'!$B$22),"SELECTED","")</x:f>
      </x:c>
    </x:row>
    <x:row r="57">
      <x:c r="A57" s="15" t="n">
        <x:v>293</x:v>
      </x:c>
      <x:c r="B57" s="117" t="n">
        <x:f>VALUE('Raw_Data'!I293)</x:f>
        <x:v>0.05000000000000009</x:v>
      </x:c>
      <x:c r="C57" s="117" t="n">
        <x:f>ROUND(B57,'Config'!$B$25)</x:f>
        <x:v>0.05</x:v>
      </x:c>
      <x:c r="D57" s="120" t="n">
        <x:f>VALUE('Raw_Data'!J293)</x:f>
        <x:v>7.477989669704964e-8</x:v>
      </x:c>
      <x:c r="E57" s="117" t="n">
        <x:f>LN(ABS(D57))/LN(10)</x:f>
        <x:v>-7.126215139127403</x:v>
      </x:c>
      <x:c r="F57" s="117" t="n">
        <x:f>B57</x:f>
        <x:v>0.05000000000000009</x:v>
      </x:c>
      <x:c r="G57" s="117" t="n">
        <x:f>B77</x:f>
        <x:v>0.1500000000000002</x:v>
      </x:c>
      <x:c r="H57" s="117" t="n">
        <x:f>MAX(E57:E77)-MIN(E57:E77)</x:f>
        <x:v>1.109027553807354</x:v>
      </x:c>
      <x:c r="I57" s="117" t="n">
        <x:f>SLOPE(E57:E77,B57:B77)</x:f>
        <x:v>11.10117630853229</x:v>
      </x:c>
      <x:c r="J57" s="123" t="n">
        <x:f>RSQ(E57:E77,B57:B77)</x:f>
        <x:v>0.999926277298846</x:v>
      </x:c>
      <x:c r="K57" s="117" t="n">
        <x:f>IF(I57&gt;0,'Config'!$B$17/I57,"")</x:f>
        <x:v>90.08054391780145</x:v>
      </x:c>
      <x:c r="L57" s="120" t="n">
        <x:f>MAX(D57:D77)</x:f>
        <x:v>9.611970177636994e-7</x:v>
      </x:c>
      <x:c r="M57" s="120" t="n">
        <x:f>IF(AND(H57&gt;='Config'!$B$14,J57&gt;='Config'!$B$15,L57&lt;=$E$4,I57&gt;0),K57,"")</x:f>
        <x:v>90.08054391780145</x:v>
      </x:c>
      <x:c r="N57" s="17" t="str">
        <x:f>IF(AND(M57&lt;&gt;"",ABS(M57-$G$4)&lt;='Config'!$B$22),"SELECTED","")</x:f>
      </x:c>
    </x:row>
    <x:row r="58">
      <x:c r="A58" s="15" t="n">
        <x:v>294</x:v>
      </x:c>
      <x:c r="B58" s="117" t="n">
        <x:f>VALUE('Raw_Data'!I294)</x:f>
        <x:v>0.05500000000000009</x:v>
      </x:c>
      <x:c r="C58" s="117" t="n">
        <x:f>ROUND(B58,'Config'!$B$25)</x:f>
        <x:v>0.055</x:v>
      </x:c>
      <x:c r="D58" s="120" t="n">
        <x:f>VALUE('Raw_Data'!J294)</x:f>
        <x:v>8.524032584503317e-8</x:v>
      </x:c>
      <x:c r="E58" s="117" t="n">
        <x:f>LN(ABS(D58))/LN(10)</x:f>
        <x:v>-7.069354898793248</x:v>
      </x:c>
      <x:c r="F58" s="117" t="n">
        <x:f>B58</x:f>
        <x:v>0.05500000000000009</x:v>
      </x:c>
      <x:c r="G58" s="117" t="n">
        <x:f>B78</x:f>
        <x:v>0.1550000000000002</x:v>
      </x:c>
      <x:c r="H58" s="117" t="n">
        <x:f>MAX(E58:E78)-MIN(E58:E78)</x:f>
        <x:v>1.1053859121657093</x:v>
      </x:c>
      <x:c r="I58" s="117" t="n">
        <x:f>SLOPE(E58:E78,B58:B78)</x:f>
        <x:v>11.064947253043316</x:v>
      </x:c>
      <x:c r="J58" s="123" t="n">
        <x:f>RSQ(E58:E78,B58:B78)</x:f>
        <x:v>0.9999174795573398</x:v>
      </x:c>
      <x:c r="K58" s="117" t="n">
        <x:f>IF(I58&gt;0,'Config'!$B$17/I58,"")</x:f>
        <x:v>90.37548730518881</x:v>
      </x:c>
      <x:c r="L58" s="120" t="n">
        <x:f>MAX(D58:D78)</x:f>
        <x:v>0.000001086503209050449</x:v>
      </x:c>
      <x:c r="M58" s="120" t="n">
        <x:f>IF(AND(H58&gt;='Config'!$B$14,J58&gt;='Config'!$B$15,L58&lt;=$E$4,I58&gt;0),K58,"")</x:f>
        <x:v>90.37548730518881</x:v>
      </x:c>
      <x:c r="N58" s="17" t="str">
        <x:f>IF(AND(M58&lt;&gt;"",ABS(M58-$G$4)&lt;='Config'!$B$22),"SELECTED","")</x:f>
      </x:c>
    </x:row>
    <x:row r="59">
      <x:c r="A59" s="15" t="n">
        <x:v>295</x:v>
      </x:c>
      <x:c r="B59" s="117" t="n">
        <x:f>VALUE('Raw_Data'!I295)</x:f>
        <x:v>0.06000000000000009</x:v>
      </x:c>
      <x:c r="C59" s="117" t="n">
        <x:f>ROUND(B59,'Config'!$B$25)</x:f>
        <x:v>0.06</x:v>
      </x:c>
      <x:c r="D59" s="120" t="n">
        <x:f>VALUE('Raw_Data'!J295)</x:f>
        <x:v>9.714281029803717e-8</x:v>
      </x:c>
      <x:c r="E59" s="117" t="n">
        <x:f>LN(ABS(D59))/LN(10)</x:f>
        <x:v>-7.012589336736199</x:v>
      </x:c>
      <x:c r="F59" s="117" t="n">
        <x:f>B59</x:f>
        <x:v>0.06000000000000009</x:v>
      </x:c>
      <x:c r="G59" s="117" t="n">
        <x:f>B79</x:f>
        <x:v>0.1600000000000002</x:v>
      </x:c>
      <x:c r="H59" s="117" t="n">
        <x:f>MAX(E59:E79)-MIN(E59:E79)</x:f>
        <x:v>1.1015496140744387</x:v>
      </x:c>
      <x:c r="I59" s="117" t="n">
        <x:f>SLOPE(E59:E79,B59:B79)</x:f>
        <x:v>11.026772517251386</x:v>
      </x:c>
      <x:c r="J59" s="123" t="n">
        <x:f>RSQ(E59:E79,B59:B79)</x:f>
        <x:v>0.9999079377594767</x:v>
      </x:c>
      <x:c r="K59" s="117" t="n">
        <x:f>IF(I59&gt;0,'Config'!$B$17/I59,"")</x:f>
        <x:v>90.68836764660738</x:v>
      </x:c>
      <x:c r="L59" s="120" t="n">
        <x:f>MAX(D59:D79)</x:f>
        <x:v>0.000001227326968797892</x:v>
      </x:c>
      <x:c r="M59" s="120" t="n">
        <x:f>IF(AND(H59&gt;='Config'!$B$14,J59&gt;='Config'!$B$15,L59&lt;=$E$4,I59&gt;0),K59,"")</x:f>
        <x:v>90.68836764660738</x:v>
      </x:c>
      <x:c r="N59" s="17" t="str">
        <x:f>IF(AND(M59&lt;&gt;"",ABS(M59-$G$4)&lt;='Config'!$B$22),"SELECTED","")</x:f>
      </x:c>
    </x:row>
    <x:row r="60">
      <x:c r="A60" s="15" t="n">
        <x:v>296</x:v>
      </x:c>
      <x:c r="B60" s="117" t="n">
        <x:f>VALUE('Raw_Data'!I296)</x:f>
        <x:v>0.06500000000000009</x:v>
      </x:c>
      <x:c r="C60" s="117" t="n">
        <x:f>ROUND(B60,'Config'!$B$25)</x:f>
        <x:v>0.065</x:v>
      </x:c>
      <x:c r="D60" s="120" t="n">
        <x:f>VALUE('Raw_Data'!J296)</x:f>
        <x:v>1.106809819940524e-7</x:v>
      </x:c>
      <x:c r="E60" s="117" t="n">
        <x:f>LN(ABS(D60))/LN(10)</x:f>
        <x:v>-6.955926996326293</x:v>
      </x:c>
      <x:c r="F60" s="117" t="n">
        <x:f>B60</x:f>
        <x:v>0.06500000000000009</x:v>
      </x:c>
      <x:c r="G60" s="117" t="n">
        <x:f>B80</x:f>
        <x:v>0.1650000000000002</x:v>
      </x:c>
      <x:c r="H60" s="117" t="n">
        <x:f>MAX(E60:E80)-MIN(E60:E80)</x:f>
        <x:v>1.0975162000256722</x:v>
      </x:c>
      <x:c r="I60" s="117" t="n">
        <x:f>SLOPE(E60:E80,B60:B80)</x:f>
        <x:v>10.986622526941908</x:v>
      </x:c>
      <x:c r="J60" s="123" t="n">
        <x:f>RSQ(E60:E80,B60:B80)</x:f>
        <x:v>0.9998976054973983</x:v>
      </x:c>
      <x:c r="K60" s="117" t="n">
        <x:f>IF(I60&gt;0,'Config'!$B$17/I60,"")</x:f>
        <x:v>91.01978315426359</x:v>
      </x:c>
      <x:c r="L60" s="120" t="n">
        <x:f>MAX(D60:D80)</x:f>
        <x:v>0.000001385444725812803</x:v>
      </x:c>
      <x:c r="M60" s="120" t="n">
        <x:f>IF(AND(H60&gt;='Config'!$B$14,J60&gt;='Config'!$B$15,L60&lt;=$E$4,I60&gt;0),K60,"")</x:f>
        <x:v>91.01978315426359</x:v>
      </x:c>
      <x:c r="N60" s="17" t="str">
        <x:f>IF(AND(M60&lt;&gt;"",ABS(M60-$G$4)&lt;='Config'!$B$22),"SELECTED","")</x:f>
      </x:c>
    </x:row>
    <x:row r="61">
      <x:c r="A61" s="15" t="n">
        <x:v>297</x:v>
      </x:c>
      <x:c r="B61" s="117" t="n">
        <x:f>VALUE('Raw_Data'!I297)</x:f>
        <x:v>0.07000000000000009</x:v>
      </x:c>
      <x:c r="C61" s="117" t="n">
        <x:f>ROUND(B61,'Config'!$B$25)</x:f>
        <x:v>0.07</x:v>
      </x:c>
      <x:c r="D61" s="120" t="n">
        <x:f>VALUE('Raw_Data'!J297)</x:f>
        <x:v>1.260734357078407e-7</x:v>
      </x:c>
      <x:c r="E61" s="117" t="n">
        <x:f>LN(ABS(D61))/LN(10)</x:f>
        <x:v>-6.899376411768214</x:v>
      </x:c>
      <x:c r="F61" s="117" t="n">
        <x:f>B61</x:f>
        <x:v>0.07000000000000009</x:v>
      </x:c>
      <x:c r="G61" s="117" t="n">
        <x:f>B81</x:f>
        <x:v>0.1700000000000002</x:v>
      </x:c>
      <x:c r="H61" s="117" t="n">
        <x:f>MAX(E61:E81)-MIN(E61:E81)</x:f>
        <x:v>1.0932832239324126</x:v>
      </x:c>
      <x:c r="I61" s="117" t="n">
        <x:f>SLOPE(E61:E81,B61:B81)</x:f>
        <x:v>10.944468196040638</x:v>
      </x:c>
      <x:c r="J61" s="123" t="n">
        <x:f>RSQ(E61:E81,B61:B81)</x:f>
        <x:v>0.9998864376604429</x:v>
      </x:c>
      <x:c r="K61" s="117" t="n">
        <x:f>IF(I61&gt;0,'Config'!$B$17/I61,"")</x:f>
        <x:v>91.37036008398913</x:v>
      </x:c>
      <x:c r="L61" s="120" t="n">
        <x:f>MAX(D61:D81)</x:f>
        <x:v>0.000001562812269466721</x:v>
      </x:c>
      <x:c r="M61" s="120" t="n">
        <x:f>IF(AND(H61&gt;='Config'!$B$14,J61&gt;='Config'!$B$15,L61&lt;=$E$4,I61&gt;0),K61,"")</x:f>
        <x:v>91.37036008398913</x:v>
      </x:c>
      <x:c r="N61" s="17" t="str">
        <x:f>IF(AND(M61&lt;&gt;"",ABS(M61-$G$4)&lt;='Config'!$B$22),"SELECTED","")</x:f>
      </x:c>
    </x:row>
    <x:row r="62">
      <x:c r="A62" s="15" t="n">
        <x:v>298</x:v>
      </x:c>
      <x:c r="B62" s="117" t="n">
        <x:f>VALUE('Raw_Data'!I298)</x:f>
        <x:v>0.0750000000000001</x:v>
      </x:c>
      <x:c r="C62" s="117" t="n">
        <x:f>ROUND(B62,'Config'!$B$25)</x:f>
        <x:v>0.075</x:v>
      </x:c>
      <x:c r="D62" s="120" t="n">
        <x:f>VALUE('Raw_Data'!J298)</x:f>
        <x:v>1.435667416938999e-7</x:v>
      </x:c>
      <x:c r="E62" s="117" t="n">
        <x:f>LN(ABS(D62))/LN(10)</x:f>
        <x:v>-6.842946155996962</x:v>
      </x:c>
      <x:c r="F62" s="117" t="n">
        <x:f>B62</x:f>
        <x:v>0.0750000000000001</x:v>
      </x:c>
      <x:c r="G62" s="117" t="n">
        <x:f>B82</x:f>
        <x:v>0.1750000000000002</x:v>
      </x:c>
      <x:c r="H62" s="117" t="n">
        <x:f>MAX(E62:E82)-MIN(E62:E82)</x:f>
        <x:v>1.0888483295316052</x:v>
      </x:c>
      <x:c r="I62" s="117" t="n">
        <x:f>SLOPE(E62:E82,B62:B82)</x:f>
        <x:v>10.900281718477759</x:v>
      </x:c>
      <x:c r="J62" s="123" t="n">
        <x:f>RSQ(E62:E82,B62:B82)</x:f>
        <x:v>0.9998743910462488</x:v>
      </x:c>
      <x:c r="K62" s="117" t="n">
        <x:f>IF(I62&gt;0,'Config'!$B$17/I62,"")</x:f>
        <x:v>91.74074815927341</x:v>
      </x:c>
      <x:c r="L62" s="120" t="n">
        <x:f>MAX(D62:D82)</x:f>
        <x:v>0.000001761579199377998</x:v>
      </x:c>
      <x:c r="M62" s="120" t="n">
        <x:f>IF(AND(H62&gt;='Config'!$B$14,J62&gt;='Config'!$B$15,L62&lt;=$E$4,I62&gt;0),K62,"")</x:f>
        <x:v>91.74074815927341</x:v>
      </x:c>
      <x:c r="N62" s="17" t="str">
        <x:f>IF(AND(M62&lt;&gt;"",ABS(M62-$G$4)&lt;='Config'!$B$22),"SELECTED","")</x:f>
      </x:c>
    </x:row>
    <x:row r="63">
      <x:c r="A63" s="15" t="n">
        <x:v>299</x:v>
      </x:c>
      <x:c r="B63" s="117" t="n">
        <x:f>VALUE('Raw_Data'!I299)</x:f>
        <x:v>0.0800000000000001</x:v>
      </x:c>
      <x:c r="C63" s="117" t="n">
        <x:f>ROUND(B63,'Config'!$B$25)</x:f>
        <x:v>0.08</x:v>
      </x:c>
      <x:c r="D63" s="120" t="n">
        <x:f>VALUE('Raw_Data'!J299)</x:f>
        <x:v>1.634387826574535e-7</x:v>
      </x:c>
      <x:c r="E63" s="117" t="n">
        <x:f>LN(ABS(D63))/LN(10)</x:f>
        <x:v>-6.786644881123035</x:v>
      </x:c>
      <x:c r="F63" s="117" t="n">
        <x:f>B63</x:f>
        <x:v>0.0800000000000001</x:v>
      </x:c>
      <x:c r="G63" s="117" t="n">
        <x:f>B83</x:f>
        <x:v>0.1800000000000002</x:v>
      </x:c>
      <x:c r="H63" s="117" t="n">
        <x:f>MAX(E63:E83)-MIN(E63:E83)</x:f>
        <x:v>1.0842093170208766</x:v>
      </x:c>
      <x:c r="I63" s="117" t="n">
        <x:f>SLOPE(E63:E83,B63:B83)</x:f>
        <x:v>10.854037280346809</x:v>
      </x:c>
      <x:c r="J63" s="123" t="n">
        <x:f>RSQ(E63:E83,B63:B83)</x:f>
        <x:v>0.9998614249231282</x:v>
      </x:c>
      <x:c r="K63" s="117" t="n">
        <x:f>IF(I63&gt;0,'Config'!$B$17/I63,"")</x:f>
        <x:v>92.13161648253045</x:v>
      </x:c>
      <x:c r="L63" s="120" t="n">
        <x:f>MAX(D63:D83)</x:f>
        <x:v>0.000001984104014801174</x:v>
      </x:c>
      <x:c r="M63" s="120" t="n">
        <x:f>IF(AND(H63&gt;='Config'!$B$14,J63&gt;='Config'!$B$15,L63&lt;=$E$4,I63&gt;0),K63,"")</x:f>
        <x:v>92.13161648253045</x:v>
      </x:c>
      <x:c r="N63" s="17" t="str">
        <x:f>IF(AND(M63&lt;&gt;"",ABS(M63-$G$4)&lt;='Config'!$B$22),"SELECTED","")</x:f>
      </x:c>
    </x:row>
    <x:row r="64">
      <x:c r="A64" s="15" t="n">
        <x:v>300</x:v>
      </x:c>
      <x:c r="B64" s="117" t="n">
        <x:f>VALUE('Raw_Data'!I300)</x:f>
        <x:v>0.0850000000000001</x:v>
      </x:c>
      <x:c r="C64" s="117" t="n">
        <x:f>ROUND(B64,'Config'!$B$25)</x:f>
        <x:v>0.085</x:v>
      </x:c>
      <x:c r="D64" s="120" t="n">
        <x:f>VALUE('Raw_Data'!J300)</x:f>
        <x:v>1.860024427952476e-7</x:v>
      </x:c>
      <x:c r="E64" s="117" t="n">
        <x:f>LN(ABS(D64))/LN(10)</x:f>
        <x:v>-6.730481352096438</x:v>
      </x:c>
      <x:c r="F64" s="117" t="n">
        <x:f>B64</x:f>
        <x:v>0.0850000000000001</x:v>
      </x:c>
      <x:c r="G64" s="117" t="n">
        <x:f>B84</x:f>
        <x:v>0.1850000000000002</x:v>
      </x:c>
      <x:c r="H64" s="117" t="n">
        <x:f>MAX(E64:E84)-MIN(E64:E84)</x:f>
        <x:v>1.079364199337494</x:v>
      </x:c>
      <x:c r="I64" s="117" t="n">
        <x:f>SLOPE(E64:E84,B64:B84)</x:f>
        <x:v>10.8057116851121</x:v>
      </x:c>
      <x:c r="J64" s="123" t="n">
        <x:f>RSQ(E64:E84,B64:B84)</x:f>
        <x:v>0.9998475015064283</x:v>
      </x:c>
      <x:c r="K64" s="117" t="n">
        <x:f>IF(I64&gt;0,'Config'!$B$17/I64,"")</x:f>
        <x:v>92.5436499826088</x:v>
      </x:c>
      <x:c r="L64" s="120" t="n">
        <x:f>MAX(D64:D84)</x:f>
        <x:v>0.000002232969788608805</x:v>
      </x:c>
      <x:c r="M64" s="120" t="n">
        <x:f>IF(AND(H64&gt;='Config'!$B$14,J64&gt;='Config'!$B$15,L64&lt;=$E$4,I64&gt;0),K64,"")</x:f>
        <x:v>92.5436499826088</x:v>
      </x:c>
      <x:c r="N64" s="17" t="str">
        <x:f>IF(AND(M64&lt;&gt;"",ABS(M64-$G$4)&lt;='Config'!$B$22),"SELECTED","")</x:f>
      </x:c>
    </x:row>
    <x:row r="65">
      <x:c r="A65" s="15" t="n">
        <x:v>301</x:v>
      </x:c>
      <x:c r="B65" s="117" t="n">
        <x:f>VALUE('Raw_Data'!I301)</x:f>
        <x:v>0.09000000000000011</x:v>
      </x:c>
      <x:c r="C65" s="117" t="n">
        <x:f>ROUND(B65,'Config'!$B$25)</x:f>
        <x:v>0.09</x:v>
      </x:c>
      <x:c r="D65" s="120" t="n">
        <x:f>VALUE('Raw_Data'!J301)</x:f>
        <x:v>2.116096777673938e-7</x:v>
      </x:c>
      <x:c r="E65" s="117" t="n">
        <x:f>LN(ABS(D65))/LN(10)</x:f>
        <x:v>-6.6744644741374906</x:v>
      </x:c>
      <x:c r="F65" s="117" t="n">
        <x:f>B65</x:f>
        <x:v>0.09000000000000011</x:v>
      </x:c>
      <x:c r="G65" s="117" t="n">
        <x:f>B85</x:f>
        <x:v>0.1900000000000002</x:v>
      </x:c>
      <x:c r="H65" s="117" t="n">
        <x:f>MAX(E65:E85)-MIN(E65:E85)</x:f>
        <x:v>1.0743112473015008</x:v>
      </x:c>
      <x:c r="I65" s="117" t="n">
        <x:f>SLOPE(E65:E85,B65:B85)</x:f>
        <x:v>10.755284882126222</x:v>
      </x:c>
      <x:c r="J65" s="123" t="n">
        <x:f>RSQ(E65:E85,B65:B85)</x:f>
        <x:v>0.9998325863021015</x:v>
      </x:c>
      <x:c r="K65" s="117" t="n">
        <x:f>IF(I65&gt;0,'Config'!$B$17/I65,"")</x:f>
        <x:v>92.97754647688227</x:v>
      </x:c>
      <x:c r="L65" s="120" t="n">
        <x:f>MAX(D65:D85)</x:f>
        <x:v>0.000002511000349515585</x:v>
      </x:c>
      <x:c r="M65" s="120" t="n">
        <x:f>IF(AND(H65&gt;='Config'!$B$14,J65&gt;='Config'!$B$15,L65&lt;=$E$4,I65&gt;0),K65,"")</x:f>
        <x:v>92.97754647688227</x:v>
      </x:c>
      <x:c r="N65" s="17" t="str">
        <x:f>IF(AND(M65&lt;&gt;"",ABS(M65-$G$4)&lt;='Config'!$B$22),"SELECTED","")</x:f>
      </x:c>
    </x:row>
    <x:row r="66">
      <x:c r="A66" s="15" t="n">
        <x:v>302</x:v>
      </x:c>
      <x:c r="B66" s="117" t="n">
        <x:f>VALUE('Raw_Data'!I302)</x:f>
        <x:v>0.09500000000000011</x:v>
      </x:c>
      <x:c r="C66" s="117" t="n">
        <x:f>ROUND(B66,'Config'!$B$25)</x:f>
        <x:v>0.095</x:v>
      </x:c>
      <x:c r="D66" s="120" t="n">
        <x:f>VALUE('Raw_Data'!J302)</x:f>
        <x:v>2.406559954042008e-7</x:v>
      </x:c>
      <x:c r="E66" s="117" t="n">
        <x:f>LN(ABS(D66))/LN(10)</x:f>
        <x:v>-6.618603314379195</x:v>
      </x:c>
      <x:c r="F66" s="117" t="n">
        <x:f>B66</x:f>
        <x:v>0.09500000000000011</x:v>
      </x:c>
      <x:c r="G66" s="117" t="n">
        <x:f>B86</x:f>
        <x:v>0.1950000000000002</x:v>
      </x:c>
      <x:c r="H66" s="117" t="n">
        <x:f>MAX(E66:E86)-MIN(E66:E86)</x:f>
        <x:v>1.0690490227225347</x:v>
      </x:c>
      <x:c r="I66" s="117" t="n">
        <x:f>SLOPE(E66:E86,B66:B86)</x:f>
        <x:v>10.702740386693927</x:v>
      </x:c>
      <x:c r="J66" s="123" t="n">
        <x:f>RSQ(E66:E86,B66:B86)</x:f>
        <x:v>0.9998166482620597</x:v>
      </x:c>
      <x:c r="K66" s="117" t="n">
        <x:f>IF(I66&gt;0,'Config'!$B$17/I66,"")</x:f>
        <x:v>93.4340144551427</x:v>
      </x:c>
      <x:c r="L66" s="120" t="n">
        <x:f>MAX(D66:D86)</x:f>
        <x:v>0.000002821276869952502</x:v>
      </x:c>
      <x:c r="M66" s="120" t="n">
        <x:f>IF(AND(H66&gt;='Config'!$B$14,J66&gt;='Config'!$B$15,L66&lt;=$E$4,I66&gt;0),K66,"")</x:f>
        <x:v>93.4340144551427</x:v>
      </x:c>
      <x:c r="N66" s="17" t="str">
        <x:f>IF(AND(M66&lt;&gt;"",ABS(M66-$G$4)&lt;='Config'!$B$22),"SELECTED","")</x:f>
      </x:c>
    </x:row>
    <x:row r="67">
      <x:c r="A67" s="15" t="n">
        <x:v>303</x:v>
      </x:c>
      <x:c r="B67" s="117" t="n">
        <x:f>VALUE('Raw_Data'!I303)</x:f>
        <x:v>0.1000000000000001</x:v>
      </x:c>
      <x:c r="C67" s="117" t="n">
        <x:f>ROUND(B67,'Config'!$B$25)</x:f>
        <x:v>0.1</x:v>
      </x:c>
      <x:c r="D67" s="120" t="n">
        <x:f>VALUE('Raw_Data'!J303)</x:f>
        <x:v>2.735853776753727e-7</x:v>
      </x:c>
      <x:c r="E67" s="117" t="n">
        <x:f>LN(ABS(D67))/LN(10)</x:f>
        <x:v>-6.562907118079845</x:v>
      </x:c>
      <x:c r="F67" s="117" t="n">
        <x:f>B67</x:f>
        <x:v>0.1000000000000001</x:v>
      </x:c>
      <x:c r="G67" s="117" t="n">
        <x:f>B87</x:f>
        <x:v>0.2000000000000002</x:v>
      </x:c>
      <x:c r="H67" s="117" t="n">
        <x:f>MAX(E67:E87)-MIN(E67:E87)</x:f>
        <x:v>1.0635763985219118</x:v>
      </x:c>
      <x:c r="I67" s="117" t="n">
        <x:f>SLOPE(E67:E87,B67:B87)</x:f>
        <x:v>10.648065578494801</x:v>
      </x:c>
      <x:c r="J67" s="123" t="n">
        <x:f>RSQ(E67:E87,B67:B87)</x:f>
        <x:v>0.9997996596888524</x:v>
      </x:c>
      <x:c r="K67" s="117" t="n">
        <x:f>IF(I67&gt;0,'Config'!$B$17/I67,"")</x:f>
        <x:v>93.91377172015491</x:v>
      </x:c>
      <x:c r="L67" s="120" t="n">
        <x:f>MAX(D67:D87)</x:f>
        <x:v>0.000003167154724744083</x:v>
      </x:c>
      <x:c r="M67" s="120" t="n">
        <x:f>IF(AND(H67&gt;='Config'!$B$14,J67&gt;='Config'!$B$15,L67&lt;=$E$4,I67&gt;0),K67,"")</x:f>
        <x:v>93.91377172015491</x:v>
      </x:c>
      <x:c r="N67" s="17" t="str">
        <x:f>IF(AND(M67&lt;&gt;"",ABS(M67-$G$4)&lt;='Config'!$B$22),"SELECTED","")</x:f>
      </x:c>
    </x:row>
    <x:row r="68">
      <x:c r="A68" s="15" t="n">
        <x:v>304</x:v>
      </x:c>
      <x:c r="B68" s="117" t="n">
        <x:f>VALUE('Raw_Data'!I304)</x:f>
        <x:v>0.1050000000000001</x:v>
      </x:c>
      <x:c r="C68" s="117" t="n">
        <x:f>ROUND(B68,'Config'!$B$25)</x:f>
        <x:v>0.105</x:v>
      </x:c>
      <x:c r="D68" s="120" t="n">
        <x:f>VALUE('Raw_Data'!J304)</x:f>
        <x:v>3.108956749076387e-7</x:v>
      </x:c>
      <x:c r="E68" s="117" t="n">
        <x:f>LN(ABS(D68))/LN(10)</x:f>
        <x:v>-6.507385319696312</x:v>
      </x:c>
      <x:c r="F68" s="117" t="n">
        <x:f>B68</x:f>
        <x:v>0.1050000000000001</x:v>
      </x:c>
      <x:c r="G68" s="117" t="n">
        <x:f>B88</x:f>
        <x:v>0.2050000000000002</x:v>
      </x:c>
      <x:c r="H68" s="117" t="n">
        <x:f>MAX(E68:E88)-MIN(E68:E88)</x:f>
        <x:v>1.0578925649656519</x:v>
      </x:c>
      <x:c r="I68" s="117" t="n">
        <x:f>SLOPE(E68:E88,B68:B88)</x:f>
        <x:v>10.591251864514973</x:v>
      </x:c>
      <x:c r="J68" s="123" t="n">
        <x:f>RSQ(E68:E88,B68:B88)</x:f>
        <x:v>0.9997815958226061</x:v>
      </x:c>
      <x:c r="K68" s="117" t="n">
        <x:f>IF(I68&gt;0,'Config'!$B$17/I68,"")</x:f>
        <x:v>94.4175450449261</x:v>
      </x:c>
      <x:c r="L68" s="120" t="n">
        <x:f>MAX(D68:D88)</x:f>
        <x:v>0.000003552280446487783</x:v>
      </x:c>
      <x:c r="M68" s="120" t="n">
        <x:f>IF(AND(H68&gt;='Config'!$B$14,J68&gt;='Config'!$B$15,L68&lt;=$E$4,I68&gt;0),K68,"")</x:f>
        <x:v>94.4175450449261</x:v>
      </x:c>
      <x:c r="N68" s="17" t="str">
        <x:f>IF(AND(M68&lt;&gt;"",ABS(M68-$G$4)&lt;='Config'!$B$22),"SELECTED","")</x:f>
      </x:c>
    </x:row>
    <x:row r="69">
      <x:c r="A69" s="15" t="n">
        <x:v>305</x:v>
      </x:c>
      <x:c r="B69" s="117" t="n">
        <x:f>VALUE('Raw_Data'!I305)</x:f>
        <x:v>0.1100000000000001</x:v>
      </x:c>
      <x:c r="C69" s="117" t="n">
        <x:f>ROUND(B69,'Config'!$B$25)</x:f>
        <x:v>0.11</x:v>
      </x:c>
      <x:c r="D69" s="120" t="n">
        <x:f>VALUE('Raw_Data'!J305)</x:f>
        <x:v>3.531445033858148e-7</x:v>
      </x:c>
      <x:c r="E69" s="117" t="n">
        <x:f>LN(ABS(D69))/LN(10)</x:f>
        <x:v>-6.452047549055422</x:v>
      </x:c>
      <x:c r="F69" s="117" t="n">
        <x:f>B69</x:f>
        <x:v>0.1100000000000001</x:v>
      </x:c>
      <x:c r="G69" s="117" t="n">
        <x:f>B89</x:f>
        <x:v>0.2100000000000002</x:v>
      </x:c>
      <x:c r="H69" s="117" t="n">
        <x:f>MAX(E69:E89)-MIN(E69:E89)</x:f>
        <x:v>1.0519970212454712</x:v>
      </x:c>
      <x:c r="I69" s="117" t="n">
        <x:f>SLOPE(E69:E89,B69:B89)</x:f>
        <x:v>10.53229469289275</x:v>
      </x:c>
      <x:c r="J69" s="123" t="n">
        <x:f>RSQ(E69:E89,B69:B89)</x:f>
        <x:v>0.9997624340419096</x:v>
      </x:c>
      <x:c r="K69" s="117" t="n">
        <x:f>IF(I69&gt;0,'Config'!$B$17/I69,"")</x:f>
        <x:v>94.94607102807383</x:v>
      </x:c>
      <x:c r="L69" s="120" t="n">
        <x:f>MAX(D69:D89)</x:f>
        <x:v>0.000003980608556354552</x:v>
      </x:c>
      <x:c r="M69" s="120" t="n">
        <x:f>IF(AND(H69&gt;='Config'!$B$14,J69&gt;='Config'!$B$15,L69&lt;=$E$4,I69&gt;0),K69,"")</x:f>
        <x:v>94.94607102807383</x:v>
      </x:c>
      <x:c r="N69" s="17" t="str">
        <x:f>IF(AND(M69&lt;&gt;"",ABS(M69-$G$4)&lt;='Config'!$B$22),"SELECTED","")</x:f>
      </x:c>
    </x:row>
    <x:row r="70">
      <x:c r="A70" s="15" t="n">
        <x:v>306</x:v>
      </x:c>
      <x:c r="B70" s="117" t="n">
        <x:f>VALUE('Raw_Data'!I306)</x:f>
        <x:v>0.1150000000000001</x:v>
      </x:c>
      <x:c r="C70" s="117" t="n">
        <x:f>ROUND(B70,'Config'!$B$25)</x:f>
        <x:v>0.115</x:v>
      </x:c>
      <x:c r="D70" s="120" t="n">
        <x:f>VALUE('Raw_Data'!J306)</x:f>
        <x:v>4.009556772627965e-7</x:v>
      </x:c>
      <x:c r="E70" s="117" t="n">
        <x:f>LN(ABS(D70))/LN(10)</x:f>
        <x:v>-6.396903632826391</x:v>
      </x:c>
      <x:c r="F70" s="117" t="n">
        <x:f>B70</x:f>
        <x:v>0.1150000000000001</x:v>
      </x:c>
      <x:c r="G70" s="117" t="n">
        <x:f>B90</x:f>
        <x:v>0.2150000000000002</x:v>
      </x:c>
      <x:c r="H70" s="117" t="n">
        <x:f>MAX(E70:E90)-MIN(E70:E90)</x:f>
        <x:v>1.0458895519005527</x:v>
      </x:c>
      <x:c r="I70" s="117" t="n">
        <x:f>SLOPE(E70:E90,B70:B90)</x:f>
        <x:v>10.471193405427552</x:v>
      </x:c>
      <x:c r="J70" s="123" t="n">
        <x:f>RSQ(E70:E90,B70:B90)</x:f>
        <x:v>0.9997421526134247</x:v>
      </x:c>
      <x:c r="K70" s="117" t="n">
        <x:f>IF(I70&gt;0,'Config'!$B$17/I70,"")</x:f>
        <x:v>95.50009834425065</x:v>
      </x:c>
      <x:c r="L70" s="120" t="n">
        <x:f>MAX(D70:D90)</x:f>
        <x:v>0.000004456417993286887</x:v>
      </x:c>
      <x:c r="M70" s="120" t="n">
        <x:f>IF(AND(H70&gt;='Config'!$B$14,J70&gt;='Config'!$B$15,L70&lt;=$E$4,I70&gt;0),K70,"")</x:f>
        <x:v>95.50009834425065</x:v>
      </x:c>
      <x:c r="N70" s="17" t="str">
        <x:f>IF(AND(M70&lt;&gt;"",ABS(M70-$G$4)&lt;='Config'!$B$22),"SELECTED","")</x:f>
      </x:c>
    </x:row>
    <x:row r="71">
      <x:c r="A71" s="15" t="n">
        <x:v>307</x:v>
      </x:c>
      <x:c r="B71" s="117" t="n">
        <x:f>VALUE('Raw_Data'!I307)</x:f>
        <x:v>0.1200000000000001</x:v>
      </x:c>
      <x:c r="C71" s="117" t="n">
        <x:f>ROUND(B71,'Config'!$B$25)</x:f>
        <x:v>0.12</x:v>
      </x:c>
      <x:c r="D71" s="120" t="n">
        <x:f>VALUE('Raw_Data'!J307)</x:f>
        <x:v>4.550262050904381e-7</x:v>
      </x:c>
      <x:c r="E71" s="117" t="n">
        <x:f>LN(ABS(D71))/LN(10)</x:f>
        <x:v>-6.341963591478142</x:v>
      </x:c>
      <x:c r="F71" s="117" t="n">
        <x:f>B71</x:f>
        <x:v>0.1200000000000001</x:v>
      </x:c>
      <x:c r="G71" s="117" t="n">
        <x:f>B91</x:f>
        <x:v>0.2200000000000002</x:v>
      </x:c>
      <x:c r="H71" s="117" t="n">
        <x:f>MAX(E71:E91)-MIN(E71:E91)</x:f>
        <x:v>1.0395701879415702</x:v>
      </x:c>
      <x:c r="I71" s="117" t="n">
        <x:f>SLOPE(E71:E91,B71:B91)</x:f>
        <x:v>10.407950919074674</x:v>
      </x:c>
      <x:c r="J71" s="123" t="n">
        <x:f>RSQ(E71:E91,B71:B91)</x:f>
        <x:v>0.9997207289333002</x:v>
      </x:c>
      <x:c r="K71" s="117" t="n">
        <x:f>IF(I71&gt;0,'Config'!$B$17/I71,"")</x:f>
        <x:v>96.08039159440095</x:v>
      </x:c>
      <x:c r="L71" s="120" t="n">
        <x:f>MAX(D71:D91)</x:f>
        <x:v>0.000004984327800015662</x:v>
      </x:c>
      <x:c r="M71" s="120" t="n">
        <x:f>IF(AND(H71&gt;='Config'!$B$14,J71&gt;='Config'!$B$15,L71&lt;=$E$4,I71&gt;0),K71,"")</x:f>
        <x:v>96.08039159440095</x:v>
      </x:c>
      <x:c r="N71" s="17" t="str">
        <x:f>IF(AND(M71&lt;&gt;"",ABS(M71-$G$4)&lt;='Config'!$B$22),"SELECTED","")</x:f>
      </x:c>
    </x:row>
    <x:row r="72">
      <x:c r="A72" s="15" t="n">
        <x:v>308</x:v>
      </x:c>
      <x:c r="B72" s="117" t="n">
        <x:f>VALUE('Raw_Data'!I308)</x:f>
        <x:v>0.1250000000000001</x:v>
      </x:c>
      <x:c r="C72" s="117" t="n">
        <x:f>ROUND(B72,'Config'!$B$25)</x:f>
        <x:v>0.125</x:v>
      </x:c>
      <x:c r="D72" s="120" t="n">
        <x:f>VALUE('Raw_Data'!J308)</x:f>
        <x:v>5.161338802160976e-7</x:v>
      </x:c>
      <x:c r="E72" s="117" t="n">
        <x:f>LN(ABS(D72))/LN(10)</x:f>
        <x:v>-6.28723763190475</x:v>
      </x:c>
      <x:c r="F72" s="117" t="n">
        <x:f>B72</x:f>
        <x:v>0.1250000000000001</x:v>
      </x:c>
      <x:c r="G72" s="117" t="n">
        <x:f>B92</x:f>
        <x:v>0.2250000000000002</x:v>
      </x:c>
      <x:c r="H72" s="117" t="n">
        <x:f>MAX(E72:E92)-MIN(E72:E92)</x:f>
        <x:v>1.033039153024391</x:v>
      </x:c>
      <x:c r="I72" s="117" t="n">
        <x:f>SLOPE(E72:E92,B72:B92)</x:f>
        <x:v>10.34257323067064</x:v>
      </x:c>
      <x:c r="J72" s="123" t="n">
        <x:f>RSQ(E72:E92,B72:B92)</x:f>
        <x:v>0.9996981372176583</x:v>
      </x:c>
      <x:c r="K72" s="117" t="n">
        <x:f>IF(I72&gt;0,'Config'!$B$17/I72,"")</x:f>
        <x:v>96.68773695839303</x:v>
      </x:c>
      <x:c r="L72" s="120" t="n">
        <x:f>MAX(D72:D92)</x:f>
        <x:v>0.000005569311651379144</x:v>
      </x:c>
      <x:c r="M72" s="120" t="n">
        <x:f>IF(AND(H72&gt;='Config'!$B$14,J72&gt;='Config'!$B$15,L72&lt;=$E$4,I72&gt;0),K72,"")</x:f>
        <x:v>96.68773695839303</x:v>
      </x:c>
      <x:c r="N72" s="17" t="str">
        <x:f>IF(AND(M72&lt;&gt;"",ABS(M72-$G$4)&lt;='Config'!$B$22),"SELECTED","")</x:f>
      </x:c>
    </x:row>
    <x:row r="73">
      <x:c r="A73" s="15" t="n">
        <x:v>309</x:v>
      </x:c>
      <x:c r="B73" s="117" t="n">
        <x:f>VALUE('Raw_Data'!I309)</x:f>
        <x:v>0.1300000000000001</x:v>
      </x:c>
      <x:c r="C73" s="117" t="n">
        <x:f>ROUND(B73,'Config'!$B$25)</x:f>
        <x:v>0.13</x:v>
      </x:c>
      <x:c r="D73" s="120" t="n">
        <x:f>VALUE('Raw_Data'!J309)</x:f>
        <x:v>5.851454927207171e-7</x:v>
      </x:c>
      <x:c r="E73" s="117" t="n">
        <x:f>LN(ABS(D73))/LN(10)</x:f>
        <x:v>-6.232736135918453</x:v>
      </x:c>
      <x:c r="F73" s="117" t="n">
        <x:f>B73</x:f>
        <x:v>0.1300000000000001</x:v>
      </x:c>
      <x:c r="G73" s="117" t="n">
        <x:f>B93</x:f>
        <x:v>0.2300000000000002</x:v>
      </x:c>
      <x:c r="H73" s="117" t="n">
        <x:f>MAX(E73:E93)-MIN(E73:E93)</x:f>
        <x:v>1.026296795612418</x:v>
      </x:c>
      <x:c r="I73" s="117" t="n">
        <x:f>SLOPE(E73:E93,B73:B93)</x:f>
        <x:v>10.275068744462132</x:v>
      </x:c>
      <x:c r="J73" s="123" t="n">
        <x:f>RSQ(E73:E93,B73:B93)</x:f>
        <x:v>0.9996743456198116</x:v>
      </x:c>
      <x:c r="K73" s="117" t="n">
        <x:f>IF(I73&gt;0,'Config'!$B$17/I73,"")</x:f>
        <x:v>97.32294983806912</x:v>
      </x:c>
      <x:c r="L73" s="120" t="n">
        <x:f>MAX(D73:D93)</x:f>
        <x:v>0.00000621671073040775</x:v>
      </x:c>
      <x:c r="M73" s="120" t="n">
        <x:f>IF(AND(H73&gt;='Config'!$B$14,J73&gt;='Config'!$B$15,L73&lt;=$E$4,I73&gt;0),K73,"")</x:f>
        <x:v>97.32294983806912</x:v>
      </x:c>
      <x:c r="N73" s="17" t="str">
        <x:f>IF(AND(M73&lt;&gt;"",ABS(M73-$G$4)&lt;='Config'!$B$22),"SELECTED","")</x:f>
      </x:c>
    </x:row>
    <x:row r="74">
      <x:c r="A74" s="15" t="n">
        <x:v>310</x:v>
      </x:c>
      <x:c r="B74" s="117" t="n">
        <x:f>VALUE('Raw_Data'!I310)</x:f>
        <x:v>0.1350000000000001</x:v>
      </x:c>
      <x:c r="C74" s="117" t="n">
        <x:f>ROUND(B74,'Config'!$B$25)</x:f>
        <x:v>0.135</x:v>
      </x:c>
      <x:c r="D74" s="120" t="n">
        <x:f>VALUE('Raw_Data'!J310)</x:f>
        <x:v>6.630256884499344e-7</x:v>
      </x:c>
      <x:c r="E74" s="117" t="n">
        <x:f>LN(ABS(D74))/LN(10)</x:f>
        <x:v>-6.178469644844201</x:v>
      </x:c>
      <x:c r="F74" s="117" t="n">
        <x:f>B74</x:f>
        <x:v>0.1350000000000001</x:v>
      </x:c>
      <x:c r="G74" s="117" t="n">
        <x:f>B94</x:f>
        <x:v>0.2350000000000002</x:v>
      </x:c>
      <x:c r="H74" s="117" t="n">
        <x:f>MAX(E74:E94)-MIN(E74:E94)</x:f>
        <x:v>1.019343508747804</x:v>
      </x:c>
      <x:c r="I74" s="117" t="n">
        <x:f>SLOPE(E74:E94,B74:B94)</x:f>
        <x:v>10.205447428733343</x:v>
      </x:c>
      <x:c r="J74" s="123" t="n">
        <x:f>RSQ(E74:E94,B74:B94)</x:f>
        <x:v>0.9996493127783522</x:v>
      </x:c>
      <x:c r="K74" s="117" t="n">
        <x:f>IF(I74&gt;0,'Config'!$B$17/I74,"")</x:f>
        <x:v>97.98688464990856</x:v>
      </x:c>
      <x:c r="L74" s="120" t="n">
        <x:f>MAX(D74:D94)</x:f>
        <x:v>0.000006932244372969345</x:v>
      </x:c>
      <x:c r="M74" s="120" t="n">
        <x:f>IF(AND(H74&gt;='Config'!$B$14,J74&gt;='Config'!$B$15,L74&lt;=$E$4,I74&gt;0),K74,"")</x:f>
        <x:v>97.98688464990856</x:v>
      </x:c>
      <x:c r="N74" s="17" t="str">
        <x:f>IF(AND(M74&lt;&gt;"",ABS(M74-$G$4)&lt;='Config'!$B$22),"SELECTED","")</x:f>
      </x:c>
    </x:row>
    <x:row r="75">
      <x:c r="A75" s="15" t="n">
        <x:v>311</x:v>
      </x:c>
      <x:c r="B75" s="117" t="n">
        <x:f>VALUE('Raw_Data'!I311)</x:f>
        <x:v>0.1400000000000002</x:v>
      </x:c>
      <x:c r="C75" s="117" t="n">
        <x:f>ROUND(B75,'Config'!$B$25)</x:f>
        <x:v>0.14</x:v>
      </x:c>
      <x:c r="D75" s="120" t="n">
        <x:f>VALUE('Raw_Data'!J311)</x:f>
        <x:v>7.508464979502032e-7</x:v>
      </x:c>
      <x:c r="E75" s="117" t="n">
        <x:f>LN(ABS(D75))/LN(10)</x:f>
        <x:v>-6.124448840502069</x:v>
      </x:c>
      <x:c r="F75" s="117" t="n">
        <x:f>B75</x:f>
        <x:v>0.1400000000000002</x:v>
      </x:c>
      <x:c r="G75" s="117" t="n">
        <x:f>B95</x:f>
        <x:v>0.2400000000000002</x:v>
      </x:c>
      <x:c r="H75" s="117" t="n">
        <x:f>MAX(E75:E95)-MIN(E75:E95)</x:f>
        <x:v>1.012179639794506</x:v>
      </x:c>
      <x:c r="I75" s="117" t="n">
        <x:f>SLOPE(E75:E95,B75:B95)</x:f>
        <x:v>10.133719815831329</x:v>
      </x:c>
      <x:c r="J75" s="123" t="n">
        <x:f>RSQ(E75:E95,B75:B95)</x:f>
        <x:v>0.9996229838321307</x:v>
      </x:c>
      <x:c r="K75" s="117" t="n">
        <x:f>IF(I75&gt;0,'Config'!$B$17/I75,"")</x:f>
        <x:v>98.68044688168281</x:v>
      </x:c>
      <x:c r="L75" s="120" t="n">
        <x:f>MAX(D75:D95)</x:f>
        <x:v>0.000007722017816222098</x:v>
      </x:c>
      <x:c r="M75" s="120" t="n">
        <x:f>IF(AND(H75&gt;='Config'!$B$14,J75&gt;='Config'!$B$15,L75&lt;=$E$4,I75&gt;0),K75,"")</x:f>
        <x:v>98.68044688168281</x:v>
      </x:c>
      <x:c r="N75" s="17" t="str">
        <x:f>IF(AND(M75&lt;&gt;"",ABS(M75-$G$4)&lt;='Config'!$B$22),"SELECTED","")</x:f>
      </x:c>
    </x:row>
    <x:row r="76">
      <x:c r="A76" s="15" t="n">
        <x:v>312</x:v>
      </x:c>
      <x:c r="B76" s="117" t="n">
        <x:f>VALUE('Raw_Data'!I312)</x:f>
        <x:v>0.1450000000000002</x:v>
      </x:c>
      <x:c r="C76" s="117" t="n">
        <x:f>ROUND(B76,'Config'!$B$25)</x:f>
        <x:v>0.145</x:v>
      </x:c>
      <x:c r="D76" s="120" t="n">
        <x:f>VALUE('Raw_Data'!J312)</x:f>
        <x:v>8.497975546936707e-7</x:v>
      </x:c>
      <x:c r="E76" s="117" t="n">
        <x:f>LN(ABS(D76))/LN(10)</x:f>
        <x:v>-6.0706845229341635</x:v>
      </x:c>
      <x:c r="F76" s="117" t="n">
        <x:f>B76</x:f>
        <x:v>0.1450000000000002</x:v>
      </x:c>
      <x:c r="G76" s="117" t="n">
        <x:f>B96</x:f>
        <x:v>0.2450000000000002</x:v>
      </x:c>
      <x:c r="H76" s="117" t="n">
        <x:f>MAX(E76:E96)-MIN(E76:E96)</x:f>
        <x:v>1.0048053932818037</x:v>
      </x:c>
      <x:c r="I76" s="117" t="n">
        <x:f>SLOPE(E76:E96,B76:B96)</x:f>
        <x:v>10.059895868949782</x:v>
      </x:c>
      <x:c r="J76" s="123" t="n">
        <x:f>RSQ(E76:E96,B76:B96)</x:f>
        <x:v>0.9995952859741799</x:v>
      </x:c>
      <x:c r="K76" s="117" t="n">
        <x:f>IF(I76&gt;0,'Config'!$B$17/I76,"")</x:f>
        <x:v>99.40460746582225</x:v>
      </x:c>
      <x:c r="L76" s="120" t="n">
        <x:f>MAX(D76:D96)</x:f>
        <x:v>0.00000859252630490707</x:v>
      </x:c>
      <x:c r="M76" s="120" t="n">
        <x:f>IF(AND(H76&gt;='Config'!$B$14,J76&gt;='Config'!$B$15,L76&lt;=$E$4,I76&gt;0),K76,"")</x:f>
        <x:v>99.40460746582225</x:v>
      </x:c>
      <x:c r="N76" s="17" t="str">
        <x:f>IF(AND(M76&lt;&gt;"",ABS(M76-$G$4)&lt;='Config'!$B$22),"SELECTED","")</x:f>
      </x:c>
    </x:row>
    <x:row r="77">
      <x:c r="A77" s="15" t="n">
        <x:v>313</x:v>
      </x:c>
      <x:c r="B77" s="117" t="n">
        <x:f>VALUE('Raw_Data'!I313)</x:f>
        <x:v>0.1500000000000002</x:v>
      </x:c>
      <x:c r="C77" s="117" t="n">
        <x:f>ROUND(B77,'Config'!$B$25)</x:f>
        <x:v>0.15</x:v>
      </x:c>
      <x:c r="D77" s="120" t="n">
        <x:f>VALUE('Raw_Data'!J313)</x:f>
        <x:v>9.611970177636994e-7</x:v>
      </x:c>
      <x:c r="E77" s="117" t="n">
        <x:f>LN(ABS(D77))/LN(10)</x:f>
        <x:v>-6.017187585320049</x:v>
      </x:c>
      <x:c r="F77" s="117" t="n">
        <x:f>B77</x:f>
        <x:v>0.1500000000000002</x:v>
      </x:c>
      <x:c r="G77" s="117" t="n">
        <x:f>B97</x:f>
        <x:v>0.2500000000000002</x:v>
      </x:c>
      <x:c r="H77" s="117" t="n">
        <x:f>MAX(E77:E97)-MIN(E77:E97)</x:f>
        <x:v>0.9972207307190306</x:v>
      </x:c>
      <x:c r="I77" s="117" t="n">
        <x:f>SLOPE(E77:E97,B77:B97)</x:f>
        <x:v>9.983983748798284</x:v>
      </x:c>
      <x:c r="J77" s="123" t="n">
        <x:f>RSQ(E77:E97,B77:B97)</x:f>
        <x:v>0.9995661236551726</x:v>
      </x:c>
      <x:c r="K77" s="117" t="n">
        <x:f>IF(I77&gt;0,'Config'!$B$17/I77,"")</x:f>
        <x:v>100.16041944382816</x:v>
      </x:c>
      <x:c r="L77" s="120" t="n">
        <x:f>MAX(D77:D97)</x:f>
        <x:v>0.000009550654739339939</x:v>
      </x:c>
      <x:c r="M77" s="120" t="n">
        <x:f>IF(AND(H77&gt;='Config'!$B$14,J77&gt;='Config'!$B$15,L77&lt;=$E$4,I77&gt;0),K77,"")</x:f>
        <x:v>100.16041944382816</x:v>
      </x:c>
      <x:c r="N77" s="17" t="str">
        <x:f>IF(AND(M77&lt;&gt;"",ABS(M77-$G$4)&lt;='Config'!$B$22),"SELECTED","")</x:f>
      </x:c>
    </x:row>
    <x:row r="78">
      <x:c r="A78" s="15" t="n">
        <x:v>314</x:v>
      </x:c>
      <x:c r="B78" s="117" t="n">
        <x:f>VALUE('Raw_Data'!I314)</x:f>
        <x:v>0.1550000000000002</x:v>
      </x:c>
      <x:c r="C78" s="117" t="n">
        <x:f>ROUND(B78,'Config'!$B$25)</x:f>
        <x:v>0.155</x:v>
      </x:c>
      <x:c r="D78" s="120" t="n">
        <x:f>VALUE('Raw_Data'!J314)</x:f>
        <x:v>0.000001086503209050449</x:v>
      </x:c>
      <x:c r="E78" s="117" t="n">
        <x:f>LN(ABS(D78))/LN(10)</x:f>
        <x:v>-5.963968986627539</x:v>
      </x:c>
      <x:c r="F78" s="117" t="n">
        <x:f>B78</x:f>
        <x:v>0.1550000000000002</x:v>
      </x:c>
      <x:c r="G78" s="117" t="n">
        <x:f>B98</x:f>
        <x:v>0.2550000000000002</x:v>
      </x:c>
      <x:c r="H78" s="117" t="n">
        <x:f>MAX(E78:E98)-MIN(E78:E98)</x:f>
        <x:v>0.9894252719158034</x:v>
      </x:c>
      <x:c r="I78" s="117" t="n">
        <x:f>SLOPE(E78:E98,B78:B98)</x:f>
        <x:v>9.905988523274043</x:v>
      </x:c>
      <x:c r="J78" s="123" t="n">
        <x:f>RSQ(E78:E98,B78:B98)</x:f>
        <x:v>0.9995353735858284</x:v>
      </x:c>
      <x:c r="K78" s="117" t="n">
        <x:f>IF(I78&gt;0,'Config'!$B$17/I78,"")</x:f>
        <x:v>100.94903680238552</x:v>
      </x:c>
      <x:c r="L78" s="120" t="n">
        <x:f>MAX(D78:D98)</x:f>
        <x:v>0.00001060367199785062</x:v>
      </x:c>
      <x:c r="M78" s="120" t="n">
        <x:f>IF(AND(H78&gt;='Config'!$B$14,J78&gt;='Config'!$B$15,L78&lt;=$E$4,I78&gt;0),K78,"")</x:f>
        <x:v>100.94903680238552</x:v>
      </x:c>
      <x:c r="N78" s="17" t="str">
        <x:f>IF(AND(M78&lt;&gt;"",ABS(M78-$G$4)&lt;='Config'!$B$22),"SELECTED","")</x:f>
      </x:c>
    </x:row>
    <x:row r="79">
      <x:c r="A79" s="15" t="n">
        <x:v>315</x:v>
      </x:c>
      <x:c r="B79" s="117" t="n">
        <x:f>VALUE('Raw_Data'!I315)</x:f>
        <x:v>0.1600000000000002</x:v>
      </x:c>
      <x:c r="C79" s="117" t="n">
        <x:f>ROUND(B79,'Config'!$B$25)</x:f>
        <x:v>0.16</x:v>
      </x:c>
      <x:c r="D79" s="120" t="n">
        <x:f>VALUE('Raw_Data'!J315)</x:f>
        <x:v>0.000001227326968797892</x:v>
      </x:c>
      <x:c r="E79" s="117" t="n">
        <x:f>LN(ABS(D79))/LN(10)</x:f>
        <x:v>-5.91103972266176</x:v>
      </x:c>
      <x:c r="F79" s="117" t="n">
        <x:f>B79</x:f>
        <x:v>0.1600000000000002</x:v>
      </x:c>
      <x:c r="G79" s="117" t="n">
        <x:f>B99</x:f>
        <x:v>0.2600000000000002</x:v>
      </x:c>
      <x:c r="H79" s="117" t="n">
        <x:f>MAX(E79:E99)-MIN(E79:E99)</x:f>
        <x:v>0.9814182028677658</x:v>
      </x:c>
      <x:c r="I79" s="117" t="n">
        <x:f>SLOPE(E79:E99,B79:B99)</x:f>
        <x:v>9.825910872863231</x:v>
      </x:c>
      <x:c r="J79" s="123" t="n">
        <x:f>RSQ(E79:E99,B79:B99)</x:f>
        <x:v>0.9995028797248389</x:v>
      </x:c>
      <x:c r="K79" s="117" t="n">
        <x:f>IF(I79&gt;0,'Config'!$B$17/I79,"")</x:f>
        <x:v>101.77173525578743</x:v>
      </x:c>
      <x:c r="L79" s="120" t="n">
        <x:f>MAX(D79:D99)</x:f>
        <x:v>0.00001175921904331462</x:v>
      </x:c>
      <x:c r="M79" s="120" t="n">
        <x:f>IF(AND(H79&gt;='Config'!$B$14,J79&gt;='Config'!$B$15,L79&lt;=$E$4,I79&gt;0),K79,"")</x:f>
        <x:v>101.77173525578743</x:v>
      </x:c>
      <x:c r="N79" s="17" t="str">
        <x:f>IF(AND(M79&lt;&gt;"",ABS(M79-$G$4)&lt;='Config'!$B$22),"SELECTED","")</x:f>
      </x:c>
    </x:row>
    <x:row r="80">
      <x:c r="A80" s="15" t="n">
        <x:v>316</x:v>
      </x:c>
      <x:c r="B80" s="117" t="n">
        <x:f>VALUE('Raw_Data'!I316)</x:f>
        <x:v>0.1650000000000002</x:v>
      </x:c>
      <x:c r="C80" s="117" t="n">
        <x:f>ROUND(B80,'Config'!$B$25)</x:f>
        <x:v>0.165</x:v>
      </x:c>
      <x:c r="D80" s="120" t="n">
        <x:f>VALUE('Raw_Data'!J316)</x:f>
        <x:v>0.000001385444725812803</x:v>
      </x:c>
      <x:c r="E80" s="117" t="n">
        <x:f>LN(ABS(D80))/LN(10)</x:f>
        <x:v>-5.858410796300621</x:v>
      </x:c>
      <x:c r="F80" s="117" t="n">
        <x:f>B80</x:f>
        <x:v>0.1650000000000002</x:v>
      </x:c>
      <x:c r="G80" s="117" t="n">
        <x:f>B100</x:f>
        <x:v>0.2650000000000002</x:v>
      </x:c>
      <x:c r="H80" s="117" t="n">
        <x:f>MAX(E80:E100)-MIN(E80:E100)</x:f>
        <x:v>0.9731981956013316</x:v>
      </x:c>
      <x:c r="I80" s="117" t="n">
        <x:f>SLOPE(E80:E100,B80:B100)</x:f>
        <x:v>9.743745853033479</x:v>
      </x:c>
      <x:c r="J80" s="123" t="n">
        <x:f>RSQ(E80:E100,B80:B100)</x:f>
        <x:v>0.9994684484722153</x:v>
      </x:c>
      <x:c r="K80" s="117" t="n">
        <x:f>IF(I80&gt;0,'Config'!$B$17/I80,"")</x:f>
        <x:v>102.62993463532038</x:v>
      </x:c>
      <x:c r="L80" s="120" t="n">
        <x:f>MAX(D80:D100)</x:f>
        <x:v>0.00001302528993774698</x:v>
      </x:c>
      <x:c r="M80" s="120" t="n">
        <x:f>IF(AND(H80&gt;='Config'!$B$14,J80&gt;='Config'!$B$15,L80&lt;=$E$4,I80&gt;0),K80,"")</x:f>
        <x:v>102.62993463532038</x:v>
      </x:c>
      <x:c r="N80" s="17" t="str">
        <x:f>IF(AND(M80&lt;&gt;"",ABS(M80-$G$4)&lt;='Config'!$B$22),"SELECTED","")</x:f>
      </x:c>
    </x:row>
    <x:row r="81">
      <x:c r="A81" s="15" t="n">
        <x:v>317</x:v>
      </x:c>
      <x:c r="B81" s="117" t="n">
        <x:f>VALUE('Raw_Data'!I317)</x:f>
        <x:v>0.1700000000000002</x:v>
      </x:c>
      <x:c r="C81" s="117" t="n">
        <x:f>ROUND(B81,'Config'!$B$25)</x:f>
        <x:v>0.17</x:v>
      </x:c>
      <x:c r="D81" s="120" t="n">
        <x:f>VALUE('Raw_Data'!J317)</x:f>
        <x:v>0.000001562812269466721</x:v>
      </x:c>
      <x:c r="E81" s="117" t="n">
        <x:f>LN(ABS(D81))/LN(10)</x:f>
        <x:v>-5.806093187835802</x:v>
      </x:c>
      <x:c r="F81" s="117" t="n">
        <x:f>B81</x:f>
        <x:v>0.1700000000000002</x:v>
      </x:c>
      <x:c r="G81" s="117" t="n">
        <x:f>B101</x:f>
        <x:v>0.2700000000000002</x:v>
      </x:c>
      <x:c r="H81" s="117" t="n">
        <x:f>MAX(E81:E101)-MIN(E81:E101)</x:f>
        <x:v>0.964763345459235</x:v>
      </x:c>
      <x:c r="I81" s="117" t="n">
        <x:f>SLOPE(E81:E101,B81:B101)</x:f>
        <x:v>9.65948178157705</x:v>
      </x:c>
      <x:c r="J81" s="123" t="n">
        <x:f>RSQ(E81:E101,B81:B101)</x:f>
        <x:v>0.9994318443160201</x:v>
      </x:c>
      <x:c r="K81" s="117" t="n">
        <x:f>IF(I81&gt;0,'Config'!$B$17/I81,"")</x:f>
        <x:v>103.52522243038338</x:v>
      </x:c>
      <x:c r="L81" s="120" t="n">
        <x:f>MAX(D81:D101)</x:f>
        <x:v>0.00001441020494954635</x:v>
      </x:c>
      <x:c r="M81" s="120" t="str">
        <x:f>IF(AND(H81&gt;='Config'!$B$14,J81&gt;='Config'!$B$15,L81&lt;=$E$4,I81&gt;0),K81,"")</x:f>
      </x:c>
      <x:c r="N81" s="17" t="str">
        <x:f>IF(AND(M81&lt;&gt;"",ABS(M81-$G$4)&lt;='Config'!$B$22),"SELECTED","")</x:f>
      </x:c>
    </x:row>
    <x:row r="82">
      <x:c r="A82" s="15" t="n">
        <x:v>318</x:v>
      </x:c>
      <x:c r="B82" s="117" t="n">
        <x:f>VALUE('Raw_Data'!I318)</x:f>
        <x:v>0.1750000000000002</x:v>
      </x:c>
      <x:c r="C82" s="117" t="n">
        <x:f>ROUND(B82,'Config'!$B$25)</x:f>
        <x:v>0.175</x:v>
      </x:c>
      <x:c r="D82" s="120" t="n">
        <x:f>VALUE('Raw_Data'!J318)</x:f>
        <x:v>0.000001761579199377998</x:v>
      </x:c>
      <x:c r="E82" s="117" t="n">
        <x:f>LN(ABS(D82))/LN(10)</x:f>
        <x:v>-5.754097826465357</x:v>
      </x:c>
      <x:c r="F82" s="117" t="n">
        <x:f>B82</x:f>
        <x:v>0.1750000000000002</x:v>
      </x:c>
      <x:c r="G82" s="117" t="n">
        <x:f>B102</x:f>
        <x:v>0.2750000000000002</x:v>
      </x:c>
      <x:c r="H82" s="117" t="n">
        <x:f>MAX(E82:E102)-MIN(E82:E102)</x:f>
        <x:v>0.9561111311141062</x:v>
      </x:c>
      <x:c r="I82" s="117" t="n">
        <x:f>SLOPE(E82:E102,B82:B102)</x:f>
        <x:v>9.573099322962726</x:v>
      </x:c>
      <x:c r="J82" s="123" t="n">
        <x:f>RSQ(E82:E102,B82:B102)</x:f>
        <x:v>0.9993927862023024</x:v>
      </x:c>
      <x:c r="K82" s="117" t="n">
        <x:f>IF(I82&gt;0,'Config'!$B$17/I82,"")</x:f>
        <x:v>104.45937791550203</x:v>
      </x:c>
      <x:c r="L82" s="120" t="n">
        <x:f>MAX(D82:D102)</x:f>
        <x:v>0.00001592257505249413</x:v>
      </x:c>
      <x:c r="M82" s="120" t="str">
        <x:f>IF(AND(H82&gt;='Config'!$B$14,J82&gt;='Config'!$B$15,L82&lt;=$E$4,I82&gt;0),K82,"")</x:f>
      </x:c>
      <x:c r="N82" s="17" t="str">
        <x:f>IF(AND(M82&lt;&gt;"",ABS(M82-$G$4)&lt;='Config'!$B$22),"SELECTED","")</x:f>
      </x:c>
    </x:row>
    <x:row r="83">
      <x:c r="A83" s="15" t="n">
        <x:v>319</x:v>
      </x:c>
      <x:c r="B83" s="117" t="n">
        <x:f>VALUE('Raw_Data'!I319)</x:f>
        <x:v>0.1800000000000002</x:v>
      </x:c>
      <x:c r="C83" s="117" t="n">
        <x:f>ROUND(B83,'Config'!$B$25)</x:f>
        <x:v>0.18</x:v>
      </x:c>
      <x:c r="D83" s="120" t="n">
        <x:f>VALUE('Raw_Data'!J319)</x:f>
        <x:v>0.000001984104014801174</x:v>
      </x:c>
      <x:c r="E83" s="117" t="n">
        <x:f>LN(ABS(D83))/LN(10)</x:f>
        <x:v>-5.702435564102158</x:v>
      </x:c>
      <x:c r="F83" s="117" t="n">
        <x:f>B83</x:f>
        <x:v>0.1800000000000002</x:v>
      </x:c>
      <x:c r="G83" s="117" t="n">
        <x:f>B103</x:f>
        <x:v>0.2800000000000002</x:v>
      </x:c>
      <x:c r="H83" s="117" t="n">
        <x:f>MAX(E83:E103)-MIN(E83:E103)</x:f>
        <x:v>0.9472384020999813</x:v>
      </x:c>
      <x:c r="I83" s="117" t="n">
        <x:f>SLOPE(E83:E103,B83:B103)</x:f>
        <x:v>9.484570842551282</x:v>
      </x:c>
      <x:c r="J83" s="123" t="n">
        <x:f>RSQ(E83:E103,B83:B103)</x:f>
        <x:v>0.9993509449132834</x:v>
      </x:c>
      <x:c r="K83" s="117" t="n">
        <x:f>IF(I83&gt;0,'Config'!$B$17/I83,"")</x:f>
        <x:v>105.43439619994521</x:v>
      </x:c>
      <x:c r="L83" s="120" t="n">
        <x:f>MAX(D83:D103)</x:f>
        <x:v>0.00001757125728902393</x:v>
      </x:c>
      <x:c r="M83" s="120" t="str">
        <x:f>IF(AND(H83&gt;='Config'!$B$14,J83&gt;='Config'!$B$15,L83&lt;=$E$4,I83&gt;0),K83,"")</x:f>
      </x:c>
      <x:c r="N83" s="17" t="str">
        <x:f>IF(AND(M83&lt;&gt;"",ABS(M83-$G$4)&lt;='Config'!$B$22),"SELECTED","")</x:f>
      </x:c>
    </x:row>
    <x:row r="84">
      <x:c r="A84" s="15" t="n">
        <x:v>320</x:v>
      </x:c>
      <x:c r="B84" s="117" t="n">
        <x:f>VALUE('Raw_Data'!I320)</x:f>
        <x:v>0.1850000000000002</x:v>
      </x:c>
      <x:c r="C84" s="117" t="n">
        <x:f>ROUND(B84,'Config'!$B$25)</x:f>
        <x:v>0.185</x:v>
      </x:c>
      <x:c r="D84" s="120" t="n">
        <x:f>VALUE('Raw_Data'!J320)</x:f>
        <x:v>0.000002232969788608805</x:v>
      </x:c>
      <x:c r="E84" s="117" t="n">
        <x:f>LN(ABS(D84))/LN(10)</x:f>
        <x:v>-5.651117152758944</x:v>
      </x:c>
      <x:c r="F84" s="117" t="n">
        <x:f>B84</x:f>
        <x:v>0.1850000000000002</x:v>
      </x:c>
      <x:c r="G84" s="117" t="n">
        <x:f>B104</x:f>
        <x:v>0.2850000000000003</x:v>
      </x:c>
      <x:c r="H84" s="117" t="n">
        <x:f>MAX(E84:E104)-MIN(E84:E104)</x:f>
        <x:v>0.9381413978512132</x:v>
      </x:c>
      <x:c r="I84" s="117" t="n">
        <x:f>SLOPE(E84:E104,B84:B104)</x:f>
        <x:v>9.393860100445409</x:v>
      </x:c>
      <x:c r="J84" s="123" t="n">
        <x:f>RSQ(E84:E104,B84:B104)</x:f>
        <x:v>0.9993059417474338</x:v>
      </x:c>
      <x:c r="K84" s="117" t="n">
        <x:f>IF(I84&gt;0,'Config'!$B$17/I84,"")</x:f>
        <x:v>106.45251146039371</x:v>
      </x:c>
      <x:c r="L84" s="120" t="n">
        <x:f>MAX(D84:D104)</x:f>
        <x:v>0.00001936530070408136</x:v>
      </x:c>
      <x:c r="M84" s="120" t="str">
        <x:f>IF(AND(H84&gt;='Config'!$B$14,J84&gt;='Config'!$B$15,L84&lt;=$E$4,I84&gt;0),K84,"")</x:f>
      </x:c>
      <x:c r="N84" s="17" t="str">
        <x:f>IF(AND(M84&lt;&gt;"",ABS(M84-$G$4)&lt;='Config'!$B$22),"SELECTED","")</x:f>
      </x:c>
    </x:row>
    <x:row r="85">
      <x:c r="A85" s="15" t="n">
        <x:v>321</x:v>
      </x:c>
      <x:c r="B85" s="117" t="n">
        <x:f>VALUE('Raw_Data'!I321)</x:f>
        <x:v>0.1900000000000002</x:v>
      </x:c>
      <x:c r="C85" s="117" t="n">
        <x:f>ROUND(B85,'Config'!$B$25)</x:f>
        <x:v>0.19</x:v>
      </x:c>
      <x:c r="D85" s="120" t="n">
        <x:f>VALUE('Raw_Data'!J321)</x:f>
        <x:v>0.000002511000349515585</x:v>
      </x:c>
      <x:c r="E85" s="117" t="n">
        <x:f>LN(ABS(D85))/LN(10)</x:f>
        <x:v>-5.60015322683599</x:v>
      </x:c>
      <x:c r="F85" s="117" t="n">
        <x:f>B85</x:f>
        <x:v>0.1900000000000002</x:v>
      </x:c>
      <x:c r="G85" s="117" t="n">
        <x:f>B105</x:f>
        <x:v>0.2900000000000003</x:v>
      </x:c>
      <x:c r="H85" s="117" t="n">
        <x:f>MAX(E85:E105)-MIN(E85:E105)</x:f>
        <x:v>0.9288158011597405</x:v>
      </x:c>
      <x:c r="I85" s="117" t="n">
        <x:f>SLOPE(E85:E105,B85:B105)</x:f>
        <x:v>9.300922347403365</x:v>
      </x:c>
      <x:c r="J85" s="123" t="n">
        <x:f>RSQ(E85:E105,B85:B105)</x:f>
        <x:v>0.9992573487969393</x:v>
      </x:c>
      <x:c r="K85" s="117" t="n">
        <x:f>IF(I85&gt;0,'Config'!$B$17/I85,"")</x:f>
        <x:v>107.516218569353</x:v>
      </x:c>
      <x:c r="L85" s="120" t="n">
        <x:f>MAX(D85:D105)</x:f>
        <x:v>0.00002131388284702994</x:v>
      </x:c>
      <x:c r="M85" s="120" t="str">
        <x:f>IF(AND(H85&gt;='Config'!$B$14,J85&gt;='Config'!$B$15,L85&lt;=$E$4,I85&gt;0),K85,"")</x:f>
      </x:c>
      <x:c r="N85" s="17" t="str">
        <x:f>IF(AND(M85&lt;&gt;"",ABS(M85-$G$4)&lt;='Config'!$B$22),"SELECTED","")</x:f>
      </x:c>
    </x:row>
    <x:row r="86">
      <x:c r="A86" s="15" t="n">
        <x:v>322</x:v>
      </x:c>
      <x:c r="B86" s="117" t="n">
        <x:f>VALUE('Raw_Data'!I322)</x:f>
        <x:v>0.1950000000000002</x:v>
      </x:c>
      <x:c r="C86" s="117" t="n">
        <x:f>ROUND(B86,'Config'!$B$25)</x:f>
        <x:v>0.195</x:v>
      </x:c>
      <x:c r="D86" s="120" t="n">
        <x:f>VALUE('Raw_Data'!J322)</x:f>
        <x:v>0.000002821276869952502</x:v>
      </x:c>
      <x:c r="E86" s="117" t="n">
        <x:f>LN(ABS(D86))/LN(10)</x:f>
        <x:v>-5.54955429165666</x:v>
      </x:c>
      <x:c r="F86" s="117" t="n">
        <x:f>B86</x:f>
        <x:v>0.1950000000000002</x:v>
      </x:c>
      <x:c r="G86" s="117" t="n">
        <x:f>B106</x:f>
        <x:v>0.2950000000000003</x:v>
      </x:c>
      <x:c r="H86" s="117" t="n">
        <x:f>MAX(E86:E106)-MIN(E86:E106)</x:f>
        <x:v>0.9192568276511821</x:v>
      </x:c>
      <x:c r="I86" s="117" t="n">
        <x:f>SLOPE(E86:E106,B86:B106)</x:f>
        <x:v>9.205704873524315</x:v>
      </x:c>
      <x:c r="J86" s="123" t="n">
        <x:f>RSQ(E86:E106,B86:B106)</x:f>
        <x:v>0.9992046911123686</x:v>
      </x:c>
      <x:c r="K86" s="117" t="n">
        <x:f>IF(I86&gt;0,'Config'!$B$17/I86,"")</x:f>
        <x:v>108.62829231860435</x:v>
      </x:c>
      <x:c r="L86" s="120" t="n">
        <x:f>MAX(D86:D106)</x:f>
        <x:v>0.00002342623717936441</x:v>
      </x:c>
      <x:c r="M86" s="120" t="str">
        <x:f>IF(AND(H86&gt;='Config'!$B$14,J86&gt;='Config'!$B$15,L86&lt;=$E$4,I86&gt;0),K86,"")</x:f>
      </x:c>
      <x:c r="N86" s="17" t="str">
        <x:f>IF(AND(M86&lt;&gt;"",ABS(M86-$G$4)&lt;='Config'!$B$22),"SELECTED","")</x:f>
      </x:c>
    </x:row>
    <x:row r="87">
      <x:c r="A87" s="15" t="n">
        <x:v>323</x:v>
      </x:c>
      <x:c r="B87" s="117" t="n">
        <x:f>VALUE('Raw_Data'!I323)</x:f>
        <x:v>0.2000000000000002</x:v>
      </x:c>
      <x:c r="C87" s="117" t="n">
        <x:f>ROUND(B87,'Config'!$B$25)</x:f>
        <x:v>0.2</x:v>
      </x:c>
      <x:c r="D87" s="120" t="n">
        <x:f>VALUE('Raw_Data'!J323)</x:f>
        <x:v>0.000003167154724744083</x:v>
      </x:c>
      <x:c r="E87" s="117" t="n">
        <x:f>LN(ABS(D87))/LN(10)</x:f>
        <x:v>-5.499330719557933</x:v>
      </x:c>
      <x:c r="F87" s="117" t="n">
        <x:f>B87</x:f>
        <x:v>0.2000000000000002</x:v>
      </x:c>
      <x:c r="G87" s="117" t="n">
        <x:f>B107</x:f>
        <x:v>0.3000000000000003</x:v>
      </x:c>
      <x:c r="H87" s="117" t="n">
        <x:f>MAX(E87:E107)-MIN(E87:E107)</x:f>
        <x:v>0.9094593514066114</x:v>
      </x:c>
      <x:c r="I87" s="117" t="n">
        <x:f>SLOPE(E87:E107,B87:B107)</x:f>
        <x:v>9.108148044498169</x:v>
      </x:c>
      <x:c r="J87" s="123" t="n">
        <x:f>RSQ(E87:E107,B87:B107)</x:f>
        <x:v>0.9991474510291235</x:v>
      </x:c>
      <x:c r="K87" s="117" t="n">
        <x:f>IF(I87&gt;0,'Config'!$B$17/I87,"")</x:f>
        <x:v>109.79180346152322</x:v>
      </x:c>
      <x:c r="L87" s="120" t="n">
        <x:f>MAX(D87:D107)</x:f>
        <x:v>0.00002571157210198044</x:v>
      </x:c>
      <x:c r="M87" s="120" t="str">
        <x:f>IF(AND(H87&gt;='Config'!$B$14,J87&gt;='Config'!$B$15,L87&lt;=$E$4,I87&gt;0),K87,"")</x:f>
      </x:c>
      <x:c r="N87" s="17" t="str">
        <x:f>IF(AND(M87&lt;&gt;"",ABS(M87-$G$4)&lt;='Config'!$B$22),"SELECTED","")</x:f>
      </x:c>
    </x:row>
    <x:row r="88">
      <x:c r="A88" s="15" t="n">
        <x:v>324</x:v>
      </x:c>
      <x:c r="B88" s="117" t="n">
        <x:f>VALUE('Raw_Data'!I324)</x:f>
        <x:v>0.2050000000000002</x:v>
      </x:c>
      <x:c r="C88" s="117" t="n">
        <x:f>ROUND(B88,'Config'!$B$25)</x:f>
        <x:v>0.205</x:v>
      </x:c>
      <x:c r="D88" s="120" t="n">
        <x:f>VALUE('Raw_Data'!J324)</x:f>
        <x:v>0.000003552280446487783</x:v>
      </x:c>
      <x:c r="E88" s="117" t="n">
        <x:f>LN(ABS(D88))/LN(10)</x:f>
        <x:v>-5.44949275473066</x:v>
      </x:c>
      <x:c r="F88" s="117" t="n">
        <x:f>B88</x:f>
        <x:v>0.2050000000000002</x:v>
      </x:c>
      <x:c r="G88" s="117" t="n">
        <x:f>B108</x:f>
        <x:v>0.3050000000000003</x:v>
      </x:c>
      <x:c r="H88" s="117" t="n">
        <x:f>MAX(E88:E108)-MIN(E88:E108)</x:f>
        <x:v>0.8994180652978141</x:v>
      </x:c>
      <x:c r="I88" s="117" t="n">
        <x:f>SLOPE(E88:E108,B88:B108)</x:f>
        <x:v>9.008186840605894</x:v>
      </x:c>
      <x:c r="J88" s="123" t="n">
        <x:f>RSQ(E88:E108,B88:B108)</x:f>
        <x:v>0.9990850749020214</x:v>
      </x:c>
      <x:c r="K88" s="117" t="n">
        <x:f>IF(I88&gt;0,'Config'!$B$17/I88,"")</x:f>
        <x:v>111.01013086144421</x:v>
      </x:c>
      <x:c r="L88" s="120" t="n">
        <x:f>MAX(D88:D108)</x:f>
        <x:v>0.00002817898270898211</x:v>
      </x:c>
      <x:c r="M88" s="120" t="str">
        <x:f>IF(AND(H88&gt;='Config'!$B$14,J88&gt;='Config'!$B$15,L88&lt;=$E$4,I88&gt;0),K88,"")</x:f>
      </x:c>
      <x:c r="N88" s="17" t="str">
        <x:f>IF(AND(M88&lt;&gt;"",ABS(M88-$G$4)&lt;='Config'!$B$22),"SELECTED","")</x:f>
      </x:c>
    </x:row>
    <x:row r="89">
      <x:c r="A89" s="15" t="n">
        <x:v>325</x:v>
      </x:c>
      <x:c r="B89" s="117" t="n">
        <x:f>VALUE('Raw_Data'!I325)</x:f>
        <x:v>0.2100000000000002</x:v>
      </x:c>
      <x:c r="C89" s="117" t="n">
        <x:f>ROUND(B89,'Config'!$B$25)</x:f>
        <x:v>0.21</x:v>
      </x:c>
      <x:c r="D89" s="120" t="n">
        <x:f>VALUE('Raw_Data'!J325)</x:f>
        <x:v>0.000003980608556354552</x:v>
      </x:c>
      <x:c r="E89" s="117" t="n">
        <x:f>LN(ABS(D89))/LN(10)</x:f>
        <x:v>-5.400050527809951</x:v>
      </x:c>
      <x:c r="F89" s="117" t="n">
        <x:f>B89</x:f>
        <x:v>0.2100000000000002</x:v>
      </x:c>
      <x:c r="G89" s="117" t="n">
        <x:f>B109</x:f>
        <x:v>0.3100000000000003</x:v>
      </x:c>
      <x:c r="H89" s="117" t="n">
        <x:f>MAX(E89:E109)-MIN(E89:E109)</x:f>
        <x:v>0.8891276730520756</x:v>
      </x:c>
      <x:c r="I89" s="117" t="n">
        <x:f>SLOPE(E89:E109,B89:B109)</x:f>
        <x:v>8.905752891187552</x:v>
      </x:c>
      <x:c r="J89" s="123" t="n">
        <x:f>RSQ(E89:E109,B89:B109)</x:f>
        <x:v>0.9990169824482056</x:v>
      </x:c>
      <x:c r="K89" s="117" t="n">
        <x:f>IF(I89&gt;0,'Config'!$B$17/I89,"")</x:f>
        <x:v>112.28696913312328</x:v>
      </x:c>
      <x:c r="L89" s="120" t="n">
        <x:f>MAX(D89:D109)</x:f>
        <x:v>0.00003083735676314168</x:v>
      </x:c>
      <x:c r="M89" s="120" t="str">
        <x:f>IF(AND(H89&gt;='Config'!$B$14,J89&gt;='Config'!$B$15,L89&lt;=$E$4,I89&gt;0),K89,"")</x:f>
      </x:c>
      <x:c r="N89" s="17" t="str">
        <x:f>IF(AND(M89&lt;&gt;"",ABS(M89-$G$4)&lt;='Config'!$B$22),"SELECTED","")</x:f>
      </x:c>
    </x:row>
    <x:row r="90">
      <x:c r="A90" s="15" t="n">
        <x:v>326</x:v>
      </x:c>
      <x:c r="B90" s="117" t="n">
        <x:f>VALUE('Raw_Data'!I326)</x:f>
        <x:v>0.2150000000000002</x:v>
      </x:c>
      <x:c r="C90" s="117" t="n">
        <x:f>ROUND(B90,'Config'!$B$25)</x:f>
        <x:v>0.215</x:v>
      </x:c>
      <x:c r="D90" s="120" t="n">
        <x:f>VALUE('Raw_Data'!J326)</x:f>
        <x:v>0.000004456417993286887</x:v>
      </x:c>
      <x:c r="E90" s="117" t="n">
        <x:f>LN(ABS(D90))/LN(10)</x:f>
        <x:v>-5.351014080925839</x:v>
      </x:c>
      <x:c r="F90" s="117" t="n">
        <x:f>B90</x:f>
        <x:v>0.2150000000000002</x:v>
      </x:c>
      <x:c r="G90" s="117" t="n">
        <x:f>B110</x:f>
        <x:v>0.3150000000000003</x:v>
      </x:c>
      <x:c r="H90" s="117" t="n">
        <x:f>MAX(E90:E110)-MIN(E90:E110)</x:f>
        <x:v>0.8785831085995826</x:v>
      </x:c>
      <x:c r="I90" s="117" t="n">
        <x:f>SLOPE(E90:E110,B90:B110)</x:f>
        <x:v>8.800776973060435</x:v>
      </x:c>
      <x:c r="J90" s="123" t="n">
        <x:f>RSQ(E90:E110,B90:B110)</x:f>
        <x:v>0.998942578828819</x:v>
      </x:c>
      <x:c r="K90" s="117" t="n">
        <x:f>IF(I90&gt;0,'Config'!$B$17/I90,"")</x:f>
        <x:v>113.62633129563946</x:v>
      </x:c>
      <x:c r="L90" s="120" t="n">
        <x:f>MAX(D90:D110)</x:f>
        <x:v>0.00003369527674635232</x:v>
      </x:c>
      <x:c r="M90" s="120" t="str">
        <x:f>IF(AND(H90&gt;='Config'!$B$14,J90&gt;='Config'!$B$15,L90&lt;=$E$4,I90&gt;0),K90,"")</x:f>
      </x:c>
      <x:c r="N90" s="17" t="str">
        <x:f>IF(AND(M90&lt;&gt;"",ABS(M90-$G$4)&lt;='Config'!$B$22),"SELECTED","")</x:f>
      </x:c>
    </x:row>
    <x:row r="91">
      <x:c r="A91" s="15" t="n">
        <x:v>327</x:v>
      </x:c>
      <x:c r="B91" s="117" t="n">
        <x:f>VALUE('Raw_Data'!I327)</x:f>
        <x:v>0.2200000000000002</x:v>
      </x:c>
      <x:c r="C91" s="117" t="n">
        <x:f>ROUND(B91,'Config'!$B$25)</x:f>
        <x:v>0.22</x:v>
      </x:c>
      <x:c r="D91" s="120" t="n">
        <x:f>VALUE('Raw_Data'!J327)</x:f>
        <x:v>0.000004984327800015662</x:v>
      </x:c>
      <x:c r="E91" s="117" t="n">
        <x:f>LN(ABS(D91))/LN(10)</x:f>
        <x:v>-5.302393403536572</x:v>
      </x:c>
      <x:c r="F91" s="117" t="n">
        <x:f>B91</x:f>
        <x:v>0.2200000000000002</x:v>
      </x:c>
      <x:c r="G91" s="117" t="n">
        <x:f>B111</x:f>
        <x:v>0.3200000000000003</x:v>
      </x:c>
      <x:c r="H91" s="117" t="n">
        <x:f>MAX(E91:E111)-MIN(E91:E111)</x:f>
        <x:v>0.8677797769647766</x:v>
      </x:c>
      <x:c r="I91" s="117" t="n">
        <x:f>SLOPE(E91:E111,B91:B111)</x:f>
        <x:v>8.69319191669595</x:v>
      </x:c>
      <x:c r="J91" s="123" t="n">
        <x:f>RSQ(E91:E111,B91:B111)</x:f>
        <x:v>0.9988612695013427</x:v>
      </x:c>
      <x:c r="K91" s="117" t="n">
        <x:f>IF(I91&gt;0,'Config'!$B$17/I91,"")</x:f>
        <x:v>115.03254610995329</x:v>
      </x:c>
      <x:c r="L91" s="120" t="n">
        <x:f>MAX(D91:D111)</x:f>
        <x:v>0.00003676092014167665</x:v>
      </x:c>
      <x:c r="M91" s="120" t="str">
        <x:f>IF(AND(H91&gt;='Config'!$B$14,J91&gt;='Config'!$B$15,L91&lt;=$E$4,I91&gt;0),K91,"")</x:f>
      </x:c>
      <x:c r="N91" s="17" t="str">
        <x:f>IF(AND(M91&lt;&gt;"",ABS(M91-$G$4)&lt;='Config'!$B$22),"SELECTED","")</x:f>
      </x:c>
    </x:row>
    <x:row r="92">
      <x:c r="A92" s="15" t="n">
        <x:v>328</x:v>
      </x:c>
      <x:c r="B92" s="117" t="n">
        <x:f>VALUE('Raw_Data'!I328)</x:f>
        <x:v>0.2250000000000002</x:v>
      </x:c>
      <x:c r="C92" s="117" t="n">
        <x:f>ROUND(B92,'Config'!$B$25)</x:f>
        <x:v>0.225</x:v>
      </x:c>
      <x:c r="D92" s="120" t="n">
        <x:f>VALUE('Raw_Data'!J328)</x:f>
        <x:v>0.000005569311651379144</x:v>
      </x:c>
      <x:c r="E92" s="117" t="n">
        <x:f>LN(ABS(D92))/LN(10)</x:f>
        <x:v>-5.254198478880359</x:v>
      </x:c>
      <x:c r="F92" s="117" t="n">
        <x:f>B92</x:f>
        <x:v>0.2250000000000002</x:v>
      </x:c>
      <x:c r="G92" s="117" t="n">
        <x:f>B112</x:f>
        <x:v>0.3250000000000003</x:v>
      </x:c>
      <x:c r="H92" s="117" t="n">
        <x:f>MAX(E92:E112)-MIN(E92:E112)</x:f>
        <x:v>0.856713809901299</x:v>
      </x:c>
      <x:c r="I92" s="117" t="n">
        <x:f>SLOPE(E92:E112,B92:B112)</x:f>
        <x:v>8.58293584029387</x:v>
      </x:c>
      <x:c r="J92" s="123" t="n">
        <x:f>RSQ(E92:E112,B92:B112)</x:f>
        <x:v>0.9987724777439311</x:v>
      </x:c>
      <x:c r="K92" s="117" t="n">
        <x:f>IF(I92&gt;0,'Config'!$B$17/I92,"")</x:f>
        <x:v>116.51024994330625</x:v>
      </x:c>
      <x:c r="L92" s="120" t="n">
        <x:f>MAX(D92:D112)</x:f>
        <x:v>0.00004004196032855737</x:v>
      </x:c>
      <x:c r="M92" s="120" t="str">
        <x:f>IF(AND(H92&gt;='Config'!$B$14,J92&gt;='Config'!$B$15,L92&lt;=$E$4,I92&gt;0),K92,"")</x:f>
      </x:c>
      <x:c r="N92" s="17" t="str">
        <x:f>IF(AND(M92&lt;&gt;"",ABS(M92-$G$4)&lt;='Config'!$B$22),"SELECTED","")</x:f>
      </x:c>
    </x:row>
    <x:row r="93">
      <x:c r="A93" s="15" t="n">
        <x:v>329</x:v>
      </x:c>
      <x:c r="B93" s="117" t="n">
        <x:f>VALUE('Raw_Data'!I329)</x:f>
        <x:v>0.2300000000000002</x:v>
      </x:c>
      <x:c r="C93" s="117" t="n">
        <x:f>ROUND(B93,'Config'!$B$25)</x:f>
        <x:v>0.23</x:v>
      </x:c>
      <x:c r="D93" s="120" t="n">
        <x:f>VALUE('Raw_Data'!J329)</x:f>
        <x:v>0.00000621671073040775</x:v>
      </x:c>
      <x:c r="E93" s="117" t="n">
        <x:f>LN(ABS(D93))/LN(10)</x:f>
        <x:v>-5.206439340306035</x:v>
      </x:c>
      <x:c r="F93" s="117" t="n">
        <x:f>B93</x:f>
        <x:v>0.2300000000000002</x:v>
      </x:c>
      <x:c r="G93" s="117" t="n">
        <x:f>B113</x:f>
        <x:v>0.3300000000000003</x:v>
      </x:c>
      <x:c r="H93" s="117" t="n">
        <x:f>MAX(E93:E113)-MIN(E93:E113)</x:f>
        <x:v>0.8453823286837379</x:v>
      </x:c>
      <x:c r="I93" s="117" t="n">
        <x:f>SLOPE(E93:E113,B93:B113)</x:f>
        <x:v>8.469955610704373</x:v>
      </x:c>
      <x:c r="J93" s="123" t="n">
        <x:f>RSQ(E93:E113,B93:B113)</x:f>
        <x:v>0.9986756645910875</x:v>
      </x:c>
      <x:c r="K93" s="117" t="n">
        <x:f>IF(I93&gt;0,'Config'!$B$17/I93,"")</x:f>
        <x:v>118.06437317524957</x:v>
      </x:c>
      <x:c r="L93" s="120" t="n">
        <x:f>MAX(D93:D113)</x:f>
        <x:v>0.00004354547060036462</x:v>
      </x:c>
      <x:c r="M93" s="120" t="str">
        <x:f>IF(AND(H93&gt;='Config'!$B$14,J93&gt;='Config'!$B$15,L93&lt;=$E$4,I93&gt;0),K93,"")</x:f>
      </x:c>
      <x:c r="N93" s="17" t="str">
        <x:f>IF(AND(M93&lt;&gt;"",ABS(M93-$G$4)&lt;='Config'!$B$22),"SELECTED","")</x:f>
      </x:c>
    </x:row>
    <x:row r="94">
      <x:c r="A94" s="15" t="n">
        <x:v>330</x:v>
      </x:c>
      <x:c r="B94" s="117" t="n">
        <x:f>VALUE('Raw_Data'!I330)</x:f>
        <x:v>0.2350000000000002</x:v>
      </x:c>
      <x:c r="C94" s="117" t="n">
        <x:f>ROUND(B94,'Config'!$B$25)</x:f>
        <x:v>0.235</x:v>
      </x:c>
      <x:c r="D94" s="120" t="n">
        <x:f>VALUE('Raw_Data'!J330)</x:f>
        <x:v>0.000006932244372969345</x:v>
      </x:c>
      <x:c r="E94" s="117" t="n">
        <x:f>LN(ABS(D94))/LN(10)</x:f>
        <x:v>-5.159126136096397</x:v>
      </x:c>
      <x:c r="F94" s="117" t="n">
        <x:f>B94</x:f>
        <x:v>0.2350000000000002</x:v>
      </x:c>
      <x:c r="G94" s="117" t="n">
        <x:f>B114</x:f>
        <x:v>0.3350000000000003</x:v>
      </x:c>
      <x:c r="H94" s="117" t="n">
        <x:f>MAX(E94:E114)-MIN(E94:E114)</x:f>
        <x:v>0.8337837059804016</x:v>
      </x:c>
      <x:c r="I94" s="117" t="n">
        <x:f>SLOPE(E94:E114,B94:B114)</x:f>
        <x:v>8.354210412835009</x:v>
      </x:c>
      <x:c r="J94" s="123" t="n">
        <x:f>RSQ(E94:E114,B94:B114)</x:f>
        <x:v>0.9985703507322297</x:v>
      </x:c>
      <x:c r="K94" s="117" t="n">
        <x:f>IF(I94&gt;0,'Config'!$B$17/I94,"")</x:f>
        <x:v>119.7001213260858</x:v>
      </x:c>
      <x:c r="L94" s="120" t="n">
        <x:f>MAX(D94:D114)</x:f>
        <x:v>0.00004727783383069106</x:v>
      </x:c>
      <x:c r="M94" s="120" t="str">
        <x:f>IF(AND(H94&gt;='Config'!$B$14,J94&gt;='Config'!$B$15,L94&lt;=$E$4,I94&gt;0),K94,"")</x:f>
      </x:c>
      <x:c r="N94" s="17" t="str">
        <x:f>IF(AND(M94&lt;&gt;"",ABS(M94-$G$4)&lt;='Config'!$B$22),"SELECTED","")</x:f>
      </x:c>
    </x:row>
    <x:row r="95">
      <x:c r="A95" s="15" t="n">
        <x:v>331</x:v>
      </x:c>
      <x:c r="B95" s="117" t="n">
        <x:f>VALUE('Raw_Data'!I331)</x:f>
        <x:v>0.2400000000000002</x:v>
      </x:c>
      <x:c r="C95" s="117" t="n">
        <x:f>ROUND(B95,'Config'!$B$25)</x:f>
        <x:v>0.24</x:v>
      </x:c>
      <x:c r="D95" s="120" t="n">
        <x:f>VALUE('Raw_Data'!J331)</x:f>
        <x:v>0.000007722017816222098</x:v>
      </x:c>
      <x:c r="E95" s="117" t="n">
        <x:f>LN(ABS(D95))/LN(10)</x:f>
        <x:v>-5.112269200707563</x:v>
      </x:c>
      <x:c r="F95" s="117" t="n">
        <x:f>B95</x:f>
        <x:v>0.2400000000000002</x:v>
      </x:c>
      <x:c r="G95" s="117" t="n">
        <x:f>B115</x:f>
        <x:v>0.3400000000000003</x:v>
      </x:c>
      <x:c r="H95" s="117" t="n">
        <x:f>MAX(E95:E115)-MIN(E95:E115)</x:f>
        <x:v>0.8219178185433709</x:v>
      </x:c>
      <x:c r="I95" s="117" t="n">
        <x:f>SLOPE(E95:E115,B95:B115)</x:f>
        <x:v>8.235675296948509</x:v>
      </x:c>
      <x:c r="J95" s="123" t="n">
        <x:f>RSQ(E95:E115,B95:B115)</x:f>
        <x:v>0.9984561397226385</x:v>
      </x:c>
      <x:c r="K95" s="117" t="n">
        <x:f>IF(I95&gt;0,'Config'!$B$17/I95,"")</x:f>
        <x:v>121.42295123880382</x:v>
      </x:c>
      <x:c r="L95" s="120" t="n">
        <x:f>MAX(D95:D115)</x:f>
        <x:v>0.00005124466021618722</x:v>
      </x:c>
      <x:c r="M95" s="120" t="str">
        <x:f>IF(AND(H95&gt;='Config'!$B$14,J95&gt;='Config'!$B$15,L95&lt;=$E$4,I95&gt;0),K95,"")</x:f>
      </x:c>
      <x:c r="N95" s="17" t="str">
        <x:f>IF(AND(M95&lt;&gt;"",ABS(M95-$G$4)&lt;='Config'!$B$22),"SELECTED","")</x:f>
      </x:c>
    </x:row>
    <x:row r="96">
      <x:c r="A96" s="15" t="n">
        <x:v>332</x:v>
      </x:c>
      <x:c r="B96" s="117" t="n">
        <x:f>VALUE('Raw_Data'!I332)</x:f>
        <x:v>0.2450000000000002</x:v>
      </x:c>
      <x:c r="C96" s="117" t="n">
        <x:f>ROUND(B96,'Config'!$B$25)</x:f>
        <x:v>0.245</x:v>
      </x:c>
      <x:c r="D96" s="120" t="n">
        <x:f>VALUE('Raw_Data'!J332)</x:f>
        <x:v>0.00000859252630490707</x:v>
      </x:c>
      <x:c r="E96" s="117" t="n">
        <x:f>LN(ABS(D96))/LN(10)</x:f>
        <x:v>-5.06587912965236</x:v>
      </x:c>
      <x:c r="F96" s="117" t="n">
        <x:f>B96</x:f>
        <x:v>0.2450000000000002</x:v>
      </x:c>
      <x:c r="G96" s="117" t="n">
        <x:f>B116</x:f>
        <x:v>0.3450000000000003</x:v>
      </x:c>
      <x:c r="H96" s="117" t="n">
        <x:f>MAX(E96:E116)-MIN(E96:E116)</x:f>
        <x:v>0.8097862825552893</x:v>
      </x:c>
      <x:c r="I96" s="117" t="n">
        <x:f>SLOPE(E96:E116,B96:B116)</x:f>
        <x:v>8.114344567040236</x:v>
      </x:c>
      <x:c r="J96" s="123" t="n">
        <x:f>RSQ(E96:E116,B96:B116)</x:f>
        <x:v>0.9983327416569461</x:v>
      </x:c>
      <x:c r="K96" s="117" t="n">
        <x:f>IF(I96&gt;0,'Config'!$B$17/I96,"")</x:f>
        <x:v>123.23854277299405</x:v>
      </x:c>
      <x:c r="L96" s="120" t="n">
        <x:f>MAX(D96:D116)</x:f>
        <x:v>0.00005545071531203118</x:v>
      </x:c>
      <x:c r="M96" s="120" t="str">
        <x:f>IF(AND(H96&gt;='Config'!$B$14,J96&gt;='Config'!$B$15,L96&lt;=$E$4,I96&gt;0),K96,"")</x:f>
      </x:c>
      <x:c r="N96" s="17" t="str">
        <x:f>IF(AND(M96&lt;&gt;"",ABS(M96-$G$4)&lt;='Config'!$B$22),"SELECTED","")</x:f>
      </x:c>
    </x:row>
    <x:row r="97">
      <x:c r="A97" s="15" t="n">
        <x:v>333</x:v>
      </x:c>
      <x:c r="B97" s="117" t="n">
        <x:f>VALUE('Raw_Data'!I333)</x:f>
        <x:v>0.2500000000000002</x:v>
      </x:c>
      <x:c r="C97" s="117" t="n">
        <x:f>ROUND(B97,'Config'!$B$25)</x:f>
        <x:v>0.25</x:v>
      </x:c>
      <x:c r="D97" s="120" t="n">
        <x:f>VALUE('Raw_Data'!J333)</x:f>
        <x:v>0.000009550654739339939</x:v>
      </x:c>
      <x:c r="E97" s="117" t="n">
        <x:f>LN(ABS(D97))/LN(10)</x:f>
        <x:v>-5.0199668546010185</x:v>
      </x:c>
      <x:c r="F97" s="117" t="n">
        <x:f>B97</x:f>
        <x:v>0.2500000000000002</x:v>
      </x:c>
      <x:c r="G97" s="117" t="n">
        <x:f>B117</x:f>
        <x:v>0.3500000000000003</x:v>
      </x:c>
      <x:c r="H97" s="117" t="n">
        <x:f>MAX(E97:E117)-MIN(E97:E117)</x:f>
        <x:v>0.7973926526579183</x:v>
      </x:c>
      <x:c r="I97" s="117" t="n">
        <x:f>SLOPE(E97:E117,B97:B117)</x:f>
        <x:v>7.99023484480377</x:v>
      </x:c>
      <x:c r="J97" s="123" t="n">
        <x:f>RSQ(E97:E117,B97:B117)</x:f>
        <x:v>0.9981999958915254</x:v>
      </x:c>
      <x:c r="K97" s="117" t="n">
        <x:f>IF(I97&gt;0,'Config'!$B$17/I97,"")</x:f>
        <x:v>125.15276702415356</x:v>
      </x:c>
      <x:c r="L97" s="120" t="n">
        <x:f>MAX(D97:D117)</x:f>
        <x:v>0.00005989985871927532</x:v>
      </x:c>
      <x:c r="M97" s="120" t="str">
        <x:f>IF(AND(H97&gt;='Config'!$B$14,J97&gt;='Config'!$B$15,L97&lt;=$E$4,I97&gt;0),K97,"")</x:f>
      </x:c>
      <x:c r="N97" s="17" t="str">
        <x:f>IF(AND(M97&lt;&gt;"",ABS(M97-$G$4)&lt;='Config'!$B$22),"SELECTED","")</x:f>
      </x:c>
    </x:row>
    <x:row r="98">
      <x:c r="A98" s="15" t="n">
        <x:v>334</x:v>
      </x:c>
      <x:c r="B98" s="117" t="n">
        <x:f>VALUE('Raw_Data'!I334)</x:f>
        <x:v>0.2550000000000002</x:v>
      </x:c>
      <x:c r="C98" s="117" t="n">
        <x:f>ROUND(B98,'Config'!$B$25)</x:f>
        <x:v>0.255</x:v>
      </x:c>
      <x:c r="D98" s="120" t="n">
        <x:f>VALUE('Raw_Data'!J334)</x:f>
        <x:v>0.00001060367199785062</x:v>
      </x:c>
      <x:c r="E98" s="117" t="n">
        <x:f>LN(ABS(D98))/LN(10)</x:f>
        <x:v>-4.974543714711736</x:v>
      </x:c>
      <x:c r="F98" s="117" t="n">
        <x:f>B98</x:f>
        <x:v>0.2550000000000002</x:v>
      </x:c>
      <x:c r="G98" s="117" t="n">
        <x:f>B118</x:f>
        <x:v>0.3550000000000003</x:v>
      </x:c>
      <x:c r="H98" s="117" t="n">
        <x:f>MAX(E98:E118)-MIN(E98:E118)</x:f>
        <x:v>0.7847425697224839</x:v>
      </x:c>
      <x:c r="I98" s="117" t="n">
        <x:f>SLOPE(E98:E118,B98:B118)</x:f>
        <x:v>7.863387633578728</x:v>
      </x:c>
      <x:c r="J98" s="123" t="n">
        <x:f>RSQ(E98:E118,B98:B118)</x:f>
        <x:v>0.9980578909436947</x:v>
      </x:c>
      <x:c r="K98" s="117" t="n">
        <x:f>IF(I98&gt;0,'Config'!$B$17/I98,"")</x:f>
        <x:v>127.17165254956245</x:v>
      </x:c>
      <x:c r="L98" s="120" t="n">
        <x:f>MAX(D98:D118)</x:f>
        <x:v>0.00006459499292622616</x:v>
      </x:c>
      <x:c r="M98" s="120" t="str">
        <x:f>IF(AND(H98&gt;='Config'!$B$14,J98&gt;='Config'!$B$15,L98&lt;=$E$4,I98&gt;0),K98,"")</x:f>
      </x:c>
      <x:c r="N98" s="17" t="str">
        <x:f>IF(AND(M98&lt;&gt;"",ABS(M98-$G$4)&lt;='Config'!$B$22),"SELECTED","")</x:f>
      </x:c>
    </x:row>
    <x:row r="99">
      <x:c r="A99" s="15" t="n">
        <x:v>335</x:v>
      </x:c>
      <x:c r="B99" s="117" t="n">
        <x:f>VALUE('Raw_Data'!I335)</x:f>
        <x:v>0.2600000000000002</x:v>
      </x:c>
      <x:c r="C99" s="117" t="n">
        <x:f>ROUND(B99,'Config'!$B$25)</x:f>
        <x:v>0.26</x:v>
      </x:c>
      <x:c r="D99" s="120" t="n">
        <x:f>VALUE('Raw_Data'!J335)</x:f>
        <x:v>0.00001175921904331462</x:v>
      </x:c>
      <x:c r="E99" s="117" t="n">
        <x:f>LN(ABS(D99))/LN(10)</x:f>
        <x:v>-4.9296215197939945</x:v>
      </x:c>
      <x:c r="F99" s="117" t="n">
        <x:f>B99</x:f>
        <x:v>0.2600000000000002</x:v>
      </x:c>
      <x:c r="G99" s="117" t="n">
        <x:f>B119</x:f>
        <x:v>0.3600000000000003</x:v>
      </x:c>
      <x:c r="H99" s="117" t="n">
        <x:f>MAX(E99:E119)-MIN(E99:E119)</x:f>
        <x:v>0.7718439914836361</x:v>
      </x:c>
      <x:c r="I99" s="117" t="n">
        <x:f>SLOPE(E99:E119,B99:B119)</x:f>
        <x:v>7.733871590135313</x:v>
      </x:c>
      <x:c r="J99" s="123" t="n">
        <x:f>RSQ(E99:E119,B99:B119)</x:f>
        <x:v>0.9979065849802763</x:v>
      </x:c>
      <x:c r="K99" s="117" t="n">
        <x:f>IF(I99&gt;0,'Config'!$B$17/I99,"")</x:f>
        <x:v>129.30134517303304</x:v>
      </x:c>
      <x:c r="L99" s="120" t="n">
        <x:f>MAX(D99:D119)</x:f>
        <x:v>0.00006953804419494139</x:v>
      </x:c>
      <x:c r="M99" s="120" t="str">
        <x:f>IF(AND(H99&gt;='Config'!$B$14,J99&gt;='Config'!$B$15,L99&lt;=$E$4,I99&gt;0),K99,"")</x:f>
      </x:c>
      <x:c r="N99" s="17" t="str">
        <x:f>IF(AND(M99&lt;&gt;"",ABS(M99-$G$4)&lt;='Config'!$B$22),"SELECTED","")</x:f>
      </x:c>
    </x:row>
    <x:row r="100">
      <x:c r="A100" s="15" t="n">
        <x:v>336</x:v>
      </x:c>
      <x:c r="B100" s="117" t="n">
        <x:f>VALUE('Raw_Data'!I336)</x:f>
        <x:v>0.2650000000000002</x:v>
      </x:c>
      <x:c r="C100" s="117" t="n">
        <x:f>ROUND(B100,'Config'!$B$25)</x:f>
        <x:v>0.265</x:v>
      </x:c>
      <x:c r="D100" s="120" t="n">
        <x:f>VALUE('Raw_Data'!J336)</x:f>
        <x:v>0.00001302528993774698</x:v>
      </x:c>
      <x:c r="E100" s="117" t="n">
        <x:f>LN(ABS(D100))/LN(10)</x:f>
        <x:v>-4.8852126006992895</x:v>
      </x:c>
      <x:c r="F100" s="117" t="n">
        <x:f>B100</x:f>
        <x:v>0.2650000000000002</x:v>
      </x:c>
      <x:c r="G100" s="117" t="n">
        <x:f>B120</x:f>
        <x:v>0.3650000000000003</x:v>
      </x:c>
      <x:c r="H100" s="117" t="n">
        <x:f>MAX(E100:E120)-MIN(E100:E120)</x:f>
        <x:v>0.7587072452314461</x:v>
      </x:c>
      <x:c r="I100" s="117" t="n">
        <x:f>SLOPE(E100:E120,B100:B120)</x:f>
        <x:v>7.60178403659292</x:v>
      </x:c>
      <x:c r="J100" s="123" t="n">
        <x:f>RSQ(E100:E120,B100:B120)</x:f>
        <x:v>0.9977464204991425</x:v>
      </x:c>
      <x:c r="K100" s="117" t="n">
        <x:f>IF(I100&gt;0,'Config'!$B$17/I100,"")</x:f>
        <x:v>131.54806755707241</x:v>
      </x:c>
      <x:c r="L100" s="120" t="n">
        <x:f>MAX(D100:D120)</x:f>
        <x:v>0.00007472994188711403</x:v>
      </x:c>
      <x:c r="M100" s="120" t="str">
        <x:f>IF(AND(H100&gt;='Config'!$B$14,J100&gt;='Config'!$B$15,L100&lt;=$E$4,I100&gt;0),K100,"")</x:f>
      </x:c>
      <x:c r="N100" s="17" t="str">
        <x:f>IF(AND(M100&lt;&gt;"",ABS(M100-$G$4)&lt;='Config'!$B$22),"SELECTED","")</x:f>
      </x:c>
    </x:row>
    <x:row r="101">
      <x:c r="A101" s="15" t="n">
        <x:v>337</x:v>
      </x:c>
      <x:c r="B101" s="117" t="n">
        <x:f>VALUE('Raw_Data'!I337)</x:f>
        <x:v>0.2700000000000002</x:v>
      </x:c>
      <x:c r="C101" s="117" t="n">
        <x:f>ROUND(B101,'Config'!$B$25)</x:f>
        <x:v>0.27</x:v>
      </x:c>
      <x:c r="D101" s="120" t="n">
        <x:f>VALUE('Raw_Data'!J337)</x:f>
        <x:v>0.00001441020494954635</x:v>
      </x:c>
      <x:c r="E101" s="117" t="n">
        <x:f>LN(ABS(D101))/LN(10)</x:f>
        <x:v>-4.841329842376567</x:v>
      </x:c>
      <x:c r="F101" s="117" t="n">
        <x:f>B101</x:f>
        <x:v>0.2700000000000002</x:v>
      </x:c>
      <x:c r="G101" s="117" t="n">
        <x:f>B121</x:f>
        <x:v>0.3700000000000003</x:v>
      </x:c>
      <x:c r="H101" s="117" t="n">
        <x:f>MAX(E101:E121)-MIN(E101:E121)</x:f>
        <x:v>0.7453450675550499</x:v>
      </x:c>
      <x:c r="I101" s="117" t="n">
        <x:f>SLOPE(E101:E121,B101:B121)</x:f>
        <x:v>7.467251743356727</x:v>
      </x:c>
      <x:c r="J101" s="123" t="n">
        <x:f>RSQ(E101:E121,B101:B121)</x:f>
        <x:v>0.997577933496822</x:v>
      </x:c>
      <x:c r="K101" s="117" t="n">
        <x:f>IF(I101&gt;0,'Config'!$B$17/I101,"")</x:f>
        <x:v>133.9180778108431</x:v>
      </x:c>
      <x:c r="L101" s="120" t="n">
        <x:f>MAX(D101:D121)</x:f>
        <x:v>0.00008017061685238506</x:v>
      </x:c>
      <x:c r="M101" s="120" t="str">
        <x:f>IF(AND(H101&gt;='Config'!$B$14,J101&gt;='Config'!$B$15,L101&lt;=$E$4,I101&gt;0),K101,"")</x:f>
      </x:c>
      <x:c r="N101" s="17" t="str">
        <x:f>IF(AND(M101&lt;&gt;"",ABS(M101-$G$4)&lt;='Config'!$B$22),"SELECTED","")</x:f>
      </x:c>
    </x:row>
    <x:row r="102">
      <x:c r="A102" s="15" t="n">
        <x:v>338</x:v>
      </x:c>
      <x:c r="B102" s="117" t="n">
        <x:f>VALUE('Raw_Data'!I338)</x:f>
        <x:v>0.2750000000000002</x:v>
      </x:c>
      <x:c r="C102" s="117" t="n">
        <x:f>ROUND(B102,'Config'!$B$25)</x:f>
        <x:v>0.275</x:v>
      </x:c>
      <x:c r="D102" s="120" t="n">
        <x:f>VALUE('Raw_Data'!J338)</x:f>
        <x:v>0.00001592257505249413</x:v>
      </x:c>
      <x:c r="E102" s="117" t="n">
        <x:f>LN(ABS(D102))/LN(10)</x:f>
        <x:v>-4.797986695351251</x:v>
      </x:c>
      <x:c r="F102" s="117" t="n">
        <x:f>B102</x:f>
        <x:v>0.2750000000000002</x:v>
      </x:c>
      <x:c r="G102" s="117" t="n">
        <x:f>B122</x:f>
        <x:v>0.3750000000000003</x:v>
      </x:c>
      <x:c r="H102" s="117" t="n">
        <x:f>MAX(E102:E122)-MIN(E102:E122)</x:f>
        <x:v>0.7317726006305119</x:v>
      </x:c>
      <x:c r="I102" s="117" t="n">
        <x:f>SLOPE(E102:E122,B102:B122)</x:f>
        <x:v>7.330430960946499</x:v>
      </x:c>
      <x:c r="J102" s="123" t="n">
        <x:f>RSQ(E102:E122,B102:B122)</x:f>
        <x:v>0.9974018565626167</x:v>
      </x:c>
      <x:c r="K102" s="117" t="n">
        <x:f>IF(I102&gt;0,'Config'!$B$17/I102,"")</x:f>
        <x:v>136.4176274665959</x:v>
      </x:c>
      <x:c r="L102" s="120" t="n">
        <x:f>MAX(D102:D122)</x:f>
        <x:v>0.0000858590156844166</x:v>
      </x:c>
      <x:c r="M102" s="120" t="str">
        <x:f>IF(AND(H102&gt;='Config'!$B$14,J102&gt;='Config'!$B$15,L102&lt;=$E$4,I102&gt;0),K102,"")</x:f>
      </x:c>
      <x:c r="N102" s="17" t="str">
        <x:f>IF(AND(M102&lt;&gt;"",ABS(M102-$G$4)&lt;='Config'!$B$22),"SELECTED","")</x:f>
      </x:c>
    </x:row>
    <x:row r="103">
      <x:c r="A103" s="15" t="n">
        <x:v>339</x:v>
      </x:c>
      <x:c r="B103" s="117" t="n">
        <x:f>VALUE('Raw_Data'!I339)</x:f>
        <x:v>0.2800000000000002</x:v>
      </x:c>
      <x:c r="C103" s="117" t="n">
        <x:f>ROUND(B103,'Config'!$B$25)</x:f>
        <x:v>0.28</x:v>
      </x:c>
      <x:c r="D103" s="120" t="n">
        <x:f>VALUE('Raw_Data'!J339)</x:f>
        <x:v>0.00001757125728902393</x:v>
      </x:c>
      <x:c r="E103" s="117" t="n">
        <x:f>LN(ABS(D103))/LN(10)</x:f>
        <x:v>-4.755197162002177</x:v>
      </x:c>
      <x:c r="F103" s="117" t="n">
        <x:f>B103</x:f>
        <x:v>0.2800000000000002</x:v>
      </x:c>
      <x:c r="G103" s="117" t="n">
        <x:f>B123</x:f>
        <x:v>0.3800000000000003</x:v>
      </x:c>
      <x:c r="H103" s="117" t="n">
        <x:f>MAX(E103:E123)-MIN(E103:E123)</x:f>
        <x:v>0.7180073362954715</x:v>
      </x:c>
      <x:c r="I103" s="117" t="n">
        <x:f>SLOPE(E103:E123,B103:B123)</x:f>
        <x:v>7.191506687565615</x:v>
      </x:c>
      <x:c r="J103" s="123" t="n">
        <x:f>RSQ(E103:E123,B103:B123)</x:f>
        <x:v>0.9972191153175339</x:v>
      </x:c>
      <x:c r="K103" s="117" t="n">
        <x:f>IF(I103&gt;0,'Config'!$B$17/I103,"")</x:f>
        <x:v>139.05291942911458</x:v>
      </x:c>
      <x:c r="L103" s="120" t="n">
        <x:f>MAX(D103:D123)</x:f>
        <x:v>0.00009179312903434035</x:v>
      </x:c>
      <x:c r="M103" s="120" t="str">
        <x:f>IF(AND(H103&gt;='Config'!$B$14,J103&gt;='Config'!$B$15,L103&lt;=$E$4,I103&gt;0),K103,"")</x:f>
      </x:c>
      <x:c r="N103" s="17" t="str">
        <x:f>IF(AND(M103&lt;&gt;"",ABS(M103-$G$4)&lt;='Config'!$B$22),"SELECTED","")</x:f>
      </x:c>
    </x:row>
    <x:row r="104">
      <x:c r="A104" s="15" t="n">
        <x:v>340</x:v>
      </x:c>
      <x:c r="B104" s="117" t="n">
        <x:f>VALUE('Raw_Data'!I340)</x:f>
        <x:v>0.2850000000000003</x:v>
      </x:c>
      <x:c r="C104" s="117" t="n">
        <x:f>ROUND(B104,'Config'!$B$25)</x:f>
        <x:v>0.285</x:v>
      </x:c>
      <x:c r="D104" s="120" t="n">
        <x:f>VALUE('Raw_Data'!J340)</x:f>
        <x:v>0.00001936530070408136</x:v>
      </x:c>
      <x:c r="E104" s="117" t="n">
        <x:f>LN(ABS(D104))/LN(10)</x:f>
        <x:v>-4.712975754907731</x:v>
      </x:c>
      <x:c r="F104" s="117" t="n">
        <x:f>B104</x:f>
        <x:v>0.2850000000000003</x:v>
      </x:c>
      <x:c r="G104" s="117" t="n">
        <x:f>B124</x:f>
        <x:v>0.3850000000000003</x:v>
      </x:c>
      <x:c r="H104" s="117" t="n">
        <x:f>MAX(E104:E124)-MIN(E104:E124)</x:f>
        <x:v>0.7040690081198653</x:v>
      </x:c>
      <x:c r="I104" s="117" t="n">
        <x:f>SLOPE(E104:E124,B104:B124)</x:f>
        <x:v>7.050691189868801</x:v>
      </x:c>
      <x:c r="J104" s="123" t="n">
        <x:f>RSQ(E104:E124,B104:B124)</x:f>
        <x:v>0.9970308179659004</x:v>
      </x:c>
      <x:c r="K104" s="117" t="n">
        <x:f>IF(I104&gt;0,'Config'!$B$17/I104,"")</x:f>
        <x:v>141.8300664531881</x:v>
      </x:c>
      <x:c r="L104" s="120" t="n">
        <x:f>MAX(D104:D124)</x:f>
        <x:v>0.00009797003274654929</x:v>
      </x:c>
      <x:c r="M104" s="120" t="str">
        <x:f>IF(AND(H104&gt;='Config'!$B$14,J104&gt;='Config'!$B$15,L104&lt;=$E$4,I104&gt;0),K104,"")</x:f>
      </x:c>
      <x:c r="N104" s="17" t="str">
        <x:f>IF(AND(M104&lt;&gt;"",ABS(M104-$G$4)&lt;='Config'!$B$22),"SELECTED","")</x:f>
      </x:c>
    </x:row>
    <x:row r="105">
      <x:c r="A105" s="15" t="n">
        <x:v>341</x:v>
      </x:c>
      <x:c r="B105" s="117" t="n">
        <x:f>VALUE('Raw_Data'!I341)</x:f>
        <x:v>0.2900000000000003</x:v>
      </x:c>
      <x:c r="C105" s="117" t="n">
        <x:f>ROUND(B105,'Config'!$B$25)</x:f>
        <x:v>0.29</x:v>
      </x:c>
      <x:c r="D105" s="120" t="n">
        <x:f>VALUE('Raw_Data'!J341)</x:f>
        <x:v>0.00002131388284702994</x:v>
      </x:c>
      <x:c r="E105" s="117" t="n">
        <x:f>LN(ABS(D105))/LN(10)</x:f>
        <x:v>-4.671337425676249</x:v>
      </x:c>
      <x:c r="F105" s="117" t="n">
        <x:f>B105</x:f>
        <x:v>0.2900000000000003</x:v>
      </x:c>
      <x:c r="G105" s="117" t="n">
        <x:f>B125</x:f>
        <x:v>0.3900000000000003</x:v>
      </x:c>
      <x:c r="H105" s="117" t="n">
        <x:f>MAX(E105:E125)-MIN(E105:E125)</x:f>
        <x:v>0.6899794332703792</x:v>
      </x:c>
      <x:c r="I105" s="117" t="n">
        <x:f>SLOPE(E105:E125,B105:B125)</x:f>
        <x:v>6.908221823767972</x:v>
      </x:c>
      <x:c r="J105" s="123" t="n">
        <x:f>RSQ(E105:E125,B105:B125)</x:f>
        <x:v>0.996838238109746</x:v>
      </x:c>
      <x:c r="K105" s="117" t="n">
        <x:f>IF(I105&gt;0,'Config'!$B$17/I105,"")</x:f>
        <x:v>144.75505064985984</x:v>
      </x:c>
      <x:c r="L105" s="120" t="n">
        <x:f>MAX(D105:D125)</x:f>
        <x:v>0.0001043859402847839</x:v>
      </x:c>
      <x:c r="M105" s="120" t="str">
        <x:f>IF(AND(H105&gt;='Config'!$B$14,J105&gt;='Config'!$B$15,L105&lt;=$E$4,I105&gt;0),K105,"")</x:f>
      </x:c>
      <x:c r="N105" s="17" t="str">
        <x:f>IF(AND(M105&lt;&gt;"",ABS(M105-$G$4)&lt;='Config'!$B$22),"SELECTED","")</x:f>
      </x:c>
    </x:row>
    <x:row r="106">
      <x:c r="A106" s="15" t="n">
        <x:v>342</x:v>
      </x:c>
      <x:c r="B106" s="117" t="n">
        <x:f>VALUE('Raw_Data'!I342)</x:f>
        <x:v>0.2950000000000003</x:v>
      </x:c>
      <x:c r="C106" s="117" t="n">
        <x:f>ROUND(B106,'Config'!$B$25)</x:f>
        <x:v>0.295</x:v>
      </x:c>
      <x:c r="D106" s="120" t="n">
        <x:f>VALUE('Raw_Data'!J342)</x:f>
        <x:v>0.00002342623717936441</x:v>
      </x:c>
      <x:c r="E106" s="117" t="n">
        <x:f>LN(ABS(D106))/LN(10)</x:f>
        <x:v>-4.630297464005478</x:v>
      </x:c>
      <x:c r="F106" s="117" t="n">
        <x:f>B106</x:f>
        <x:v>0.2950000000000003</x:v>
      </x:c>
      <x:c r="G106" s="117" t="n">
        <x:f>B126</x:f>
        <x:v>0.3950000000000004</x:v>
      </x:c>
      <x:c r="H106" s="117" t="n">
        <x:f>MAX(E106:E126)-MIN(E106:E126)</x:f>
        <x:v>0.6757623075474721</x:v>
      </x:c>
      <x:c r="I106" s="117" t="n">
        <x:f>SLOPE(E106:E126,B106:B126)</x:f>
        <x:v>6.764358228712093</x:v>
      </x:c>
      <x:c r="J106" s="123" t="n">
        <x:f>RSQ(E106:E126,B106:B126)</x:f>
        <x:v>0.9966427913593671</x:v>
      </x:c>
      <x:c r="K106" s="117" t="n">
        <x:f>IF(I106&gt;0,'Config'!$B$17/I106,"")</x:f>
        <x:v>147.83368446623442</x:v>
      </x:c>
      <x:c r="L106" s="120" t="n">
        <x:f>MAX(D106:D126)</x:f>
        <x:v>0.0001110362647021781</x:v>
      </x:c>
      <x:c r="M106" s="120" t="str">
        <x:f>IF(AND(H106&gt;='Config'!$B$14,J106&gt;='Config'!$B$15,L106&lt;=$E$4,I106&gt;0),K106,"")</x:f>
      </x:c>
      <x:c r="N106" s="17" t="str">
        <x:f>IF(AND(M106&lt;&gt;"",ABS(M106-$G$4)&lt;='Config'!$B$22),"SELECTED","")</x:f>
      </x:c>
    </x:row>
    <x:row r="107">
      <x:c r="A107" s="15" t="n">
        <x:v>343</x:v>
      </x:c>
      <x:c r="B107" s="117" t="n">
        <x:f>VALUE('Raw_Data'!I343)</x:f>
        <x:v>0.3000000000000003</x:v>
      </x:c>
      <x:c r="C107" s="117" t="n">
        <x:f>ROUND(B107,'Config'!$B$25)</x:f>
        <x:v>0.3</x:v>
      </x:c>
      <x:c r="D107" s="120" t="n">
        <x:f>VALUE('Raw_Data'!J343)</x:f>
        <x:v>0.00002571157210198044</x:v>
      </x:c>
      <x:c r="E107" s="117" t="n">
        <x:f>LN(ABS(D107))/LN(10)</x:f>
        <x:v>-4.5898713681513215</x:v>
      </x:c>
      <x:c r="F107" s="117" t="n">
        <x:f>B107</x:f>
        <x:v>0.3000000000000003</x:v>
      </x:c>
      <x:c r="G107" s="117" t="n">
        <x:f>B127</x:f>
        <x:v>0.4000000000000004</x:v>
      </x:c>
      <x:c r="H107" s="117" t="n">
        <x:f>MAX(E107:E127)-MIN(E107:E127)</x:f>
        <x:v>0.6610243349734639</x:v>
      </x:c>
      <x:c r="I107" s="117" t="n">
        <x:f>SLOPE(E107:E127,B107:B127)</x:f>
        <x:v>6.61829165754238</x:v>
      </x:c>
      <x:c r="J107" s="123" t="n">
        <x:f>RSQ(E107:E127,B107:B127)</x:f>
        <x:v>0.9964216772139118</x:v>
      </x:c>
      <x:c r="K107" s="117" t="n">
        <x:f>IF(I107&gt;0,'Config'!$B$17/I107,"")</x:f>
        <x:v>151.09639341148915</x:v>
      </x:c>
      <x:c r="L107" s="120" t="n">
        <x:f>MAX(D107:D127)</x:f>
        <x:v>0.0001178020821920154</x:v>
      </x:c>
      <x:c r="M107" s="120" t="str">
        <x:f>IF(AND(H107&gt;='Config'!$B$14,J107&gt;='Config'!$B$15,L107&lt;=$E$4,I107&gt;0),K107,"")</x:f>
      </x:c>
      <x:c r="N107" s="17" t="str">
        <x:f>IF(AND(M107&lt;&gt;"",ABS(M107-$G$4)&lt;='Config'!$B$22),"SELECTED","")</x:f>
      </x:c>
    </x:row>
    <x:row r="108">
      <x:c r="A108" s="15" t="n">
        <x:v>344</x:v>
      </x:c>
      <x:c r="B108" s="117" t="n">
        <x:f>VALUE('Raw_Data'!I344)</x:f>
        <x:v>0.3050000000000003</x:v>
      </x:c>
      <x:c r="C108" s="117" t="n">
        <x:f>ROUND(B108,'Config'!$B$25)</x:f>
        <x:v>0.305</x:v>
      </x:c>
      <x:c r="D108" s="120" t="n">
        <x:f>VALUE('Raw_Data'!J344)</x:f>
        <x:v>0.00002817898270898211</x:v>
      </x:c>
      <x:c r="E108" s="117" t="n">
        <x:f>LN(ABS(D108))/LN(10)</x:f>
        <x:v>-4.550074689432846</x:v>
      </x:c>
      <x:c r="F108" s="117" t="n">
        <x:f>B108</x:f>
        <x:v>0.3050000000000003</x:v>
      </x:c>
      <x:c r="G108" s="117" t="n">
        <x:f>B128</x:f>
        <x:v>0.4050000000000004</x:v>
      </x:c>
      <x:c r="H108" s="117" t="n">
        <x:f>MAX(E108:E128)-MIN(E108:E128)</x:f>
        <x:v>0.6466639743002442</x:v>
      </x:c>
      <x:c r="I108" s="117" t="n">
        <x:f>SLOPE(E108:E128,B108:B128)</x:f>
        <x:v>6.4716016588455645</x:v>
      </x:c>
      <x:c r="J108" s="123" t="n">
        <x:f>RSQ(E108:E128,B108:B128)</x:f>
        <x:v>0.9962079964726129</x:v>
      </x:c>
      <x:c r="K108" s="117" t="n">
        <x:f>IF(I108&gt;0,'Config'!$B$17/I108,"")</x:f>
        <x:v>154.52125342621673</x:v>
      </x:c>
      <x:c r="L108" s="120" t="n">
        <x:f>MAX(D108:D128)</x:f>
        <x:v>0.000124907721098907</x:v>
      </x:c>
      <x:c r="M108" s="120" t="str">
        <x:f>IF(AND(H108&gt;='Config'!$B$14,J108&gt;='Config'!$B$15,L108&lt;=$E$4,I108&gt;0),K108,"")</x:f>
      </x:c>
      <x:c r="N108" s="17" t="str">
        <x:f>IF(AND(M108&lt;&gt;"",ABS(M108-$G$4)&lt;='Config'!$B$22),"SELECTED","")</x:f>
      </x:c>
    </x:row>
    <x:row r="109">
      <x:c r="A109" s="15" t="n">
        <x:v>345</x:v>
      </x:c>
      <x:c r="B109" s="117" t="n">
        <x:f>VALUE('Raw_Data'!I345)</x:f>
        <x:v>0.3100000000000003</x:v>
      </x:c>
      <x:c r="C109" s="117" t="n">
        <x:f>ROUND(B109,'Config'!$B$25)</x:f>
        <x:v>0.31</x:v>
      </x:c>
      <x:c r="D109" s="120" t="n">
        <x:f>VALUE('Raw_Data'!J345)</x:f>
        <x:v>0.00003083735676314168</x:v>
      </x:c>
      <x:c r="E109" s="117" t="n">
        <x:f>LN(ABS(D109))/LN(10)</x:f>
        <x:v>-4.510922854757875</x:v>
      </x:c>
      <x:c r="F109" s="117" t="n">
        <x:f>B109</x:f>
        <x:v>0.3100000000000003</x:v>
      </x:c>
      <x:c r="G109" s="117" t="n">
        <x:f>B129</x:f>
        <x:v>0.4100000000000004</x:v>
      </x:c>
      <x:c r="H109" s="117" t="n">
        <x:f>MAX(E109:E129)-MIN(E109:E129)</x:f>
        <x:v>0.6322535470805515</x:v>
      </x:c>
      <x:c r="I109" s="117" t="n">
        <x:f>SLOPE(E109:E129,B109:B129)</x:f>
        <x:v>6.3245783841584355</x:v>
      </x:c>
      <x:c r="J109" s="123" t="n">
        <x:f>RSQ(E109:E129,B109:B129)</x:f>
        <x:v>0.9960029851650223</x:v>
      </x:c>
      <x:c r="K109" s="117" t="n">
        <x:f>IF(I109&gt;0,'Config'!$B$17/I109,"")</x:f>
        <x:v>158.11330641497972</x:v>
      </x:c>
      <x:c r="L109" s="120" t="n">
        <x:f>MAX(D109:D129)</x:f>
        <x:v>0.000132230211420627</x:v>
      </x:c>
      <x:c r="M109" s="120" t="str">
        <x:f>IF(AND(H109&gt;='Config'!$B$14,J109&gt;='Config'!$B$15,L109&lt;=$E$4,I109&gt;0),K109,"")</x:f>
      </x:c>
      <x:c r="N109" s="17" t="str">
        <x:f>IF(AND(M109&lt;&gt;"",ABS(M109-$G$4)&lt;='Config'!$B$22),"SELECTED","")</x:f>
      </x:c>
    </x:row>
    <x:row r="110">
      <x:c r="A110" s="15" t="n">
        <x:v>346</x:v>
      </x:c>
      <x:c r="B110" s="117" t="n">
        <x:f>VALUE('Raw_Data'!I346)</x:f>
        <x:v>0.3150000000000003</x:v>
      </x:c>
      <x:c r="C110" s="117" t="n">
        <x:f>ROUND(B110,'Config'!$B$25)</x:f>
        <x:v>0.315</x:v>
      </x:c>
      <x:c r="D110" s="120" t="n">
        <x:f>VALUE('Raw_Data'!J346)</x:f>
        <x:v>0.00003369527674635232</x:v>
      </x:c>
      <x:c r="E110" s="117" t="n">
        <x:f>LN(ABS(D110))/LN(10)</x:f>
        <x:v>-4.472430972326256</x:v>
      </x:c>
      <x:c r="F110" s="117" t="n">
        <x:f>B110</x:f>
        <x:v>0.3150000000000003</x:v>
      </x:c>
      <x:c r="G110" s="117" t="n">
        <x:f>B130</x:f>
        <x:v>0.4150000000000004</x:v>
      </x:c>
      <x:c r="H110" s="117" t="n">
        <x:f>MAX(E110:E130)-MIN(E110:E130)</x:f>
        <x:v>0.6178215337583124</x:v>
      </x:c>
      <x:c r="I110" s="117" t="n">
        <x:f>SLOPE(E110:E130,B110:B130)</x:f>
        <x:v>6.177519652526622</x:v>
      </x:c>
      <x:c r="J110" s="123" t="n">
        <x:f>RSQ(E110:E130,B110:B130)</x:f>
        <x:v>0.995807823670627</x:v>
      </x:c>
      <x:c r="K110" s="117" t="n">
        <x:f>IF(I110&gt;0,'Config'!$B$17/I110,"")</x:f>
        <x:v>161.87726729303034</x:v>
      </x:c>
      <x:c r="L110" s="120" t="n">
        <x:f>MAX(D110:D130)</x:f>
        <x:v>0.0001397624681243832</x:v>
      </x:c>
      <x:c r="M110" s="120" t="str">
        <x:f>IF(AND(H110&gt;='Config'!$B$14,J110&gt;='Config'!$B$15,L110&lt;=$E$4,I110&gt;0),K110,"")</x:f>
      </x:c>
      <x:c r="N110" s="17" t="str">
        <x:f>IF(AND(M110&lt;&gt;"",ABS(M110-$G$4)&lt;='Config'!$B$22),"SELECTED","")</x:f>
      </x:c>
    </x:row>
    <x:row r="111">
      <x:c r="A111" s="15" t="n">
        <x:v>347</x:v>
      </x:c>
      <x:c r="B111" s="117" t="n">
        <x:f>VALUE('Raw_Data'!I347)</x:f>
        <x:v>0.3200000000000003</x:v>
      </x:c>
      <x:c r="C111" s="117" t="n">
        <x:f>ROUND(B111,'Config'!$B$25)</x:f>
        <x:v>0.32</x:v>
      </x:c>
      <x:c r="D111" s="120" t="n">
        <x:f>VALUE('Raw_Data'!J347)</x:f>
        <x:v>0.00003676092014167665</x:v>
      </x:c>
      <x:c r="E111" s="117" t="n">
        <x:f>LN(ABS(D111))/LN(10)</x:f>
        <x:v>-4.434613626571795</x:v>
      </x:c>
      <x:c r="F111" s="117" t="n">
        <x:f>B111</x:f>
        <x:v>0.3200000000000003</x:v>
      </x:c>
      <x:c r="G111" s="117" t="n">
        <x:f>B131</x:f>
        <x:v>0.4200000000000004</x:v>
      </x:c>
      <x:c r="H111" s="117" t="n">
        <x:f>MAX(E111:E131)-MIN(E111:E131)</x:f>
        <x:v>0.6033967928668642</x:v>
      </x:c>
      <x:c r="I111" s="117" t="n">
        <x:f>SLOPE(E111:E131,B111:B131)</x:f>
        <x:v>6.030726723281302</x:v>
      </x:c>
      <x:c r="J111" s="123" t="n">
        <x:f>RSQ(E111:E131,B111:B131)</x:f>
        <x:v>0.9956235955402275</x:v>
      </x:c>
      <x:c r="K111" s="117" t="n">
        <x:f>IF(I111&gt;0,'Config'!$B$17/I111,"")</x:f>
        <x:v>165.81749528453227</x:v>
      </x:c>
      <x:c r="L111" s="120" t="n">
        <x:f>MAX(D111:D131)</x:f>
        <x:v>0.0001474969929286206</x:v>
      </x:c>
      <x:c r="M111" s="120" t="str">
        <x:f>IF(AND(H111&gt;='Config'!$B$14,J111&gt;='Config'!$B$15,L111&lt;=$E$4,I111&gt;0),K111,"")</x:f>
      </x:c>
      <x:c r="N111" s="17" t="str">
        <x:f>IF(AND(M111&lt;&gt;"",ABS(M111-$G$4)&lt;='Config'!$B$22),"SELECTED","")</x:f>
      </x:c>
    </x:row>
    <x:row r="112">
      <x:c r="A112" s="15" t="n">
        <x:v>348</x:v>
      </x:c>
      <x:c r="B112" s="117" t="n">
        <x:f>VALUE('Raw_Data'!I348)</x:f>
        <x:v>0.3250000000000003</x:v>
      </x:c>
      <x:c r="C112" s="117" t="n">
        <x:f>ROUND(B112,'Config'!$B$25)</x:f>
        <x:v>0.325</x:v>
      </x:c>
      <x:c r="D112" s="120" t="n">
        <x:f>VALUE('Raw_Data'!J348)</x:f>
        <x:v>0.00004004196032855737</x:v>
      </x:c>
      <x:c r="E112" s="117" t="n">
        <x:f>LN(ABS(D112))/LN(10)</x:f>
        <x:v>-4.39748466897906</x:v>
      </x:c>
      <x:c r="F112" s="117" t="n">
        <x:f>B112</x:f>
        <x:v>0.3250000000000003</x:v>
      </x:c>
      <x:c r="G112" s="117" t="n">
        <x:f>B132</x:f>
        <x:v>0.4250000000000004</x:v>
      </x:c>
      <x:c r="H112" s="117" t="n">
        <x:f>MAX(E112:E132)-MIN(E112:E132)</x:f>
        <x:v>0.5890082147762472</x:v>
      </x:c>
      <x:c r="I112" s="117" t="n">
        <x:f>SLOPE(E112:E132,B112:B132)</x:f>
        <x:v>5.8845001472045375</x:v>
      </x:c>
      <x:c r="J112" s="123" t="n">
        <x:f>RSQ(E112:E132,B112:B132)</x:f>
        <x:v>0.9954512482262096</x:v>
      </x:c>
      <x:c r="K112" s="117" t="n">
        <x:f>IF(I112&gt;0,'Config'!$B$17/I112,"")</x:f>
        <x:v>169.93796838887926</x:v>
      </x:c>
      <x:c r="L112" s="120" t="n">
        <x:f>MAX(D112:D132)</x:f>
        <x:v>0.0001554259554536689</x:v>
      </x:c>
      <x:c r="M112" s="120" t="str">
        <x:f>IF(AND(H112&gt;='Config'!$B$14,J112&gt;='Config'!$B$15,L112&lt;=$E$4,I112&gt;0),K112,"")</x:f>
      </x:c>
      <x:c r="N112" s="17" t="str">
        <x:f>IF(AND(M112&lt;&gt;"",ABS(M112-$G$4)&lt;='Config'!$B$22),"SELECTED","")</x:f>
      </x:c>
    </x:row>
    <x:row r="113">
      <x:c r="A113" s="15" t="n">
        <x:v>349</x:v>
      </x:c>
      <x:c r="B113" s="117" t="n">
        <x:f>VALUE('Raw_Data'!I349)</x:f>
        <x:v>0.3300000000000003</x:v>
      </x:c>
      <x:c r="C113" s="117" t="n">
        <x:f>ROUND(B113,'Config'!$B$25)</x:f>
        <x:v>0.33</x:v>
      </x:c>
      <x:c r="D113" s="120" t="n">
        <x:f>VALUE('Raw_Data'!J349)</x:f>
        <x:v>0.00004354547060036462</x:v>
      </x:c>
      <x:c r="E113" s="117" t="n">
        <x:f>LN(ABS(D113))/LN(10)</x:f>
        <x:v>-4.3610570116222975</x:v>
      </x:c>
      <x:c r="F113" s="117" t="n">
        <x:f>B113</x:f>
        <x:v>0.3300000000000003</x:v>
      </x:c>
      <x:c r="G113" s="117" t="n">
        <x:f>B133</x:f>
        <x:v>0.4300000000000004</x:v>
      </x:c>
      <x:c r="H113" s="117" t="n">
        <x:f>MAX(E113:E133)-MIN(E113:E133)</x:f>
        <x:v>0.5746843824157093</x:v>
      </x:c>
      <x:c r="I113" s="117" t="n">
        <x:f>SLOPE(E113:E133,B113:B133)</x:f>
        <x:v>5.73913580778059</x:v>
      </x:c>
      <x:c r="J113" s="123" t="n">
        <x:f>RSQ(E113:E133,B113:B133)</x:f>
        <x:v>0.9952915570151619</x:v>
      </x:c>
      <x:c r="K113" s="117" t="n">
        <x:f>IF(I113&gt;0,'Config'!$B$17/I113,"")</x:f>
        <x:v>174.24226111608866</x:v>
      </x:c>
      <x:c r="L113" s="120" t="n">
        <x:f>MAX(D113:D133)</x:f>
        <x:v>0.0001635412718062476</x:v>
      </x:c>
      <x:c r="M113" s="120" t="str">
        <x:f>IF(AND(H113&gt;='Config'!$B$14,J113&gt;='Config'!$B$15,L113&lt;=$E$4,I113&gt;0),K113,"")</x:f>
      </x:c>
      <x:c r="N113" s="17" t="str">
        <x:f>IF(AND(M113&lt;&gt;"",ABS(M113-$G$4)&lt;='Config'!$B$22),"SELECTED","")</x:f>
      </x:c>
    </x:row>
    <x:row r="114">
      <x:c r="A114" s="15" t="n">
        <x:v>350</x:v>
      </x:c>
      <x:c r="B114" s="117" t="n">
        <x:f>VALUE('Raw_Data'!I350)</x:f>
        <x:v>0.3350000000000003</x:v>
      </x:c>
      <x:c r="C114" s="117" t="n">
        <x:f>ROUND(B114,'Config'!$B$25)</x:f>
        <x:v>0.335</x:v>
      </x:c>
      <x:c r="D114" s="120" t="n">
        <x:f>VALUE('Raw_Data'!J350)</x:f>
        <x:v>0.00004727783383069106</x:v>
      </x:c>
      <x:c r="E114" s="117" t="n">
        <x:f>LN(ABS(D114))/LN(10)</x:f>
        <x:v>-4.325342430115995</x:v>
      </x:c>
      <x:c r="F114" s="117" t="n">
        <x:f>B114</x:f>
        <x:v>0.3350000000000003</x:v>
      </x:c>
      <x:c r="G114" s="117" t="n">
        <x:f>B134</x:f>
        <x:v>0.4350000000000004</x:v>
      </x:c>
      <x:c r="H114" s="117" t="n">
        <x:f>MAX(E114:E134)-MIN(E114:E134)</x:f>
        <x:v>0.5604532473298582</x:v>
      </x:c>
      <x:c r="I114" s="117" t="n">
        <x:f>SLOPE(E114:E134,B114:B134)</x:f>
        <x:v>5.594921248968703</x:v>
      </x:c>
      <x:c r="J114" s="123" t="n">
        <x:f>RSQ(E114:E134,B114:B134)</x:f>
        <x:v>0.9951450932396362</x:v>
      </x:c>
      <x:c r="K114" s="117" t="n">
        <x:f>IF(I114&gt;0,'Config'!$B$17/I114,"")</x:f>
        <x:v>178.73352554950213</x:v>
      </x:c>
      <x:c r="L114" s="120" t="n">
        <x:f>MAX(D114:D134)</x:f>
        <x:v>0.0001718346795011256</x:v>
      </x:c>
      <x:c r="M114" s="120" t="str">
        <x:f>IF(AND(H114&gt;='Config'!$B$14,J114&gt;='Config'!$B$15,L114&lt;=$E$4,I114&gt;0),K114,"")</x:f>
      </x:c>
      <x:c r="N114" s="17" t="str">
        <x:f>IF(AND(M114&lt;&gt;"",ABS(M114-$G$4)&lt;='Config'!$B$22),"SELECTED","")</x:f>
      </x:c>
    </x:row>
    <x:row r="115">
      <x:c r="A115" s="15" t="n">
        <x:v>351</x:v>
      </x:c>
      <x:c r="B115" s="117" t="n">
        <x:f>VALUE('Raw_Data'!I351)</x:f>
        <x:v>0.3400000000000003</x:v>
      </x:c>
      <x:c r="C115" s="117" t="n">
        <x:f>ROUND(B115,'Config'!$B$25)</x:f>
        <x:v>0.34</x:v>
      </x:c>
      <x:c r="D115" s="120" t="n">
        <x:f>VALUE('Raw_Data'!J351)</x:f>
        <x:v>0.00005124466021618722</x:v>
      </x:c>
      <x:c r="E115" s="117" t="n">
        <x:f>LN(ABS(D115))/LN(10)</x:f>
        <x:v>-4.290351382164192</x:v>
      </x:c>
      <x:c r="F115" s="117" t="n">
        <x:f>B115</x:f>
        <x:v>0.3400000000000003</x:v>
      </x:c>
      <x:c r="G115" s="117" t="n">
        <x:f>B135</x:f>
        <x:v>0.4400000000000004</x:v>
      </x:c>
      <x:c r="H115" s="117" t="n">
        <x:f>MAX(E115:E135)-MIN(E115:E135)</x:f>
        <x:v>0.5463418285369683</x:v>
      </x:c>
      <x:c r="I115" s="117" t="n">
        <x:f>SLOPE(E115:E135,B115:B135)</x:f>
        <x:v>5.452132367902866</x:v>
      </x:c>
      <x:c r="J115" s="123" t="n">
        <x:f>RSQ(E115:E135,B115:B135)</x:f>
        <x:v>0.9950121975874752</x:v>
      </x:c>
      <x:c r="K115" s="117" t="n">
        <x:f>IF(I115&gt;0,'Config'!$B$17/I115,"")</x:f>
        <x:v>183.41447575394153</x:v>
      </x:c>
      <x:c r="L115" s="120" t="n">
        <x:f>MAX(D115:D135)</x:f>
        <x:v>0.00018029780784401</x:v>
      </x:c>
      <x:c r="M115" s="120" t="str">
        <x:f>IF(AND(H115&gt;='Config'!$B$14,J115&gt;='Config'!$B$15,L115&lt;=$E$4,I115&gt;0),K115,"")</x:f>
      </x:c>
      <x:c r="N115" s="17" t="str">
        <x:f>IF(AND(M115&lt;&gt;"",ABS(M115-$G$4)&lt;='Config'!$B$22),"SELECTED","")</x:f>
      </x:c>
    </x:row>
    <x:row r="116">
      <x:c r="A116" s="15" t="n">
        <x:v>352</x:v>
      </x:c>
      <x:c r="B116" s="117" t="n">
        <x:f>VALUE('Raw_Data'!I352)</x:f>
        <x:v>0.3450000000000003</x:v>
      </x:c>
      <x:c r="C116" s="117" t="n">
        <x:f>ROUND(B116,'Config'!$B$25)</x:f>
        <x:v>0.345</x:v>
      </x:c>
      <x:c r="D116" s="120" t="n">
        <x:f>VALUE('Raw_Data'!J352)</x:f>
        <x:v>0.00005545071531203118</x:v>
      </x:c>
      <x:c r="E116" s="117" t="n">
        <x:f>LN(ABS(D116))/LN(10)</x:f>
        <x:v>-4.2560928470970705</x:v>
      </x:c>
      <x:c r="F116" s="117" t="n">
        <x:f>B116</x:f>
        <x:v>0.3450000000000003</x:v>
      </x:c>
      <x:c r="G116" s="117" t="n">
        <x:f>B136</x:f>
        <x:v>0.4450000000000004</x:v>
      </x:c>
      <x:c r="H116" s="117" t="n">
        <x:f>MAX(E116:E136)-MIN(E116:E136)</x:f>
        <x:v>0.5323759405026403</x:v>
      </x:c>
      <x:c r="I116" s="117" t="n">
        <x:f>SLOPE(E116:E136,B116:B136)</x:f>
        <x:v>5.311030531332871</x:v>
      </x:c>
      <x:c r="J116" s="123" t="n">
        <x:f>RSQ(E116:E136,B116:B136)</x:f>
        <x:v>0.9948929590492085</x:v>
      </x:c>
      <x:c r="K116" s="117" t="n">
        <x:f>IF(I116&gt;0,'Config'!$B$17/I116,"")</x:f>
        <x:v>188.28737551034888</x:v>
      </x:c>
      <x:c r="L116" s="120" t="n">
        <x:f>MAX(D116:D136)</x:f>
        <x:v>0.0001889222431137748</x:v>
      </x:c>
      <x:c r="M116" s="120" t="str">
        <x:f>IF(AND(H116&gt;='Config'!$B$14,J116&gt;='Config'!$B$15,L116&lt;=$E$4,I116&gt;0),K116,"")</x:f>
      </x:c>
      <x:c r="N116" s="17" t="str">
        <x:f>IF(AND(M116&lt;&gt;"",ABS(M116-$G$4)&lt;='Config'!$B$22),"SELECTED","")</x:f>
      </x:c>
    </x:row>
    <x:row r="117">
      <x:c r="A117" s="15" t="n">
        <x:v>353</x:v>
      </x:c>
      <x:c r="B117" s="117" t="n">
        <x:f>VALUE('Raw_Data'!I353)</x:f>
        <x:v>0.3500000000000003</x:v>
      </x:c>
      <x:c r="C117" s="117" t="n">
        <x:f>ROUND(B117,'Config'!$B$25)</x:f>
        <x:v>0.35</x:v>
      </x:c>
      <x:c r="D117" s="120" t="n">
        <x:f>VALUE('Raw_Data'!J353)</x:f>
        <x:v>0.00005989985871927532</x:v>
      </x:c>
      <x:c r="E117" s="117" t="n">
        <x:f>LN(ABS(D117))/LN(10)</x:f>
        <x:v>-4.2225742019431</x:v>
      </x:c>
      <x:c r="F117" s="117" t="n">
        <x:f>B117</x:f>
        <x:v>0.3500000000000003</x:v>
      </x:c>
      <x:c r="G117" s="117" t="n">
        <x:f>B137</x:f>
        <x:v>0.4500000000000004</x:v>
      </x:c>
      <x:c r="H117" s="117" t="n">
        <x:f>MAX(E117:E137)-MIN(E117:E137)</x:f>
        <x:v>0.5185799663839559</x:v>
      </x:c>
      <x:c r="I117" s="117" t="n">
        <x:f>SLOPE(E117:E137,B117:B137)</x:f>
        <x:v>5.171860154638573</x:v>
      </x:c>
      <x:c r="J117" s="123" t="n">
        <x:f>RSQ(E117:E137,B117:B137)</x:f>
        <x:v>0.9947871997676029</x:v>
      </x:c>
      <x:c r="K117" s="117" t="n">
        <x:f>IF(I117&gt;0,'Config'!$B$17/I117,"")</x:f>
        <x:v>193.35402932407467</x:v>
      </x:c>
      <x:c r="L117" s="120" t="n">
        <x:f>MAX(D117:D137)</x:f>
        <x:v>0.0001976995880832546</x:v>
      </x:c>
      <x:c r="M117" s="120" t="str">
        <x:f>IF(AND(H117&gt;='Config'!$B$14,J117&gt;='Config'!$B$15,L117&lt;=$E$4,I117&gt;0),K117,"")</x:f>
      </x:c>
      <x:c r="N117" s="17" t="str">
        <x:f>IF(AND(M117&lt;&gt;"",ABS(M117-$G$4)&lt;='Config'!$B$22),"SELECTED","")</x:f>
      </x:c>
    </x:row>
    <x:row r="118">
      <x:c r="A118" s="15" t="n">
        <x:v>354</x:v>
      </x:c>
      <x:c r="B118" s="117" t="n">
        <x:f>VALUE('Raw_Data'!I354)</x:f>
        <x:v>0.3550000000000003</x:v>
      </x:c>
      <x:c r="C118" s="117" t="n">
        <x:f>ROUND(B118,'Config'!$B$25)</x:f>
        <x:v>0.355</x:v>
      </x:c>
      <x:c r="D118" s="120" t="n">
        <x:f>VALUE('Raw_Data'!J354)</x:f>
        <x:v>0.00006459499292622616</x:v>
      </x:c>
      <x:c r="E118" s="117" t="n">
        <x:f>LN(ABS(D118))/LN(10)</x:f>
        <x:v>-4.189801144989252</x:v>
      </x:c>
      <x:c r="F118" s="117" t="n">
        <x:f>B118</x:f>
        <x:v>0.3550000000000003</x:v>
      </x:c>
      <x:c r="G118" s="117" t="n">
        <x:f>B138</x:f>
        <x:v>0.4550000000000004</x:v>
      </x:c>
      <x:c r="H118" s="117" t="n">
        <x:f>MAX(E118:E138)-MIN(E118:E138)</x:f>
        <x:v>0.504976687827118</x:v>
      </x:c>
      <x:c r="I118" s="117" t="n">
        <x:f>SLOPE(E118:E138,B118:B138)</x:f>
        <x:v>5.034846730963982</x:v>
      </x:c>
      <x:c r="J118" s="123" t="n">
        <x:f>RSQ(E118:E138,B118:B138)</x:f>
        <x:v>0.9946944670849518</x:v>
      </x:c>
      <x:c r="K118" s="117" t="n">
        <x:f>IF(I118&gt;0,'Config'!$B$17/I118,"")</x:f>
        <x:v>198.6157778845709</x:v>
      </x:c>
      <x:c r="L118" s="120" t="n">
        <x:f>MAX(D118:D138)</x:f>
        <x:v>0.0002066215156007742</x:v>
      </x:c>
      <x:c r="M118" s="120" t="str">
        <x:f>IF(AND(H118&gt;='Config'!$B$14,J118&gt;='Config'!$B$15,L118&lt;=$E$4,I118&gt;0),K118,"")</x:f>
      </x:c>
      <x:c r="N118" s="17" t="str">
        <x:f>IF(AND(M118&lt;&gt;"",ABS(M118-$G$4)&lt;='Config'!$B$22),"SELECTED","")</x:f>
      </x:c>
    </x:row>
    <x:row r="119">
      <x:c r="A119" s="15" t="n">
        <x:v>355</x:v>
      </x:c>
      <x:c r="B119" s="117" t="n">
        <x:f>VALUE('Raw_Data'!I355)</x:f>
        <x:v>0.3600000000000003</x:v>
      </x:c>
      <x:c r="C119" s="117" t="n">
        <x:f>ROUND(B119,'Config'!$B$25)</x:f>
        <x:v>0.36</x:v>
      </x:c>
      <x:c r="D119" s="120" t="n">
        <x:f>VALUE('Raw_Data'!J355)</x:f>
        <x:v>0.00006953804419494139</x:v>
      </x:c>
      <x:c r="E119" s="117" t="n">
        <x:f>LN(ABS(D119))/LN(10)</x:f>
        <x:v>-4.157777528310358</x:v>
      </x:c>
      <x:c r="F119" s="117" t="n">
        <x:f>B119</x:f>
        <x:v>0.3600000000000003</x:v>
      </x:c>
      <x:c r="G119" s="117" t="n">
        <x:f>B139</x:f>
        <x:v>0.4600000000000004</x:v>
      </x:c>
      <x:c r="H119" s="117" t="n">
        <x:f>MAX(E119:E139)-MIN(E119:E139)</x:f>
        <x:v>0.491587032896323</x:v>
      </x:c>
      <x:c r="I119" s="117" t="n">
        <x:f>SLOPE(E119:E139,B119:B139)</x:f>
        <x:v>4.900195255131556</x:v>
      </x:c>
      <x:c r="J119" s="123" t="n">
        <x:f>RSQ(E119:E139,B119:B139)</x:f>
        <x:v>0.9946140355934886</x:v>
      </x:c>
      <x:c r="K119" s="117" t="n">
        <x:f>IF(I119&gt;0,'Config'!$B$17/I119,"")</x:f>
        <x:v>204.07350073505447</x:v>
      </x:c>
      <x:c r="L119" s="120" t="n">
        <x:f>MAX(D119:D139)</x:f>
        <x:v>0.0002156798161163826</x:v>
      </x:c>
      <x:c r="M119" s="120" t="str">
        <x:f>IF(AND(H119&gt;='Config'!$B$14,J119&gt;='Config'!$B$15,L119&lt;=$E$4,I119&gt;0),K119,"")</x:f>
      </x:c>
      <x:c r="N119" s="17" t="str">
        <x:f>IF(AND(M119&lt;&gt;"",ABS(M119-$G$4)&lt;='Config'!$B$22),"SELECTED","")</x:f>
      </x:c>
    </x:row>
    <x:row r="120">
      <x:c r="A120" s="15" t="n">
        <x:v>356</x:v>
      </x:c>
      <x:c r="B120" s="117" t="n">
        <x:f>VALUE('Raw_Data'!I356)</x:f>
        <x:v>0.3650000000000003</x:v>
      </x:c>
      <x:c r="C120" s="117" t="n">
        <x:f>ROUND(B120,'Config'!$B$25)</x:f>
        <x:v>0.365</x:v>
      </x:c>
      <x:c r="D120" s="120" t="n">
        <x:f>VALUE('Raw_Data'!J356)</x:f>
        <x:v>0.00007472994188711403</x:v>
      </x:c>
      <x:c r="E120" s="117" t="n">
        <x:f>LN(ABS(D120))/LN(10)</x:f>
        <x:v>-4.1265053554678435</x:v>
      </x:c>
      <x:c r="F120" s="117" t="n">
        <x:f>B120</x:f>
        <x:v>0.3650000000000003</x:v>
      </x:c>
      <x:c r="G120" s="117" t="n">
        <x:f>B140</x:f>
        <x:v>0.4650000000000004</x:v>
      </x:c>
      <x:c r="H120" s="117" t="n">
        <x:f>MAX(E120:E140)-MIN(E120:E140)</x:f>
        <x:v>0.47842999823845034</x:v>
      </x:c>
      <x:c r="I120" s="117" t="n">
        <x:f>SLOPE(E120:E140,B120:B140)</x:f>
        <x:v>4.768089367802777</x:v>
      </x:c>
      <x:c r="J120" s="123" t="n">
        <x:f>RSQ(E120:E140,B120:B140)</x:f>
        <x:v>0.9945449059018847</x:v>
      </x:c>
      <x:c r="K120" s="117" t="n">
        <x:f>IF(I120&gt;0,'Config'!$B$17/I120,"")</x:f>
        <x:v>209.72761264766694</x:v>
      </x:c>
      <x:c r="L120" s="120" t="n">
        <x:f>MAX(D120:D140)</x:f>
        <x:v>0.0002248664391758099</x:v>
      </x:c>
      <x:c r="M120" s="120" t="str">
        <x:f>IF(AND(H120&gt;='Config'!$B$14,J120&gt;='Config'!$B$15,L120&lt;=$E$4,I120&gt;0),K120,"")</x:f>
      </x:c>
      <x:c r="N120" s="17" t="str">
        <x:f>IF(AND(M120&lt;&gt;"",ABS(M120-$G$4)&lt;='Config'!$B$22),"SELECTED","")</x:f>
      </x:c>
    </x:row>
    <x:row r="121">
      <x:c r="A121" s="15" t="n">
        <x:v>357</x:v>
      </x:c>
      <x:c r="B121" s="117" t="n">
        <x:f>VALUE('Raw_Data'!I357)</x:f>
        <x:v>0.3700000000000003</x:v>
      </x:c>
      <x:c r="C121" s="117" t="n">
        <x:f>ROUND(B121,'Config'!$B$25)</x:f>
        <x:v>0.37</x:v>
      </x:c>
      <x:c r="D121" s="120" t="n">
        <x:f>VALUE('Raw_Data'!J357)</x:f>
        <x:v>0.00008017061685238506</x:v>
      </x:c>
      <x:c r="E121" s="117" t="n">
        <x:f>LN(ABS(D121))/LN(10)</x:f>
        <x:v>-4.095984774821517</x:v>
      </x:c>
      <x:c r="F121" s="117" t="n">
        <x:f>B121</x:f>
        <x:v>0.3700000000000003</x:v>
      </x:c>
      <x:c r="G121" s="117" t="n">
        <x:f>B141</x:f>
        <x:v>0.4700000000000004</x:v>
      </x:c>
      <x:c r="H121" s="117" t="n">
        <x:f>MAX(E121:E141)-MIN(E121:E141)</x:f>
        <x:v>0.46552257567805766</x:v>
      </x:c>
      <x:c r="I121" s="117" t="n">
        <x:f>SLOPE(E121:E141,B121:B141)</x:f>
        <x:v>4.638690833992445</x:v>
      </x:c>
      <x:c r="J121" s="123" t="n">
        <x:f>RSQ(E121:E141,B121:B141)</x:f>
        <x:v>0.994485811057028</x:v>
      </x:c>
      <x:c r="K121" s="117" t="n">
        <x:f>IF(I121&gt;0,'Config'!$B$17/I121,"")</x:f>
        <x:v>215.57806626645052</x:v>
      </x:c>
      <x:c r="L121" s="120" t="n">
        <x:f>MAX(D121:D141)</x:f>
        <x:v>0.0002341735290210024</x:v>
      </x:c>
      <x:c r="M121" s="120" t="str">
        <x:f>IF(AND(H121&gt;='Config'!$B$14,J121&gt;='Config'!$B$15,L121&lt;=$E$4,I121&gt;0),K121,"")</x:f>
      </x:c>
      <x:c r="N121" s="17" t="str">
        <x:f>IF(AND(M121&lt;&gt;"",ABS(M121-$G$4)&lt;='Config'!$B$22),"SELECTED","")</x:f>
      </x:c>
    </x:row>
    <x:row r="122">
      <x:c r="A122" s="15" t="n">
        <x:v>358</x:v>
      </x:c>
      <x:c r="B122" s="117" t="n">
        <x:f>VALUE('Raw_Data'!I358)</x:f>
        <x:v>0.3750000000000003</x:v>
      </x:c>
      <x:c r="C122" s="117" t="n">
        <x:f>ROUND(B122,'Config'!$B$25)</x:f>
        <x:v>0.375</x:v>
      </x:c>
      <x:c r="D122" s="120" t="n">
        <x:f>VALUE('Raw_Data'!J358)</x:f>
        <x:v>0.0000858590156844166</x:v>
      </x:c>
      <x:c r="E122" s="117" t="n">
        <x:f>LN(ABS(D122))/LN(10)</x:f>
        <x:v>-4.066214094720739</x:v>
      </x:c>
      <x:c r="F122" s="117" t="n">
        <x:f>B122</x:f>
        <x:v>0.3750000000000003</x:v>
      </x:c>
      <x:c r="G122" s="117" t="n">
        <x:f>B142</x:f>
        <x:v>0.4750000000000004</x:v>
      </x:c>
      <x:c r="H122" s="117" t="n">
        <x:f>MAX(E122:E142)-MIN(E122:E142)</x:f>
        <x:v>0.4528797091415213</x:v>
      </x:c>
      <x:c r="I122" s="117" t="n">
        <x:f>SLOPE(E122:E142,B122:B142)</x:f>
        <x:v>4.512139408345137</x:v>
      </x:c>
      <x:c r="J122" s="123" t="n">
        <x:f>RSQ(E122:E142,B122:B142)</x:f>
        <x:v>0.9944352276969923</x:v>
      </x:c>
      <x:c r="K122" s="117" t="n">
        <x:f>IF(I122&gt;0,'Config'!$B$17/I122,"")</x:f>
        <x:v>221.62435809286265</x:v>
      </x:c>
      <x:c r="L122" s="120" t="n">
        <x:f>MAX(D122:D142)</x:f>
        <x:v>0.0002435934545293929</x:v>
      </x:c>
      <x:c r="M122" s="120" t="str">
        <x:f>IF(AND(H122&gt;='Config'!$B$14,J122&gt;='Config'!$B$15,L122&lt;=$E$4,I122&gt;0),K122,"")</x:f>
      </x:c>
      <x:c r="N122" s="17" t="str">
        <x:f>IF(AND(M122&lt;&gt;"",ABS(M122-$G$4)&lt;='Config'!$B$22),"SELECTED","")</x:f>
      </x:c>
    </x:row>
    <x:row r="123">
      <x:c r="A123" s="15" t="n">
        <x:v>359</x:v>
      </x:c>
      <x:c r="B123" s="117" t="n">
        <x:f>VALUE('Raw_Data'!I359)</x:f>
        <x:v>0.3800000000000003</x:v>
      </x:c>
      <x:c r="C123" s="117" t="n">
        <x:f>ROUND(B123,'Config'!$B$25)</x:f>
        <x:v>0.38</x:v>
      </x:c>
      <x:c r="D123" s="120" t="n">
        <x:f>VALUE('Raw_Data'!J359)</x:f>
        <x:v>0.00009179312903434035</x:v>
      </x:c>
      <x:c r="E123" s="117" t="n">
        <x:f>LN(ABS(D123))/LN(10)</x:f>
        <x:v>-4.037189825706705</x:v>
      </x:c>
      <x:c r="F123" s="117" t="n">
        <x:f>B123</x:f>
        <x:v>0.3800000000000003</x:v>
      </x:c>
      <x:c r="G123" s="117" t="n">
        <x:f>B143</x:f>
        <x:v>0.4800000000000004</x:v>
      </x:c>
      <x:c r="H123" s="117" t="n">
        <x:f>MAX(E123:E143)-MIN(E123:E143)</x:f>
        <x:v>0.4405142869019216</x:v>
      </x:c>
      <x:c r="I123" s="117" t="n">
        <x:f>SLOPE(E123:E143,B123:B143)</x:f>
        <x:v>4.388553063116165</x:v>
      </x:c>
      <x:c r="J123" s="123" t="n">
        <x:f>RSQ(E123:E143,B123:B143)</x:f>
        <x:v>0.9943913907142721</x:v>
      </x:c>
      <x:c r="K123" s="117" t="n">
        <x:f>IF(I123&gt;0,'Config'!$B$17/I123,"")</x:f>
        <x:v>227.86553691342027</x:v>
      </x:c>
      <x:c r="L123" s="120" t="n">
        <x:f>MAX(D123:D143)</x:f>
        <x:v>0.000253118833979274</x:v>
      </x:c>
      <x:c r="M123" s="120" t="str">
        <x:f>IF(AND(H123&gt;='Config'!$B$14,J123&gt;='Config'!$B$15,L123&lt;=$E$4,I123&gt;0),K123,"")</x:f>
      </x:c>
      <x:c r="N123" s="17" t="str">
        <x:f>IF(AND(M123&lt;&gt;"",ABS(M123-$G$4)&lt;='Config'!$B$22),"SELECTED","")</x:f>
      </x:c>
    </x:row>
    <x:row r="124">
      <x:c r="A124" s="15" t="n">
        <x:v>360</x:v>
      </x:c>
      <x:c r="B124" s="117" t="n">
        <x:f>VALUE('Raw_Data'!I360)</x:f>
        <x:v>0.3850000000000003</x:v>
      </x:c>
      <x:c r="C124" s="117" t="n">
        <x:f>ROUND(B124,'Config'!$B$25)</x:f>
        <x:v>0.385</x:v>
      </x:c>
      <x:c r="D124" s="120" t="n">
        <x:f>VALUE('Raw_Data'!J360)</x:f>
        <x:v>0.00009797003274654929</x:v>
      </x:c>
      <x:c r="E124" s="117" t="n">
        <x:f>LN(ABS(D124))/LN(10)</x:f>
        <x:v>-4.008906746787866</x:v>
      </x:c>
      <x:c r="F124" s="117" t="n">
        <x:f>B124</x:f>
        <x:v>0.3850000000000003</x:v>
      </x:c>
      <x:c r="G124" s="117" t="n">
        <x:f>B144</x:f>
        <x:v>0.4850000000000004</x:v>
      </x:c>
      <x:c r="H124" s="117" t="n">
        <x:f>MAX(E124:E144)-MIN(E124:E144)</x:f>
        <x:v>0.4284371640389186</x:v>
      </x:c>
      <x:c r="I124" s="117" t="n">
        <x:f>SLOPE(E124:E144,B124:B144)</x:f>
        <x:v>4.268028526665576</x:v>
      </x:c>
      <x:c r="J124" s="123" t="n">
        <x:f>RSQ(E124:E144,B124:B144)</x:f>
        <x:v>0.9943523106028274</x:v>
      </x:c>
      <x:c r="K124" s="117" t="n">
        <x:f>IF(I124&gt;0,'Config'!$B$17/I124,"")</x:f>
        <x:v>234.30021466638513</x:v>
      </x:c>
      <x:c r="L124" s="120" t="n">
        <x:f>MAX(D124:D144)</x:f>
        <x:v>0.0002627425540466234</x:v>
      </x:c>
      <x:c r="M124" s="120" t="str">
        <x:f>IF(AND(H124&gt;='Config'!$B$14,J124&gt;='Config'!$B$15,L124&lt;=$E$4,I124&gt;0),K124,"")</x:f>
      </x:c>
      <x:c r="N124" s="17" t="str">
        <x:f>IF(AND(M124&lt;&gt;"",ABS(M124-$G$4)&lt;='Config'!$B$22),"SELECTED","")</x:f>
      </x:c>
    </x:row>
    <x:row r="125">
      <x:c r="A125" s="15" t="n">
        <x:v>361</x:v>
      </x:c>
      <x:c r="B125" s="117" t="n">
        <x:f>VALUE('Raw_Data'!I361)</x:f>
        <x:v>0.3900000000000003</x:v>
      </x:c>
      <x:c r="C125" s="117" t="n">
        <x:f>ROUND(B125,'Config'!$B$25)</x:f>
        <x:v>0.39</x:v>
      </x:c>
      <x:c r="D125" s="120" t="n">
        <x:f>VALUE('Raw_Data'!J361)</x:f>
        <x:v>0.0001043859402847839</x:v>
      </x:c>
      <x:c r="E125" s="117" t="n">
        <x:f>LN(ABS(D125))/LN(10)</x:f>
        <x:v>-3.98135799240587</x:v>
      </x:c>
      <x:c r="F125" s="117" t="n">
        <x:f>B125</x:f>
        <x:v>0.3900000000000003</x:v>
      </x:c>
      <x:c r="G125" s="117" t="n">
        <x:f>B145</x:f>
        <x:v>0.4900000000000004</x:v>
      </x:c>
      <x:c r="H125" s="117" t="n">
        <x:f>MAX(E125:E145)-MIN(E125:E145)</x:f>
        <x:v>0.4166572147130472</x:v>
      </x:c>
      <x:c r="I125" s="117" t="n">
        <x:f>SLOPE(E125:E145,B125:B145)</x:f>
        <x:v>4.150642087802188</x:v>
      </x:c>
      <x:c r="J125" s="123" t="n">
        <x:f>RSQ(E125:E145,B125:B145)</x:f>
        <x:v>0.9943157930861379</x:v>
      </x:c>
      <x:c r="K125" s="117" t="n">
        <x:f>IF(I125&gt;0,'Config'!$B$17/I125,"")</x:f>
        <x:v>240.92657927282553</x:v>
      </x:c>
      <x:c r="L125" s="120" t="n">
        <x:f>MAX(D125:D145)</x:f>
        <x:v>0.000272457785434117</x:v>
      </x:c>
      <x:c r="M125" s="120" t="str">
        <x:f>IF(AND(H125&gt;='Config'!$B$14,J125&gt;='Config'!$B$15,L125&lt;=$E$4,I125&gt;0),K125,"")</x:f>
      </x:c>
      <x:c r="N125" s="17" t="str">
        <x:f>IF(AND(M125&lt;&gt;"",ABS(M125-$G$4)&lt;='Config'!$B$22),"SELECTED","")</x:f>
      </x:c>
    </x:row>
    <x:row r="126">
      <x:c r="A126" s="15" t="n">
        <x:v>362</x:v>
      </x:c>
      <x:c r="B126" s="117" t="n">
        <x:f>VALUE('Raw_Data'!I362)</x:f>
        <x:v>0.3950000000000004</x:v>
      </x:c>
      <x:c r="C126" s="117" t="n">
        <x:f>ROUND(B126,'Config'!$B$25)</x:f>
        <x:v>0.395</x:v>
      </x:c>
      <x:c r="D126" s="120" t="n">
        <x:f>VALUE('Raw_Data'!J362)</x:f>
        <x:v>0.0001110362647021781</x:v>
      </x:c>
      <x:c r="E126" s="117" t="n">
        <x:f>LN(ABS(D126))/LN(10)</x:f>
        <x:v>-3.954535156458006</x:v>
      </x:c>
      <x:c r="F126" s="117" t="n">
        <x:f>B126</x:f>
        <x:v>0.3950000000000004</x:v>
      </x:c>
      <x:c r="G126" s="117" t="n">
        <x:f>B146</x:f>
        <x:v>0.4950000000000004</x:v>
      </x:c>
      <x:c r="H126" s="117" t="n">
        <x:f>MAX(E126:E146)-MIN(E126:E146)</x:f>
        <x:v>0.40518140617014353</x:v>
      </x:c>
      <x:c r="I126" s="117" t="n">
        <x:f>SLOPE(E126:E146,B126:B146)</x:f>
        <x:v>4.036450610797638</x:v>
      </x:c>
      <x:c r="J126" s="123" t="n">
        <x:f>RSQ(E126:E146,B126:B146)</x:f>
        <x:v>0.9942794602154957</x:v>
      </x:c>
      <x:c r="K126" s="117" t="n">
        <x:f>IF(I126&gt;0,'Config'!$B$17/I126,"")</x:f>
        <x:v>247.74240946364293</x:v>
      </x:c>
      <x:c r="L126" s="120" t="n">
        <x:f>MAX(D126:D146)</x:f>
        <x:v>0.000282257993365207</x:v>
      </x:c>
      <x:c r="M126" s="120" t="str">
        <x:f>IF(AND(H126&gt;='Config'!$B$14,J126&gt;='Config'!$B$15,L126&lt;=$E$4,I126&gt;0),K126,"")</x:f>
      </x:c>
      <x:c r="N126" s="17" t="str">
        <x:f>IF(AND(M126&lt;&gt;"",ABS(M126-$G$4)&lt;='Config'!$B$22),"SELECTED","")</x:f>
      </x:c>
    </x:row>
    <x:row r="127">
      <x:c r="A127" s="15" t="n">
        <x:v>363</x:v>
      </x:c>
      <x:c r="B127" s="117" t="n">
        <x:f>VALUE('Raw_Data'!I363)</x:f>
        <x:v>0.4000000000000004</x:v>
      </x:c>
      <x:c r="C127" s="117" t="n">
        <x:f>ROUND(B127,'Config'!$B$25)</x:f>
        <x:v>0.4</x:v>
      </x:c>
      <x:c r="D127" s="120" t="n">
        <x:f>VALUE('Raw_Data'!J363)</x:f>
        <x:v>0.0001178020821920154</x:v>
      </x:c>
      <x:c r="E127" s="117" t="n">
        <x:f>LN(ABS(D127))/LN(10)</x:f>
        <x:v>-3.9288470331778576</x:v>
      </x:c>
      <x:c r="F127" s="117" t="n">
        <x:f>B127</x:f>
        <x:v>0.4000000000000004</x:v>
      </x:c>
      <x:c r="G127" s="117" t="n">
        <x:f>B147</x:f>
        <x:v>0.5000000000000004</x:v>
      </x:c>
      <x:c r="H127" s="117" t="n">
        <x:f>MAX(E127:E147)-MIN(E127:E147)</x:f>
        <x:v>0.394433515969991</x:v>
      </x:c>
      <x:c r="I127" s="117" t="n">
        <x:f>SLOPE(E127:E147,B127:B147)</x:f>
        <x:v>3.9254927140809945</x:v>
      </x:c>
      <x:c r="J127" s="123" t="n">
        <x:f>RSQ(E127:E147,B127:B147)</x:f>
        <x:v>0.994240772463567</x:v>
      </x:c>
      <x:c r="K127" s="117" t="n">
        <x:f>IF(I127&gt;0,'Config'!$B$17/I127,"")</x:f>
        <x:v>254.7450913392186</x:v>
      </x:c>
      <x:c r="L127" s="120" t="n">
        <x:f>MAX(D127:D147)</x:f>
        <x:v>0.0002921369446236649</x:v>
      </x:c>
      <x:c r="M127" s="120" t="str">
        <x:f>IF(AND(H127&gt;='Config'!$B$14,J127&gt;='Config'!$B$15,L127&lt;=$E$4,I127&gt;0),K127,"")</x:f>
      </x:c>
      <x:c r="N127" s="17" t="str">
        <x:f>IF(AND(M127&lt;&gt;"",ABS(M127-$G$4)&lt;='Config'!$B$22),"SELECTED","")</x:f>
      </x:c>
    </x:row>
    <x:row r="128">
      <x:c r="A128" s="15" t="n">
        <x:v>364</x:v>
      </x:c>
      <x:c r="B128" s="117" t="n">
        <x:f>VALUE('Raw_Data'!I364)</x:f>
        <x:v>0.4050000000000004</x:v>
      </x:c>
      <x:c r="C128" s="117" t="n">
        <x:f>ROUND(B128,'Config'!$B$25)</x:f>
        <x:v>0.405</x:v>
      </x:c>
      <x:c r="D128" s="120" t="n">
        <x:f>VALUE('Raw_Data'!J364)</x:f>
        <x:v>0.000124907721098907</x:v>
      </x:c>
      <x:c r="E128" s="117" t="n">
        <x:f>LN(ABS(D128))/LN(10)</x:f>
        <x:v>-3.903410715132602</x:v>
      </x:c>
      <x:c r="F128" s="117" t="n">
        <x:f>B128</x:f>
        <x:v>0.4050000000000004</x:v>
      </x:c>
      <x:c r="G128" s="117" t="n">
        <x:f>B148</x:f>
        <x:v>0.5050000000000004</x:v>
      </x:c>
      <x:c r="H128" s="117" t="n">
        <x:f>MAX(E128:E148)-MIN(E128:E148)</x:f>
        <x:v>0.38354521149733367</x:v>
      </x:c>
      <x:c r="I128" s="117" t="n">
        <x:f>SLOPE(E128:E148,B128:B148)</x:f>
        <x:v>3.8165939998468126</x:v>
      </x:c>
      <x:c r="J128" s="123" t="n">
        <x:f>RSQ(E128:E148,B128:B148)</x:f>
        <x:v>0.9942643545633887</x:v>
      </x:c>
      <x:c r="K128" s="117" t="n">
        <x:f>IF(I128&gt;0,'Config'!$B$17/I128,"")</x:f>
        <x:v>262.01372219317466</x:v>
      </x:c>
      <x:c r="L128" s="120" t="n">
        <x:f>MAX(D128:D148)</x:f>
        <x:v>0.0003020887112043234</x:v>
      </x:c>
      <x:c r="M128" s="120" t="str">
        <x:f>IF(AND(H128&gt;='Config'!$B$14,J128&gt;='Config'!$B$15,L128&lt;=$E$4,I128&gt;0),K128,"")</x:f>
      </x:c>
      <x:c r="N128" s="17" t="str">
        <x:f>IF(AND(M128&lt;&gt;"",ABS(M128-$G$4)&lt;='Config'!$B$22),"SELECTED","")</x:f>
      </x:c>
    </x:row>
    <x:row r="129">
      <x:c r="A129" s="15" t="n">
        <x:v>365</x:v>
      </x:c>
      <x:c r="B129" s="117" t="n">
        <x:f>VALUE('Raw_Data'!I365)</x:f>
        <x:v>0.4100000000000004</x:v>
      </x:c>
      <x:c r="C129" s="117" t="n">
        <x:f>ROUND(B129,'Config'!$B$25)</x:f>
        <x:v>0.41</x:v>
      </x:c>
      <x:c r="D129" s="120" t="n">
        <x:f>VALUE('Raw_Data'!J365)</x:f>
        <x:v>0.000132230211420627</x:v>
      </x:c>
      <x:c r="E129" s="117" t="n">
        <x:f>LN(ABS(D129))/LN(10)</x:f>
        <x:v>-3.8786693076773235</x:v>
      </x:c>
      <x:c r="F129" s="117" t="n">
        <x:f>B129</x:f>
        <x:v>0.4100000000000004</x:v>
      </x:c>
      <x:c r="G129" s="117" t="n">
        <x:f>B149</x:f>
        <x:v>0.5100000000000005</x:v>
      </x:c>
      <x:c r="H129" s="117" t="n">
        <x:f>MAX(E129:E149)-MIN(E129:E149)</x:f>
        <x:v>0.37297375061087656</x:v>
      </x:c>
      <x:c r="I129" s="117" t="n">
        <x:f>SLOPE(E129:E149,B129:B149)</x:f>
        <x:v>3.7109465673381963</x:v>
      </x:c>
      <x:c r="J129" s="123" t="n">
        <x:f>RSQ(E129:E149,B129:B149)</x:f>
        <x:v>0.9942989526836289</x:v>
      </x:c>
      <x:c r="K129" s="117" t="n">
        <x:f>IF(I129&gt;0,'Config'!$B$17/I129,"")</x:f>
        <x:v>269.4730257777019</x:v>
      </x:c>
      <x:c r="L129" s="120" t="n">
        <x:f>MAX(D129:D149)</x:f>
        <x:v>0.0003121076710163066</x:v>
      </x:c>
      <x:c r="M129" s="120" t="str">
        <x:f>IF(AND(H129&gt;='Config'!$B$14,J129&gt;='Config'!$B$15,L129&lt;=$E$4,I129&gt;0),K129,"")</x:f>
      </x:c>
      <x:c r="N129" s="17" t="str">
        <x:f>IF(AND(M129&lt;&gt;"",ABS(M129-$G$4)&lt;='Config'!$B$22),"SELECTED","")</x:f>
      </x:c>
    </x:row>
    <x:row r="130">
      <x:c r="A130" s="15" t="n">
        <x:v>366</x:v>
      </x:c>
      <x:c r="B130" s="117" t="n">
        <x:f>VALUE('Raw_Data'!I366)</x:f>
        <x:v>0.4150000000000004</x:v>
      </x:c>
      <x:c r="C130" s="117" t="n">
        <x:f>ROUND(B130,'Config'!$B$25)</x:f>
        <x:v>0.415</x:v>
      </x:c>
      <x:c r="D130" s="120" t="n">
        <x:f>VALUE('Raw_Data'!J366)</x:f>
        <x:v>0.0001397624681243832</x:v>
      </x:c>
      <x:c r="E130" s="117" t="n">
        <x:f>LN(ABS(D130))/LN(10)</x:f>
        <x:v>-3.8546094385679437</x:v>
      </x:c>
      <x:c r="F130" s="117" t="n">
        <x:f>B130</x:f>
        <x:v>0.4150000000000004</x:v>
      </x:c>
      <x:c r="G130" s="117" t="n">
        <x:f>B150</x:f>
        <x:v>0.5150000000000005</x:v>
      </x:c>
      <x:c r="H130" s="117" t="n">
        <x:f>MAX(E130:E150)-MIN(E130:E150)</x:f>
        <x:v>0.3627194816125541</x:v>
      </x:c>
      <x:c r="I130" s="117" t="n">
        <x:f>SLOPE(E130:E150,B130:B150)</x:f>
        <x:v>3.6085449335445103</x:v>
      </x:c>
      <x:c r="J130" s="123" t="n">
        <x:f>RSQ(E130:E150,B130:B150)</x:f>
        <x:v>0.9943437844397837</x:v>
      </x:c>
      <x:c r="K130" s="117" t="n">
        <x:f>IF(I130&gt;0,'Config'!$B$17/I130,"")</x:f>
        <x:v>277.1200077638344</x:v>
      </x:c>
      <x:c r="L130" s="120" t="n">
        <x:f>MAX(D130:D150)</x:f>
        <x:v>0.000322188506029428</x:v>
      </x:c>
      <x:c r="M130" s="120" t="str">
        <x:f>IF(AND(H130&gt;='Config'!$B$14,J130&gt;='Config'!$B$15,L130&lt;=$E$4,I130&gt;0),K130,"")</x:f>
      </x:c>
      <x:c r="N130" s="17" t="str">
        <x:f>IF(AND(M130&lt;&gt;"",ABS(M130-$G$4)&lt;='Config'!$B$22),"SELECTED","")</x:f>
      </x:c>
    </x:row>
    <x:row r="131">
      <x:c r="A131" s="15" t="n">
        <x:v>367</x:v>
      </x:c>
      <x:c r="B131" s="117" t="n">
        <x:f>VALUE('Raw_Data'!I367)</x:f>
        <x:v>0.4200000000000004</x:v>
      </x:c>
      <x:c r="C131" s="117" t="n">
        <x:f>ROUND(B131,'Config'!$B$25)</x:f>
        <x:v>0.42</x:v>
      </x:c>
      <x:c r="D131" s="120" t="n">
        <x:f>VALUE('Raw_Data'!J367)</x:f>
        <x:v>0.0001474969929286206</x:v>
      </x:c>
      <x:c r="E131" s="117" t="n">
        <x:f>LN(ABS(D131))/LN(10)</x:f>
        <x:v>-3.831216833704931</x:v>
      </x:c>
      <x:c r="F131" s="117" t="n">
        <x:f>B131</x:f>
        <x:v>0.4200000000000004</x:v>
      </x:c>
      <x:c r="G131" s="117" t="n">
        <x:f>B151</x:f>
        <x:v>0.5200000000000005</x:v>
      </x:c>
      <x:c r="H131" s="117" t="n">
        <x:f>MAX(E131:E151)-MIN(E131:E151)</x:f>
        <x:v>0.3527814130195339</x:v>
      </x:c>
      <x:c r="I131" s="117" t="n">
        <x:f>SLOPE(E131:E151,B131:B151)</x:f>
        <x:v>3.509370461356326</x:v>
      </x:c>
      <x:c r="J131" s="123" t="n">
        <x:f>RSQ(E131:E151,B131:B151)</x:f>
        <x:v>0.9943980436001638</x:v>
      </x:c>
      <x:c r="K131" s="117" t="n">
        <x:f>IF(I131&gt;0,'Config'!$B$17/I131,"")</x:f>
        <x:v>284.95139256786047</x:v>
      </x:c>
      <x:c r="L131" s="120" t="n">
        <x:f>MAX(D131:D151)</x:f>
        <x:v>0.000332326198232497</x:v>
      </x:c>
      <x:c r="M131" s="120" t="str">
        <x:f>IF(AND(H131&gt;='Config'!$B$14,J131&gt;='Config'!$B$15,L131&lt;=$E$4,I131&gt;0),K131,"")</x:f>
      </x:c>
      <x:c r="N131" s="17" t="str">
        <x:f>IF(AND(M131&lt;&gt;"",ABS(M131-$G$4)&lt;='Config'!$B$22),"SELECTED","")</x:f>
      </x:c>
    </x:row>
    <x:row r="132">
      <x:c r="A132" s="15" t="n">
        <x:v>368</x:v>
      </x:c>
      <x:c r="B132" s="117" t="n">
        <x:f>VALUE('Raw_Data'!I368)</x:f>
        <x:v>0.4250000000000004</x:v>
      </x:c>
      <x:c r="C132" s="117" t="n">
        <x:f>ROUND(B132,'Config'!$B$25)</x:f>
        <x:v>0.425</x:v>
      </x:c>
      <x:c r="D132" s="120" t="n">
        <x:f>VALUE('Raw_Data'!J368)</x:f>
        <x:v>0.0001554259554536689</x:v>
      </x:c>
      <x:c r="E132" s="117" t="n">
        <x:f>LN(ABS(D132))/LN(10)</x:f>
        <x:v>-3.808476454202813</x:v>
      </x:c>
      <x:c r="F132" s="117" t="n">
        <x:f>B132</x:f>
        <x:v>0.4250000000000004</x:v>
      </x:c>
      <x:c r="G132" s="117" t="n">
        <x:f>B152</x:f>
        <x:v>0.5250000000000005</x:v>
      </x:c>
      <x:c r="H132" s="117" t="n">
        <x:f>MAX(E132:E152)-MIN(E132:E152)</x:f>
        <x:v>0.3431573478773986</x:v>
      </x:c>
      <x:c r="I132" s="117" t="n">
        <x:f>SLOPE(E132:E152,B132:B152)</x:f>
        <x:v>3.413392814937082</x:v>
      </x:c>
      <x:c r="J132" s="123" t="n">
        <x:f>RSQ(E132:E152,B132:B152)</x:f>
        <x:v>0.9944609125855073</x:v>
      </x:c>
      <x:c r="K132" s="117" t="n">
        <x:f>IF(I132&gt;0,'Config'!$B$17/I132,"")</x:f>
        <x:v>292.96364474196406</x:v>
      </x:c>
      <x:c r="L132" s="120" t="n">
        <x:f>MAX(D132:D152)</x:f>
        <x:v>0.0003425160237474248</x:v>
      </x:c>
      <x:c r="M132" s="120" t="str">
        <x:f>IF(AND(H132&gt;='Config'!$B$14,J132&gt;='Config'!$B$15,L132&lt;=$E$4,I132&gt;0),K132,"")</x:f>
      </x:c>
      <x:c r="N132" s="17" t="str">
        <x:f>IF(AND(M132&lt;&gt;"",ABS(M132-$G$4)&lt;='Config'!$B$22),"SELECTED","")</x:f>
      </x:c>
    </x:row>
    <x:row r="133">
      <x:c r="A133" s="15" t="n">
        <x:v>369</x:v>
      </x:c>
      <x:c r="B133" s="117" t="n">
        <x:f>VALUE('Raw_Data'!I369)</x:f>
        <x:v>0.4300000000000004</x:v>
      </x:c>
      <x:c r="C133" s="117" t="n">
        <x:f>ROUND(B133,'Config'!$B$25)</x:f>
        <x:v>0.43</x:v>
      </x:c>
      <x:c r="D133" s="120" t="n">
        <x:f>VALUE('Raw_Data'!J369)</x:f>
        <x:v>0.0001635412718062476</x:v>
      </x:c>
      <x:c r="E133" s="117" t="n">
        <x:f>LN(ABS(D133))/LN(10)</x:f>
        <x:v>-3.7863726292065882</x:v>
      </x:c>
      <x:c r="F133" s="117" t="n">
        <x:f>B133</x:f>
        <x:v>0.4300000000000004</x:v>
      </x:c>
      <x:c r="G133" s="117" t="n">
        <x:f>B153</x:f>
        <x:v>0.5300000000000005</x:v>
      </x:c>
      <x:c r="H133" s="117" t="n">
        <x:f>MAX(E133:E153)-MIN(E133:E153)</x:f>
        <x:v>0.3338440166129888</x:v>
      </x:c>
      <x:c r="I133" s="117" t="n">
        <x:f>SLOPE(E133:E153,B133:B153)</x:f>
        <x:v>3.3205713722741823</x:v>
      </x:c>
      <x:c r="J133" s="123" t="n">
        <x:f>RSQ(E133:E153,B133:B153)</x:f>
        <x:v>0.9945315735166592</x:v>
      </x:c>
      <x:c r="K133" s="117" t="n">
        <x:f>IF(I133&gt;0,'Config'!$B$17/I133,"")</x:f>
        <x:v>301.15299082251715</x:v>
      </x:c>
      <x:c r="L133" s="120" t="n">
        <x:f>MAX(D133:D153)</x:f>
        <x:v>0.0003527535454156162</x:v>
      </x:c>
      <x:c r="M133" s="120" t="str">
        <x:f>IF(AND(H133&gt;='Config'!$B$14,J133&gt;='Config'!$B$15,L133&lt;=$E$4,I133&gt;0),K133,"")</x:f>
      </x:c>
      <x:c r="N133" s="17" t="str">
        <x:f>IF(AND(M133&lt;&gt;"",ABS(M133-$G$4)&lt;='Config'!$B$22),"SELECTED","")</x:f>
      </x:c>
    </x:row>
    <x:row r="134">
      <x:c r="A134" s="15" t="n">
        <x:v>370</x:v>
      </x:c>
      <x:c r="B134" s="117" t="n">
        <x:f>VALUE('Raw_Data'!I370)</x:f>
        <x:v>0.4350000000000004</x:v>
      </x:c>
      <x:c r="C134" s="117" t="n">
        <x:f>ROUND(B134,'Config'!$B$25)</x:f>
        <x:v>0.435</x:v>
      </x:c>
      <x:c r="D134" s="120" t="n">
        <x:f>VALUE('Raw_Data'!J370)</x:f>
        <x:v>0.0001718346795011256</x:v>
      </x:c>
      <x:c r="E134" s="117" t="n">
        <x:f>LN(ABS(D134))/LN(10)</x:f>
        <x:v>-3.764889182786137</x:v>
      </x:c>
      <x:c r="F134" s="117" t="n">
        <x:f>B134</x:f>
        <x:v>0.4350000000000004</x:v>
      </x:c>
      <x:c r="G134" s="117" t="n">
        <x:f>B154</x:f>
        <x:v>0.5350000000000005</x:v>
      </x:c>
      <x:c r="H134" s="117" t="n">
        <x:f>MAX(E134:E154)-MIN(E134:E154)</x:f>
        <x:v>0.3248372063706437</x:v>
      </x:c>
      <x:c r="I134" s="117" t="n">
        <x:f>SLOPE(E134:E154,B134:B154)</x:f>
        <x:v>3.2308565776970806</x:v>
      </x:c>
      <x:c r="J134" s="123" t="n">
        <x:f>RSQ(E134:E154,B134:B154)</x:f>
        <x:v>0.9946092178006671</x:v>
      </x:c>
      <x:c r="K134" s="117" t="n">
        <x:f>IF(I134&gt;0,'Config'!$B$17/I134,"")</x:f>
        <x:v>309.5154414786153</x:v>
      </x:c>
      <x:c r="L134" s="120" t="n">
        <x:f>MAX(D134:D154)</x:f>
        <x:v>0.0003630346041452576</x:v>
      </x:c>
      <x:c r="M134" s="120" t="str">
        <x:f>IF(AND(H134&gt;='Config'!$B$14,J134&gt;='Config'!$B$15,L134&lt;=$E$4,I134&gt;0),K134,"")</x:f>
      </x:c>
      <x:c r="N134" s="17" t="str">
        <x:f>IF(AND(M134&lt;&gt;"",ABS(M134-$G$4)&lt;='Config'!$B$22),"SELECTED","")</x:f>
      </x:c>
    </x:row>
    <x:row r="135">
      <x:c r="A135" s="15" t="n">
        <x:v>371</x:v>
      </x:c>
      <x:c r="B135" s="117" t="n">
        <x:f>VALUE('Raw_Data'!I371)</x:f>
        <x:v>0.4400000000000004</x:v>
      </x:c>
      <x:c r="C135" s="117" t="n">
        <x:f>ROUND(B135,'Config'!$B$25)</x:f>
        <x:v>0.44</x:v>
      </x:c>
      <x:c r="D135" s="120" t="n">
        <x:f>VALUE('Raw_Data'!J371)</x:f>
        <x:v>0.00018029780784401</x:v>
      </x:c>
      <x:c r="E135" s="117" t="n">
        <x:f>LN(ABS(D135))/LN(10)</x:f>
        <x:v>-3.7440095536272238</x:v>
      </x:c>
      <x:c r="F135" s="117" t="n">
        <x:f>B135</x:f>
        <x:v>0.4400000000000004</x:v>
      </x:c>
      <x:c r="G135" s="117" t="n">
        <x:f>B155</x:f>
        <x:v>0.5400000000000005</x:v>
      </x:c>
      <x:c r="H135" s="117" t="n">
        <x:f>MAX(E135:E155)-MIN(E135:E155)</x:f>
        <x:v>0.3161318851974708</x:v>
      </x:c>
      <x:c r="I135" s="117" t="n">
        <x:f>SLOPE(E135:E155,B135:B155)</x:f>
        <x:v>3.1441912214813486</x:v>
      </x:c>
      <x:c r="J135" s="123" t="n">
        <x:f>RSQ(E135:E155,B135:B155)</x:f>
        <x:v>0.9946930542871705</x:v>
      </x:c>
      <x:c r="K135" s="117" t="n">
        <x:f>IF(I135&gt;0,'Config'!$B$17/I135,"")</x:f>
        <x:v>318.0468138095182</x:v>
      </x:c>
      <x:c r="L135" s="120" t="n">
        <x:f>MAX(D135:D155)</x:f>
        <x:v>0.0003733553092797296</x:v>
      </x:c>
      <x:c r="M135" s="120" t="str">
        <x:f>IF(AND(H135&gt;='Config'!$B$14,J135&gt;='Config'!$B$15,L135&lt;=$E$4,I135&gt;0),K135,"")</x:f>
      </x:c>
      <x:c r="N135" s="17" t="str">
        <x:f>IF(AND(M135&lt;&gt;"",ABS(M135-$G$4)&lt;='Config'!$B$22),"SELECTED","")</x:f>
      </x:c>
    </x:row>
    <x:row r="136">
      <x:c r="A136" s="15" t="n">
        <x:v>372</x:v>
      </x:c>
      <x:c r="B136" s="117" t="n">
        <x:f>VALUE('Raw_Data'!I372)</x:f>
        <x:v>0.4450000000000004</x:v>
      </x:c>
      <x:c r="C136" s="117" t="n">
        <x:f>ROUND(B136,'Config'!$B$25)</x:f>
        <x:v>0.445</x:v>
      </x:c>
      <x:c r="D136" s="120" t="n">
        <x:f>VALUE('Raw_Data'!J372)</x:f>
        <x:v>0.0001889222431137748</x:v>
      </x:c>
      <x:c r="E136" s="117" t="n">
        <x:f>LN(ABS(D136))/LN(10)</x:f>
        <x:v>-3.72371690659443</x:v>
      </x:c>
      <x:c r="F136" s="117" t="n">
        <x:f>B136</x:f>
        <x:v>0.4450000000000004</x:v>
      </x:c>
      <x:c r="G136" s="117" t="n">
        <x:f>B156</x:f>
        <x:v>0.5450000000000005</x:v>
      </x:c>
      <x:c r="H136" s="117" t="n">
        <x:f>MAX(E136:E156)-MIN(E136:E156)</x:f>
        <x:v>0.30772231983365383</x:v>
      </x:c>
      <x:c r="I136" s="117" t="n">
        <x:f>SLOPE(E136:E156,B136:B156)</x:f>
        <x:v>3.060511637494557</x:v>
      </x:c>
      <x:c r="J136" s="123" t="n">
        <x:f>RSQ(E136:E156,B136:B156)</x:f>
        <x:v>0.9947823160584739</x:v>
      </x:c>
      <x:c r="K136" s="117" t="n">
        <x:f>IF(I136&gt;0,'Config'!$B$17/I136,"")</x:f>
        <x:v>326.74275364580393</x:v>
      </x:c>
      <x:c r="L136" s="120" t="n">
        <x:f>MAX(D136:D156)</x:f>
        <x:v>0.0003837120282195365</x:v>
      </x:c>
      <x:c r="M136" s="120" t="str">
        <x:f>IF(AND(H136&gt;='Config'!$B$14,J136&gt;='Config'!$B$15,L136&lt;=$E$4,I136&gt;0),K136,"")</x:f>
      </x:c>
      <x:c r="N136" s="17" t="str">
        <x:f>IF(AND(M136&lt;&gt;"",ABS(M136-$G$4)&lt;='Config'!$B$22),"SELECTED","")</x:f>
      </x:c>
    </x:row>
    <x:row r="137">
      <x:c r="A137" s="15" t="n">
        <x:v>373</x:v>
      </x:c>
      <x:c r="B137" s="117" t="n">
        <x:f>VALUE('Raw_Data'!I373)</x:f>
        <x:v>0.4500000000000004</x:v>
      </x:c>
      <x:c r="C137" s="117" t="n">
        <x:f>ROUND(B137,'Config'!$B$25)</x:f>
        <x:v>0.45</x:v>
      </x:c>
      <x:c r="D137" s="120" t="n">
        <x:f>VALUE('Raw_Data'!J373)</x:f>
        <x:v>0.0001976995880832546</x:v>
      </x:c>
      <x:c r="E137" s="117" t="n">
        <x:f>LN(ABS(D137))/LN(10)</x:f>
        <x:v>-3.7039942355591444</x:v>
      </x:c>
      <x:c r="F137" s="117" t="n">
        <x:f>B137</x:f>
        <x:v>0.4500000000000004</x:v>
      </x:c>
      <x:c r="G137" s="117" t="n">
        <x:f>B157</x:f>
        <x:v>0.5500000000000005</x:v>
      </x:c>
      <x:c r="H137" s="117" t="n">
        <x:f>MAX(E137:E157)-MIN(E137:E157)</x:f>
        <x:v>0.2996021862139058</x:v>
      </x:c>
      <x:c r="I137" s="117" t="n">
        <x:f>SLOPE(E137:E157,B137:B157)</x:f>
        <x:v>2.979748813157029</x:v>
      </x:c>
      <x:c r="J137" s="123" t="n">
        <x:f>RSQ(E137:E157,B137:B157)</x:f>
        <x:v>0.9948762659395193</x:v>
      </x:c>
      <x:c r="K137" s="117" t="n">
        <x:f>IF(I137&gt;0,'Config'!$B$17/I137,"")</x:f>
        <x:v>335.5987577155891</x:v>
      </x:c>
      <x:c r="L137" s="120" t="n">
        <x:f>MAX(D137:D157)</x:f>
        <x:v>0.00039410137550343</x:v>
      </x:c>
      <x:c r="M137" s="120" t="str">
        <x:f>IF(AND(H137&gt;='Config'!$B$14,J137&gt;='Config'!$B$15,L137&lt;=$E$4,I137&gt;0),K137,"")</x:f>
      </x:c>
      <x:c r="N137" s="17" t="str">
        <x:f>IF(AND(M137&lt;&gt;"",ABS(M137-$G$4)&lt;='Config'!$B$22),"SELECTED","")</x:f>
      </x:c>
    </x:row>
    <x:row r="138">
      <x:c r="A138" s="15" t="n">
        <x:v>374</x:v>
      </x:c>
      <x:c r="B138" s="117" t="n">
        <x:f>VALUE('Raw_Data'!I374)</x:f>
        <x:v>0.4550000000000004</x:v>
      </x:c>
      <x:c r="C138" s="117" t="n">
        <x:f>ROUND(B138,'Config'!$B$25)</x:f>
        <x:v>0.455</x:v>
      </x:c>
      <x:c r="D138" s="120" t="n">
        <x:f>VALUE('Raw_Data'!J374)</x:f>
        <x:v>0.0002066215156007742</x:v>
      </x:c>
      <x:c r="E138" s="117" t="n">
        <x:f>LN(ABS(D138))/LN(10)</x:f>
        <x:v>-3.684824457162134</x:v>
      </x:c>
      <x:c r="F138" s="117" t="n">
        <x:f>B138</x:f>
        <x:v>0.4550000000000004</x:v>
      </x:c>
      <x:c r="G138" s="117" t="n">
        <x:f>B158</x:f>
        <x:v>0.5550000000000005</x:v>
      </x:c>
      <x:c r="H138" s="117" t="n">
        <x:f>MAX(E138:E158)-MIN(E138:E158)</x:f>
        <x:v>0.29176467209285395</x:v>
      </x:c>
      <x:c r="I138" s="117" t="n">
        <x:f>SLOPE(E138:E158,B138:B158)</x:f>
        <x:v>2.9018294087931475</x:v>
      </x:c>
      <x:c r="J138" s="123" t="n">
        <x:f>RSQ(E138:E158,B138:B158)</x:f>
        <x:v>0.9949742008291407</x:v>
      </x:c>
      <x:c r="K138" s="117" t="n">
        <x:f>IF(I138&gt;0,'Config'!$B$17/I138,"")</x:f>
        <x:v>344.61019554415975</x:v>
      </x:c>
      <x:c r="L138" s="120" t="n">
        <x:f>MAX(D138:D158)</x:f>
        <x:v>0.0004045202015287588</x:v>
      </x:c>
      <x:c r="M138" s="120" t="str">
        <x:f>IF(AND(H138&gt;='Config'!$B$14,J138&gt;='Config'!$B$15,L138&lt;=$E$4,I138&gt;0),K138,"")</x:f>
      </x:c>
      <x:c r="N138" s="17" t="str">
        <x:f>IF(AND(M138&lt;&gt;"",ABS(M138-$G$4)&lt;='Config'!$B$22),"SELECTED","")</x:f>
      </x:c>
    </x:row>
    <x:row r="139">
      <x:c r="A139" s="15" t="n">
        <x:v>375</x:v>
      </x:c>
      <x:c r="B139" s="117" t="n">
        <x:f>VALUE('Raw_Data'!I375)</x:f>
        <x:v>0.4600000000000004</x:v>
      </x:c>
      <x:c r="C139" s="117" t="n">
        <x:f>ROUND(B139,'Config'!$B$25)</x:f>
        <x:v>0.46</x:v>
      </x:c>
      <x:c r="D139" s="120" t="n">
        <x:f>VALUE('Raw_Data'!J375)</x:f>
        <x:v>0.0002156798161163826</x:v>
      </x:c>
      <x:c r="E139" s="117" t="n">
        <x:f>LN(ABS(D139))/LN(10)</x:f>
        <x:v>-3.6661904954140354</x:v>
      </x:c>
      <x:c r="F139" s="117" t="n">
        <x:f>B139</x:f>
        <x:v>0.4600000000000004</x:v>
      </x:c>
      <x:c r="G139" s="117" t="n">
        <x:f>B159</x:f>
        <x:v>0.5600000000000005</x:v>
      </x:c>
      <x:c r="H139" s="117" t="n">
        <x:f>MAX(E139:E159)-MIN(E139:E159)</x:f>
        <x:v>0.28420257146968364</x:v>
      </x:c>
      <x:c r="I139" s="117" t="n">
        <x:f>SLOPE(E139:E159,B139:B159)</x:f>
        <x:v>2.8266766857608334</x:v>
      </x:c>
      <x:c r="J139" s="123" t="n">
        <x:f>RSQ(E139:E159,B139:B159)</x:f>
        <x:v>0.9950754549629061</x:v>
      </x:c>
      <x:c r="K139" s="117" t="n">
        <x:f>IF(I139&gt;0,'Config'!$B$17/I139,"")</x:f>
        <x:v>353.7723309628664</x:v>
      </x:c>
      <x:c r="L139" s="120" t="n">
        <x:f>MAX(D139:D159)</x:f>
        <x:v>0.0004149655810673574</x:v>
      </x:c>
      <x:c r="M139" s="120" t="str">
        <x:f>IF(AND(H139&gt;='Config'!$B$14,J139&gt;='Config'!$B$15,L139&lt;=$E$4,I139&gt;0),K139,"")</x:f>
      </x:c>
      <x:c r="N139" s="17" t="str">
        <x:f>IF(AND(M139&lt;&gt;"",ABS(M139-$G$4)&lt;='Config'!$B$22),"SELECTED","")</x:f>
      </x:c>
    </x:row>
    <x:row r="140">
      <x:c r="A140" s="15" t="n">
        <x:v>376</x:v>
      </x:c>
      <x:c r="B140" s="117" t="n">
        <x:f>VALUE('Raw_Data'!I376)</x:f>
        <x:v>0.4650000000000004</x:v>
      </x:c>
      <x:c r="C140" s="117" t="n">
        <x:f>ROUND(B140,'Config'!$B$25)</x:f>
        <x:v>0.465</x:v>
      </x:c>
      <x:c r="D140" s="120" t="n">
        <x:f>VALUE('Raw_Data'!J376)</x:f>
        <x:v>0.0002248664391758099</x:v>
      </x:c>
      <x:c r="E140" s="117" t="n">
        <x:f>LN(ABS(D140))/LN(10)</x:f>
        <x:v>-3.648075357229393</x:v>
      </x:c>
      <x:c r="F140" s="117" t="n">
        <x:f>B140</x:f>
        <x:v>0.4650000000000004</x:v>
      </x:c>
      <x:c r="G140" s="117" t="n">
        <x:f>B160</x:f>
        <x:v>0.5650000000000005</x:v>
      </x:c>
      <x:c r="H140" s="117" t="n">
        <x:f>MAX(E140:E160)-MIN(E140:E160)</x:f>
        <x:v>0.2769083707059399</x:v>
      </x:c>
      <x:c r="I140" s="117" t="n">
        <x:f>SLOPE(E140:E160,B140:B160)</x:f>
        <x:v>2.7542113446039176</x:v>
      </x:c>
      <x:c r="J140" s="123" t="n">
        <x:f>RSQ(E140:E160,B140:B160)</x:f>
        <x:v>0.9951794022216124</x:v>
      </x:c>
      <x:c r="K140" s="117" t="n">
        <x:f>IF(I140&gt;0,'Config'!$B$17/I140,"")</x:f>
        <x:v>363.08034311136345</x:v>
      </x:c>
      <x:c r="L140" s="120" t="n">
        <x:f>MAX(D140:D160)</x:f>
        <x:v>0.0004254348017110086</x:v>
      </x:c>
      <x:c r="M140" s="120" t="str">
        <x:f>IF(AND(H140&gt;='Config'!$B$14,J140&gt;='Config'!$B$15,L140&lt;=$E$4,I140&gt;0),K140,"")</x:f>
      </x:c>
      <x:c r="N140" s="17" t="str">
        <x:f>IF(AND(M140&lt;&gt;"",ABS(M140-$G$4)&lt;='Config'!$B$22),"SELECTED","")</x:f>
      </x:c>
    </x:row>
    <x:row r="141">
      <x:c r="A141" s="15" t="n">
        <x:v>377</x:v>
      </x:c>
      <x:c r="B141" s="117" t="n">
        <x:f>VALUE('Raw_Data'!I377)</x:f>
        <x:v>0.4700000000000004</x:v>
      </x:c>
      <x:c r="C141" s="117" t="n">
        <x:f>ROUND(B141,'Config'!$B$25)</x:f>
        <x:v>0.47</x:v>
      </x:c>
      <x:c r="D141" s="120" t="n">
        <x:f>VALUE('Raw_Data'!J377)</x:f>
        <x:v>0.0002341735290210024</x:v>
      </x:c>
      <x:c r="E141" s="117" t="n">
        <x:f>LN(ABS(D141))/LN(10)</x:f>
        <x:v>-3.630462199143459</x:v>
      </x:c>
      <x:c r="F141" s="117" t="n">
        <x:f>B141</x:f>
        <x:v>0.4700000000000004</x:v>
      </x:c>
      <x:c r="G141" s="117" t="n">
        <x:f>B161</x:f>
        <x:v>0.5700000000000005</x:v>
      </x:c>
      <x:c r="H141" s="117" t="n">
        <x:f>MAX(E141:E161)-MIN(E141:E161)</x:f>
        <x:v>0.2698743264084986</x:v>
      </x:c>
      <x:c r="I141" s="117" t="n">
        <x:f>SLOPE(E141:E161,B141:B161)</x:f>
        <x:v>2.6843522759211345</x:v>
      </x:c>
      <x:c r="J141" s="123" t="n">
        <x:f>RSQ(E141:E161,B141:B161)</x:f>
        <x:v>0.9952854575993005</x:v>
      </x:c>
      <x:c r="K141" s="117" t="n">
        <x:f>IF(I141&gt;0,'Config'!$B$17/I141,"")</x:f>
        <x:v>372.52934682607946</x:v>
      </x:c>
      <x:c r="L141" s="120" t="n">
        <x:f>MAX(D141:D161)</x:f>
        <x:v>0.0004359253523603361</x:v>
      </x:c>
      <x:c r="M141" s="120" t="str">
        <x:f>IF(AND(H141&gt;='Config'!$B$14,J141&gt;='Config'!$B$15,L141&lt;=$E$4,I141&gt;0),K141,"")</x:f>
      </x:c>
      <x:c r="N141" s="17" t="str">
        <x:f>IF(AND(M141&lt;&gt;"",ABS(M141-$G$4)&lt;='Config'!$B$22),"SELECTED","")</x:f>
      </x:c>
    </x:row>
    <x:row r="142">
      <x:c r="A142" s="15" t="n">
        <x:v>378</x:v>
      </x:c>
      <x:c r="B142" s="117" t="n">
        <x:f>VALUE('Raw_Data'!I378)</x:f>
        <x:v>0.4750000000000004</x:v>
      </x:c>
      <x:c r="C142" s="117" t="n">
        <x:f>ROUND(B142,'Config'!$B$25)</x:f>
        <x:v>0.475</x:v>
      </x:c>
      <x:c r="D142" s="120" t="n">
        <x:f>VALUE('Raw_Data'!J378)</x:f>
        <x:v>0.0002435934545293929</x:v>
      </x:c>
      <x:c r="E142" s="117" t="n">
        <x:f>LN(ABS(D142))/LN(10)</x:f>
        <x:v>-3.613334385579218</x:v>
      </x:c>
      <x:c r="F142" s="117" t="n">
        <x:f>B142</x:f>
        <x:v>0.4750000000000004</x:v>
      </x:c>
      <x:c r="G142" s="117" t="n">
        <x:f>B162</x:f>
        <x:v>0.5750000000000005</x:v>
      </x:c>
      <x:c r="H142" s="117" t="n">
        <x:f>MAX(E142:E162)-MIN(E142:E162)</x:f>
        <x:v>0.26309253529015075</x:v>
      </x:c>
      <x:c r="I142" s="117" t="n">
        <x:f>SLOPE(E142:E162,B142:B162)</x:f>
        <x:v>2.617017227734397</x:v>
      </x:c>
      <x:c r="J142" s="123" t="n">
        <x:f>RSQ(E142:E162,B142:B162)</x:f>
        <x:v>0.995393077941399</x:v>
      </x:c>
      <x:c r="K142" s="117" t="n">
        <x:f>IF(I142&gt;0,'Config'!$B$17/I142,"")</x:f>
        <x:v>382.11441231730817</x:v>
      </x:c>
      <x:c r="L142" s="120" t="n">
        <x:f>MAX(D142:D162)</x:f>
        <x:v>0.0004464349118524752</x:v>
      </x:c>
      <x:c r="M142" s="120" t="str">
        <x:f>IF(AND(H142&gt;='Config'!$B$14,J142&gt;='Config'!$B$15,L142&lt;=$E$4,I142&gt;0),K142,"")</x:f>
      </x:c>
      <x:c r="N142" s="17" t="str">
        <x:f>IF(AND(M142&lt;&gt;"",ABS(M142-$G$4)&lt;='Config'!$B$22),"SELECTED","")</x:f>
      </x:c>
    </x:row>
    <x:row r="143">
      <x:c r="A143" s="15" t="n">
        <x:v>379</x:v>
      </x:c>
      <x:c r="B143" s="117" t="n">
        <x:f>VALUE('Raw_Data'!I379)</x:f>
        <x:v>0.4800000000000004</x:v>
      </x:c>
      <x:c r="C143" s="117" t="n">
        <x:f>ROUND(B143,'Config'!$B$25)</x:f>
        <x:v>0.48</x:v>
      </x:c>
      <x:c r="D143" s="120" t="n">
        <x:f>VALUE('Raw_Data'!J379)</x:f>
        <x:v>0.000253118833979274</x:v>
      </x:c>
      <x:c r="E143" s="117" t="n">
        <x:f>LN(ABS(D143))/LN(10)</x:f>
        <x:v>-3.5966755388047837</x:v>
      </x:c>
      <x:c r="F143" s="117" t="n">
        <x:f>B143</x:f>
        <x:v>0.4800000000000004</x:v>
      </x:c>
      <x:c r="G143" s="117" t="n">
        <x:f>B163</x:f>
        <x:v>0.5800000000000005</x:v>
      </x:c>
      <x:c r="H143" s="117" t="n">
        <x:f>MAX(E143:E163)-MIN(E143:E163)</x:f>
        <x:v>0.25655499601319454</x:v>
      </x:c>
      <x:c r="I143" s="117" t="n">
        <x:f>SLOPE(E143:E163,B143:B163)</x:f>
        <x:v>2.5521233939183188</x:v>
      </x:c>
      <x:c r="J143" s="123" t="n">
        <x:f>RSQ(E143:E163,B143:B163)</x:f>
        <x:v>0.9955017620582074</x:v>
      </x:c>
      <x:c r="K143" s="117" t="n">
        <x:f>IF(I143&gt;0,'Config'!$B$17/I143,"")</x:f>
        <x:v>391.83058404738136</x:v>
      </x:c>
      <x:c r="L143" s="120" t="n">
        <x:f>MAX(D143:D163)</x:f>
        <x:v>0.0004569613378062866</x:v>
      </x:c>
      <x:c r="M143" s="120" t="str">
        <x:f>IF(AND(H143&gt;='Config'!$B$14,J143&gt;='Config'!$B$15,L143&lt;=$E$4,I143&gt;0),K143,"")</x:f>
      </x:c>
      <x:c r="N143" s="17" t="str">
        <x:f>IF(AND(M143&lt;&gt;"",ABS(M143-$G$4)&lt;='Config'!$B$22),"SELECTED","")</x:f>
      </x:c>
    </x:row>
    <x:row r="144">
      <x:c r="A144" s="15" t="n">
        <x:v>380</x:v>
      </x:c>
      <x:c r="B144" s="117" t="n">
        <x:f>VALUE('Raw_Data'!I380)</x:f>
        <x:v>0.4850000000000004</x:v>
      </x:c>
      <x:c r="C144" s="117" t="n">
        <x:f>ROUND(B144,'Config'!$B$25)</x:f>
        <x:v>0.485</x:v>
      </x:c>
      <x:c r="D144" s="120" t="n">
        <x:f>VALUE('Raw_Data'!J380)</x:f>
        <x:v>0.0002627425540466234</x:v>
      </x:c>
      <x:c r="E144" s="117" t="n">
        <x:f>LN(ABS(D144))/LN(10)</x:f>
        <x:v>-3.580469582748947</x:v>
      </x:c>
      <x:c r="F144" s="117" t="n">
        <x:f>B144</x:f>
        <x:v>0.4850000000000004</x:v>
      </x:c>
      <x:c r="G144" s="117" t="n">
        <x:f>B164</x:f>
        <x:v>0.5850000000000005</x:v>
      </x:c>
      <x:c r="H144" s="117" t="n">
        <x:f>MAX(E144:E164)-MIN(E144:E164)</x:f>
        <x:v>0.2502536650674827</x:v>
      </x:c>
      <x:c r="I144" s="117" t="n">
        <x:f>SLOPE(E144:E164,B144:B164)</x:f>
        <x:v>2.4895879296690975</x:v>
      </x:c>
      <x:c r="J144" s="123" t="n">
        <x:f>RSQ(E144:E164,B144:B164)</x:f>
        <x:v>0.9956110502414611</x:v>
      </x:c>
      <x:c r="K144" s="117" t="n">
        <x:f>IF(I144&gt;0,'Config'!$B$17/I144,"")</x:f>
        <x:v>401.6728985880465</x:v>
      </x:c>
      <x:c r="L144" s="120" t="n">
        <x:f>MAX(D144:D164)</x:f>
        <x:v>0.000467502655749148</x:v>
      </x:c>
      <x:c r="M144" s="120" t="str">
        <x:f>IF(AND(H144&gt;='Config'!$B$14,J144&gt;='Config'!$B$15,L144&lt;=$E$4,I144&gt;0),K144,"")</x:f>
      </x:c>
      <x:c r="N144" s="17" t="str">
        <x:f>IF(AND(M144&lt;&gt;"",ABS(M144-$G$4)&lt;='Config'!$B$22),"SELECTED","")</x:f>
      </x:c>
    </x:row>
    <x:row r="145">
      <x:c r="A145" s="15" t="n">
        <x:v>381</x:v>
      </x:c>
      <x:c r="B145" s="117" t="n">
        <x:f>VALUE('Raw_Data'!I381)</x:f>
        <x:v>0.4900000000000004</x:v>
      </x:c>
      <x:c r="C145" s="117" t="n">
        <x:f>ROUND(B145,'Config'!$B$25)</x:f>
        <x:v>0.49</x:v>
      </x:c>
      <x:c r="D145" s="120" t="n">
        <x:f>VALUE('Raw_Data'!J381)</x:f>
        <x:v>0.000272457785434117</x:v>
      </x:c>
      <x:c r="E145" s="117" t="n">
        <x:f>LN(ABS(D145))/LN(10)</x:f>
        <x:v>-3.564700777692823</x:v>
      </x:c>
      <x:c r="F145" s="117" t="n">
        <x:f>B145</x:f>
        <x:v>0.4900000000000004</x:v>
      </x:c>
      <x:c r="G145" s="117" t="n">
        <x:f>B165</x:f>
        <x:v>0.5900000000000005</x:v>
      </x:c>
      <x:c r="H145" s="117" t="n">
        <x:f>MAX(E145:E165)-MIN(E145:E165)</x:f>
        <x:v>0.24418050360083887</x:v>
      </x:c>
      <x:c r="I145" s="117" t="n">
        <x:f>SLOPE(E145:E165,B145:B165)</x:f>
        <x:v>2.4293283956499248</x:v>
      </x:c>
      <x:c r="J145" s="123" t="n">
        <x:f>RSQ(E145:E165,B145:B165)</x:f>
        <x:v>0.9957205235505696</x:v>
      </x:c>
      <x:c r="K145" s="117" t="n">
        <x:f>IF(I145&gt;0,'Config'!$B$17/I145,"")</x:f>
        <x:v>411.63640197457426</x:v>
      </x:c>
      <x:c r="L145" s="120" t="n">
        <x:f>MAX(D145:D165)</x:f>
        <x:v>0.0004780570485761054</x:v>
      </x:c>
      <x:c r="M145" s="120" t="str">
        <x:f>IF(AND(H145&gt;='Config'!$B$14,J145&gt;='Config'!$B$15,L145&lt;=$E$4,I145&gt;0),K145,"")</x:f>
      </x:c>
      <x:c r="N145" s="17" t="str">
        <x:f>IF(AND(M145&lt;&gt;"",ABS(M145-$G$4)&lt;='Config'!$B$22),"SELECTED","")</x:f>
      </x:c>
    </x:row>
    <x:row r="146">
      <x:c r="A146" s="15" t="n">
        <x:v>382</x:v>
      </x:c>
      <x:c r="B146" s="117" t="n">
        <x:f>VALUE('Raw_Data'!I382)</x:f>
        <x:v>0.4950000000000004</x:v>
      </x:c>
      <x:c r="C146" s="117" t="n">
        <x:f>ROUND(B146,'Config'!$B$25)</x:f>
        <x:v>0.495</x:v>
      </x:c>
      <x:c r="D146" s="120" t="n">
        <x:f>VALUE('Raw_Data'!J382)</x:f>
        <x:v>0.000282257993365207</x:v>
      </x:c>
      <x:c r="E146" s="117" t="n">
        <x:f>LN(ABS(D146))/LN(10)</x:f>
        <x:v>-3.5493537502878625</x:v>
      </x:c>
      <x:c r="F146" s="117" t="n">
        <x:f>B146</x:f>
        <x:v>0.4950000000000004</x:v>
      </x:c>
      <x:c r="G146" s="117" t="n">
        <x:f>B166</x:f>
        <x:v>0.5950000000000005</x:v>
      </x:c>
      <x:c r="H146" s="117" t="n">
        <x:f>MAX(E146:E166)-MIN(E146:E166)</x:f>
        <x:v>0.2383275195669845</x:v>
      </x:c>
      <x:c r="I146" s="117" t="n">
        <x:f>SLOPE(E146:E166,B146:B166)</x:f>
        <x:v>2.371263142324639</x:v>
      </x:c>
      <x:c r="J146" s="123" t="n">
        <x:f>RSQ(E146:E166,B146:B166)</x:f>
        <x:v>0.9958298025346177</x:v>
      </x:c>
      <x:c r="K146" s="117" t="n">
        <x:f>IF(I146&gt;0,'Config'!$B$17/I146,"")</x:f>
        <x:v>421.71616559588665</x:v>
      </x:c>
      <x:c r="L146" s="120" t="n">
        <x:f>MAX(D146:D166)</x:f>
        <x:v>0.0004886228463807734</x:v>
      </x:c>
      <x:c r="M146" s="120" t="str">
        <x:f>IF(AND(H146&gt;='Config'!$B$14,J146&gt;='Config'!$B$15,L146&lt;=$E$4,I146&gt;0),K146,"")</x:f>
      </x:c>
      <x:c r="N146" s="17" t="str">
        <x:f>IF(AND(M146&lt;&gt;"",ABS(M146-$G$4)&lt;='Config'!$B$22),"SELECTED","")</x:f>
      </x:c>
    </x:row>
    <x:row r="147">
      <x:c r="A147" s="15" t="n">
        <x:v>383</x:v>
      </x:c>
      <x:c r="B147" s="117" t="n">
        <x:f>VALUE('Raw_Data'!I383)</x:f>
        <x:v>0.5000000000000004</x:v>
      </x:c>
      <x:c r="C147" s="117" t="n">
        <x:f>ROUND(B147,'Config'!$B$25)</x:f>
        <x:v>0.5</x:v>
      </x:c>
      <x:c r="D147" s="120" t="n">
        <x:f>VALUE('Raw_Data'!J383)</x:f>
        <x:v>0.0002921369446236649</x:v>
      </x:c>
      <x:c r="E147" s="117" t="n">
        <x:f>LN(ABS(D147))/LN(10)</x:f>
        <x:v>-3.5344135172078666</x:v>
      </x:c>
      <x:c r="F147" s="117" t="n">
        <x:f>B147</x:f>
        <x:v>0.5000000000000004</x:v>
      </x:c>
      <x:c r="G147" s="117" t="n">
        <x:f>B167</x:f>
        <x:v>0.6000000000000005</x:v>
      </x:c>
      <x:c r="H147" s="117" t="n">
        <x:f>MAX(E147:E167)-MIN(E147:E167)</x:f>
        <x:v>0.23268680342651082</x:v>
      </x:c>
      <x:c r="I147" s="117" t="n">
        <x:f>SLOPE(E147:E167,B147:B167)</x:f>
        <x:v>2.3153116354611303</x:v>
      </x:c>
      <x:c r="J147" s="123" t="n">
        <x:f>RSQ(E147:E167,B147:B167)</x:f>
        <x:v>0.9959385457590088</x:v>
      </x:c>
      <x:c r="K147" s="117" t="n">
        <x:f>IF(I147&gt;0,'Config'!$B$17/I147,"")</x:f>
        <x:v>431.90730123931434</x:v>
      </x:c>
      <x:c r="L147" s="120" t="n">
        <x:f>MAX(D147:D167)</x:f>
        <x:v>0.0004991985166872548</x:v>
      </x:c>
      <x:c r="M147" s="120" t="str">
        <x:f>IF(AND(H147&gt;='Config'!$B$14,J147&gt;='Config'!$B$15,L147&lt;=$E$4,I147&gt;0),K147,"")</x:f>
      </x:c>
      <x:c r="N147" s="17" t="str">
        <x:f>IF(AND(M147&lt;&gt;"",ABS(M147-$G$4)&lt;='Config'!$B$22),"SELECTED","")</x:f>
      </x:c>
    </x:row>
    <x:row r="148">
      <x:c r="A148" s="15" t="n">
        <x:v>384</x:v>
      </x:c>
      <x:c r="B148" s="117" t="n">
        <x:f>VALUE('Raw_Data'!I384)</x:f>
        <x:v>0.5050000000000004</x:v>
      </x:c>
      <x:c r="C148" s="117" t="n">
        <x:f>ROUND(B148,'Config'!$B$25)</x:f>
        <x:v>0.505</x:v>
      </x:c>
      <x:c r="D148" s="120" t="n">
        <x:f>VALUE('Raw_Data'!J384)</x:f>
        <x:v>0.0003020887112043234</x:v>
      </x:c>
      <x:c r="E148" s="117" t="n">
        <x:f>LN(ABS(D148))/LN(10)</x:f>
        <x:v>-3.5198655036352684</x:v>
      </x:c>
      <x:c r="F148" s="117" t="n">
        <x:f>B148</x:f>
        <x:v>0.5050000000000004</x:v>
      </x:c>
      <x:c r="G148" s="117" t="n">
        <x:f>B168</x:f>
        <x:v>0.6050000000000005</x:v>
      </x:c>
      <x:c r="H148" s="117" t="n">
        <x:f>MAX(E148:E168)-MIN(E148:E168)</x:f>
        <x:v>0.22725055854074805</x:v>
      </x:c>
      <x:c r="I148" s="117" t="n">
        <x:f>SLOPE(E148:E168,B148:B168)</x:f>
        <x:v>2.2613947296993877</x:v>
      </x:c>
      <x:c r="J148" s="123" t="n">
        <x:f>RSQ(E148:E168,B148:B168)</x:f>
        <x:v>0.9960464481078308</x:v>
      </x:c>
      <x:c r="K148" s="117" t="n">
        <x:f>IF(I148&gt;0,'Config'!$B$17/I148,"")</x:f>
        <x:v>442.2049750389806</x:v>
      </x:c>
      <x:c r="L148" s="120" t="n">
        <x:f>MAX(D148:D168)</x:f>
        <x:v>0.0005097826551036593</x:v>
      </x:c>
      <x:c r="M148" s="120" t="str">
        <x:f>IF(AND(H148&gt;='Config'!$B$14,J148&gt;='Config'!$B$15,L148&lt;=$E$4,I148&gt;0),K148,"")</x:f>
      </x:c>
      <x:c r="N148" s="17" t="str">
        <x:f>IF(AND(M148&lt;&gt;"",ABS(M148-$G$4)&lt;='Config'!$B$22),"SELECTED","")</x:f>
      </x:c>
    </x:row>
    <x:row r="149">
      <x:c r="A149" s="15" t="n">
        <x:v>385</x:v>
      </x:c>
      <x:c r="B149" s="117" t="n">
        <x:f>VALUE('Raw_Data'!I385)</x:f>
        <x:v>0.5100000000000005</x:v>
      </x:c>
      <x:c r="C149" s="117" t="n">
        <x:f>ROUND(B149,'Config'!$B$25)</x:f>
        <x:v>0.51</x:v>
      </x:c>
      <x:c r="D149" s="120" t="n">
        <x:f>VALUE('Raw_Data'!J385)</x:f>
        <x:v>0.0003121076710163066</x:v>
      </x:c>
      <x:c r="E149" s="117" t="n">
        <x:f>LN(ABS(D149))/LN(10)</x:f>
        <x:v>-3.505695557066447</x:v>
      </x:c>
      <x:c r="F149" s="117" t="n">
        <x:f>B149</x:f>
        <x:v>0.5100000000000005</x:v>
      </x:c>
      <x:c r="G149" s="117" t="n">
        <x:f>B169</x:f>
        <x:v>0.6100000000000005</x:v>
      </x:c>
      <x:c r="H149" s="117" t="n">
        <x:f>MAX(E149:E169)-MIN(E149:E169)</x:f>
        <x:v>0.2220111266932303</x:v>
      </x:c>
      <x:c r="I149" s="117" t="n">
        <x:f>SLOPE(E149:E169,B149:B169)</x:f>
        <x:v>2.209434895209923</x:v>
      </x:c>
      <x:c r="J149" s="123" t="n">
        <x:f>RSQ(E149:E169,B149:B169)</x:f>
        <x:v>0.9961532389287481</x:v>
      </x:c>
      <x:c r="K149" s="117" t="n">
        <x:f>IF(I149&gt;0,'Config'!$B$17/I149,"")</x:f>
        <x:v>452.60442032847857</x:v>
      </x:c>
      <x:c r="L149" s="120" t="n">
        <x:f>MAX(D149:D169)</x:f>
        <x:v>0.0005203739764104353</x:v>
      </x:c>
      <x:c r="M149" s="120" t="str">
        <x:f>IF(AND(H149&gt;='Config'!$B$14,J149&gt;='Config'!$B$15,L149&lt;=$E$4,I149&gt;0),K149,"")</x:f>
      </x:c>
      <x:c r="N149" s="17" t="str">
        <x:f>IF(AND(M149&lt;&gt;"",ABS(M149-$G$4)&lt;='Config'!$B$22),"SELECTED","")</x:f>
      </x:c>
    </x:row>
    <x:row r="150">
      <x:c r="A150" s="15" t="n">
        <x:v>386</x:v>
      </x:c>
      <x:c r="B150" s="117" t="n">
        <x:f>VALUE('Raw_Data'!I386)</x:f>
        <x:v>0.5150000000000005</x:v>
      </x:c>
      <x:c r="C150" s="117" t="n">
        <x:f>ROUND(B150,'Config'!$B$25)</x:f>
        <x:v>0.515</x:v>
      </x:c>
      <x:c r="D150" s="120" t="n">
        <x:f>VALUE('Raw_Data'!J386)</x:f>
        <x:v>0.000322188506029428</x:v>
      </x:c>
      <x:c r="E150" s="117" t="n">
        <x:f>LN(ABS(D150))/LN(10)</x:f>
        <x:v>-3.4918899569553896</x:v>
      </x:c>
      <x:c r="F150" s="117" t="n">
        <x:f>B150</x:f>
        <x:v>0.5150000000000005</x:v>
      </x:c>
      <x:c r="G150" s="117" t="n">
        <x:f>B170</x:f>
        <x:v>0.6150000000000005</x:v>
      </x:c>
      <x:c r="H150" s="117" t="n">
        <x:f>MAX(E150:E170)-MIN(E150:E170)</x:f>
        <x:v>0.21696100921696582</x:v>
      </x:c>
      <x:c r="I150" s="117" t="n">
        <x:f>SLOPE(E150:E170,B150:B170)</x:f>
        <x:v>2.1593564023679686</x:v>
      </x:c>
      <x:c r="J150" s="123" t="n">
        <x:f>RSQ(E150:E170,B150:B170)</x:f>
        <x:v>0.9962586800701907</x:v>
      </x:c>
      <x:c r="K150" s="117" t="n">
        <x:f>IF(I150&gt;0,'Config'!$B$17/I150,"")</x:f>
        <x:v>463.10094938630397</x:v>
      </x:c>
      <x:c r="L150" s="120" t="n">
        <x:f>MAX(D150:D170)</x:f>
        <x:v>0.0005309713060902836</x:v>
      </x:c>
      <x:c r="M150" s="120" t="str">
        <x:f>IF(AND(H150&gt;='Config'!$B$14,J150&gt;='Config'!$B$15,L150&lt;=$E$4,I150&gt;0),K150,"")</x:f>
      </x:c>
      <x:c r="N150" s="17" t="str">
        <x:f>IF(AND(M150&lt;&gt;"",ABS(M150-$G$4)&lt;='Config'!$B$22),"SELECTED","")</x:f>
      </x:c>
    </x:row>
    <x:row r="151">
      <x:c r="A151" s="15" t="n">
        <x:v>387</x:v>
      </x:c>
      <x:c r="B151" s="117" t="n">
        <x:f>VALUE('Raw_Data'!I387)</x:f>
        <x:v>0.5200000000000005</x:v>
      </x:c>
      <x:c r="C151" s="117" t="n">
        <x:f>ROUND(B151,'Config'!$B$25)</x:f>
        <x:v>0.52</x:v>
      </x:c>
      <x:c r="D151" s="120" t="n">
        <x:f>VALUE('Raw_Data'!J387)</x:f>
        <x:v>0.000332326198232497</x:v>
      </x:c>
      <x:c r="E151" s="117" t="n">
        <x:f>LN(ABS(D151))/LN(10)</x:f>
        <x:v>-3.478435420685397</x:v>
      </x:c>
      <x:c r="F151" s="117" t="n">
        <x:f>B151</x:f>
        <x:v>0.5200000000000005</x:v>
      </x:c>
      <x:c r="G151" s="117" t="n">
        <x:f>B171</x:f>
        <x:v>0.6200000000000006</x:v>
      </x:c>
      <x:c r="H151" s="117" t="n">
        <x:f>MAX(E151:E171)-MIN(E151:E171)</x:f>
        <x:v>0.21209288418413585</x:v>
      </x:c>
      <x:c r="I151" s="117" t="n">
        <x:f>SLOPE(E151:E171,B151:B171)</x:f>
        <x:v>2.1110854690754257</x:v>
      </x:c>
      <x:c r="J151" s="123" t="n">
        <x:f>RSQ(E151:E171,B151:B171)</x:f>
        <x:v>0.996362563853537</x:v>
      </x:c>
      <x:c r="K151" s="117" t="n">
        <x:f>IF(I151&gt;0,'Config'!$B$17/I151,"")</x:f>
        <x:v>473.6899640723507</x:v>
      </x:c>
      <x:c r="L151" s="120" t="n">
        <x:f>MAX(D151:D171)</x:f>
        <x:v>0.0005415735723011926</x:v>
      </x:c>
      <x:c r="M151" s="120" t="str">
        <x:f>IF(AND(H151&gt;='Config'!$B$14,J151&gt;='Config'!$B$15,L151&lt;=$E$4,I151&gt;0),K151,"")</x:f>
      </x:c>
      <x:c r="N151" s="17" t="str">
        <x:f>IF(AND(M151&lt;&gt;"",ABS(M151-$G$4)&lt;='Config'!$B$22),"SELECTED","")</x:f>
      </x:c>
    </x:row>
    <x:row r="152">
      <x:c r="A152" s="15" t="n">
        <x:v>388</x:v>
      </x:c>
      <x:c r="B152" s="117" t="n">
        <x:f>VALUE('Raw_Data'!I388)</x:f>
        <x:v>0.5250000000000005</x:v>
      </x:c>
      <x:c r="C152" s="117" t="n">
        <x:f>ROUND(B152,'Config'!$B$25)</x:f>
        <x:v>0.525</x:v>
      </x:c>
      <x:c r="D152" s="120" t="n">
        <x:f>VALUE('Raw_Data'!J388)</x:f>
        <x:v>0.0003425160237474248</x:v>
      </x:c>
      <x:c r="E152" s="117" t="n">
        <x:f>LN(ABS(D152))/LN(10)</x:f>
        <x:v>-3.4653191063254143</x:v>
      </x:c>
      <x:c r="F152" s="117" t="n">
        <x:f>B152</x:f>
        <x:v>0.5250000000000005</x:v>
      </x:c>
      <x:c r="G152" s="117" t="n">
        <x:f>B172</x:f>
        <x:v>0.6250000000000006</x:v>
      </x:c>
      <x:c r="H152" s="117" t="n">
        <x:f>MAX(E152:E172)-MIN(E152:E172)</x:f>
        <x:v>0.20739962008863477</x:v>
      </x:c>
      <x:c r="I152" s="117" t="n">
        <x:f>SLOPE(E152:E172,B152:B172)</x:f>
        <x:v>2.0645503750453784</x:v>
      </x:c>
      <x:c r="J152" s="123" t="n">
        <x:f>RSQ(E152:E172,B152:B172)</x:f>
        <x:v>0.996464711016557</x:v>
      </x:c>
      <x:c r="K152" s="117" t="n">
        <x:f>IF(I152&gt;0,'Config'!$B$17/I152,"")</x:f>
        <x:v>484.3669653631097</x:v>
      </x:c>
      <x:c r="L152" s="120" t="n">
        <x:f>MAX(D152:D172)</x:f>
        <x:v>0.0005521797982896901</x:v>
      </x:c>
      <x:c r="M152" s="120" t="str">
        <x:f>IF(AND(H152&gt;='Config'!$B$14,J152&gt;='Config'!$B$15,L152&lt;=$E$4,I152&gt;0),K152,"")</x:f>
      </x:c>
      <x:c r="N152" s="17" t="str">
        <x:f>IF(AND(M152&lt;&gt;"",ABS(M152-$G$4)&lt;='Config'!$B$22),"SELECTED","")</x:f>
      </x:c>
    </x:row>
    <x:row r="153">
      <x:c r="A153" s="15" t="n">
        <x:v>389</x:v>
      </x:c>
      <x:c r="B153" s="117" t="n">
        <x:f>VALUE('Raw_Data'!I389)</x:f>
        <x:v>0.5300000000000005</x:v>
      </x:c>
      <x:c r="C153" s="117" t="n">
        <x:f>ROUND(B153,'Config'!$B$25)</x:f>
        <x:v>0.53</x:v>
      </x:c>
      <x:c r="D153" s="120" t="n">
        <x:f>VALUE('Raw_Data'!J389)</x:f>
        <x:v>0.0003527535454156162</x:v>
      </x:c>
      <x:c r="E153" s="117" t="n">
        <x:f>LN(ABS(D153))/LN(10)</x:f>
        <x:v>-3.4525286125935994</x:v>
      </x:c>
      <x:c r="F153" s="117" t="n">
        <x:f>B153</x:f>
        <x:v>0.5300000000000005</x:v>
      </x:c>
      <x:c r="G153" s="117" t="n">
        <x:f>B173</x:f>
        <x:v>0.6300000000000006</x:v>
      </x:c>
      <x:c r="H153" s="117" t="n">
        <x:f>MAX(E153:E173)-MIN(E153:E173)</x:f>
        <x:v>0.20287428642388283</x:v>
      </x:c>
      <x:c r="I153" s="117" t="n">
        <x:f>SLOPE(E153:E173,B153:B173)</x:f>
        <x:v>2.019681547036583</x:v>
      </x:c>
      <x:c r="J153" s="123" t="n">
        <x:f>RSQ(E153:E173,B153:B173)</x:f>
        <x:v>0.9965649686584439</x:v>
      </x:c>
      <x:c r="K153" s="117" t="n">
        <x:f>IF(I153&gt;0,'Config'!$B$17/I153,"")</x:f>
        <x:v>495.12756180164615</x:v>
      </x:c>
      <x:c r="L153" s="120" t="n">
        <x:f>MAX(D153:D173)</x:f>
        <x:v>0.0005627890952377143</x:v>
      </x:c>
      <x:c r="M153" s="120" t="str">
        <x:f>IF(AND(H153&gt;='Config'!$B$14,J153&gt;='Config'!$B$15,L153&lt;=$E$4,I153&gt;0),K153,"")</x:f>
      </x:c>
      <x:c r="N153" s="17" t="str">
        <x:f>IF(AND(M153&lt;&gt;"",ABS(M153-$G$4)&lt;='Config'!$B$22),"SELECTED","")</x:f>
      </x:c>
    </x:row>
    <x:row r="154">
      <x:c r="A154" s="15" t="n">
        <x:v>390</x:v>
      </x:c>
      <x:c r="B154" s="117" t="n">
        <x:f>VALUE('Raw_Data'!I390)</x:f>
        <x:v>0.5350000000000005</x:v>
      </x:c>
      <x:c r="C154" s="117" t="n">
        <x:f>ROUND(B154,'Config'!$B$25)</x:f>
        <x:v>0.535</x:v>
      </x:c>
      <x:c r="D154" s="120" t="n">
        <x:f>VALUE('Raw_Data'!J390)</x:f>
        <x:v>0.0003630346041452576</x:v>
      </x:c>
      <x:c r="E154" s="117" t="n">
        <x:f>LN(ABS(D154))/LN(10)</x:f>
        <x:v>-3.4400519764154933</x:v>
      </x:c>
      <x:c r="F154" s="117" t="n">
        <x:f>B154</x:f>
        <x:v>0.5350000000000005</x:v>
      </x:c>
      <x:c r="G154" s="117" t="n">
        <x:f>B174</x:f>
        <x:v>0.6350000000000006</x:v>
      </x:c>
      <x:c r="H154" s="117" t="n">
        <x:f>MAX(E154:E174)-MIN(E154:E174)</x:f>
        <x:v>0.19851016152835665</x:v>
      </x:c>
      <x:c r="I154" s="117" t="n">
        <x:f>SLOPE(E154:E174,B154:B174)</x:f>
        <x:v>1.9764116186953364</x:v>
      </x:c>
      <x:c r="J154" s="123" t="n">
        <x:f>RSQ(E154:E174,B154:B174)</x:f>
        <x:v>0.9966632082115062</x:v>
      </x:c>
      <x:c r="K154" s="117" t="n">
        <x:f>IF(I154&gt;0,'Config'!$B$17/I154,"")</x:f>
        <x:v>505.967476886276</x:v>
      </x:c>
      <x:c r="L154" s="120" t="n">
        <x:f>MAX(D154:D174)</x:f>
        <x:v>0.0005734006555336281</x:v>
      </x:c>
      <x:c r="M154" s="120" t="str">
        <x:f>IF(AND(H154&gt;='Config'!$B$14,J154&gt;='Config'!$B$15,L154&lt;=$E$4,I154&gt;0),K154,"")</x:f>
      </x:c>
      <x:c r="N154" s="17" t="str">
        <x:f>IF(AND(M154&lt;&gt;"",ABS(M154-$G$4)&lt;='Config'!$B$22),"SELECTED","")</x:f>
      </x:c>
    </x:row>
    <x:row r="155">
      <x:c r="A155" s="15" t="n">
        <x:v>391</x:v>
      </x:c>
      <x:c r="B155" s="117" t="n">
        <x:f>VALUE('Raw_Data'!I391)</x:f>
        <x:v>0.5400000000000005</x:v>
      </x:c>
      <x:c r="C155" s="117" t="n">
        <x:f>ROUND(B155,'Config'!$B$25)</x:f>
        <x:v>0.54</x:v>
      </x:c>
      <x:c r="D155" s="120" t="n">
        <x:f>VALUE('Raw_Data'!J391)</x:f>
        <x:v>0.0003733553092797296</x:v>
      </x:c>
      <x:c r="E155" s="117" t="n">
        <x:f>LN(ABS(D155))/LN(10)</x:f>
        <x:v>-3.427877668429753</x:v>
      </x:c>
      <x:c r="F155" s="117" t="n">
        <x:f>B155</x:f>
        <x:v>0.5400000000000005</x:v>
      </x:c>
      <x:c r="G155" s="117" t="n">
        <x:f>B175</x:f>
        <x:v>0.6400000000000006</x:v>
      </x:c>
      <x:c r="H155" s="117" t="n">
        <x:f>MAX(E155:E175)-MIN(E155:E175)</x:f>
        <x:v>0.1943007380413273</x:v>
      </x:c>
      <x:c r="I155" s="117" t="n">
        <x:f>SLOPE(E155:E175,B155:B175)</x:f>
        <x:v>1.9346754683384577</x:v>
      </x:c>
      <x:c r="J155" s="123" t="n">
        <x:f>RSQ(E155:E175,B155:B175)</x:f>
        <x:v>0.9967593234598474</x:v>
      </x:c>
      <x:c r="K155" s="117" t="n">
        <x:f>IF(I155&gt;0,'Config'!$B$17/I155,"")</x:f>
        <x:v>516.8825554287005</x:v>
      </x:c>
      <x:c r="L155" s="120" t="n">
        <x:f>MAX(D155:D175)</x:f>
        <x:v>0.0005840137464555226</x:v>
      </x:c>
      <x:c r="M155" s="120" t="str">
        <x:f>IF(AND(H155&gt;='Config'!$B$14,J155&gt;='Config'!$B$15,L155&lt;=$E$4,I155&gt;0),K155,"")</x:f>
      </x:c>
      <x:c r="N155" s="17" t="str">
        <x:f>IF(AND(M155&lt;&gt;"",ABS(M155-$G$4)&lt;='Config'!$B$22),"SELECTED","")</x:f>
      </x:c>
    </x:row>
    <x:row r="156">
      <x:c r="A156" s="15" t="n">
        <x:v>392</x:v>
      </x:c>
      <x:c r="B156" s="117" t="n">
        <x:f>VALUE('Raw_Data'!I392)</x:f>
        <x:v>0.5450000000000005</x:v>
      </x:c>
      <x:c r="C156" s="117" t="n">
        <x:f>ROUND(B156,'Config'!$B$25)</x:f>
        <x:v>0.545</x:v>
      </x:c>
      <x:c r="D156" s="120" t="n">
        <x:f>VALUE('Raw_Data'!J392)</x:f>
        <x:v>0.0003837120282195365</x:v>
      </x:c>
      <x:c r="E156" s="117" t="n">
        <x:f>LN(ABS(D156))/LN(10)</x:f>
        <x:v>-3.4159945867607764</x:v>
      </x:c>
      <x:c r="F156" s="117" t="n">
        <x:f>B156</x:f>
        <x:v>0.5450000000000005</x:v>
      </x:c>
      <x:c r="G156" s="117" t="n">
        <x:f>B176</x:f>
        <x:v>0.6450000000000006</x:v>
      </x:c>
      <x:c r="H156" s="117" t="n">
        <x:f>MAX(E156:E176)-MIN(E156:E176)</x:f>
        <x:v>0.19023972628153984</x:v>
      </x:c>
      <x:c r="I156" s="117" t="n">
        <x:f>SLOPE(E156:E176,B156:B176)</x:f>
        <x:v>1.8944102376979344</x:v>
      </x:c>
      <x:c r="J156" s="123" t="n">
        <x:f>RSQ(E156:E176,B156:B176)</x:f>
        <x:v>0.9968532286211914</x:v>
      </x:c>
      <x:c r="K156" s="117" t="n">
        <x:f>IF(I156&gt;0,'Config'!$B$17/I156,"")</x:f>
        <x:v>527.8687689183884</x:v>
      </x:c>
      <x:c r="L156" s="120" t="n">
        <x:f>MAX(D156:D176)</x:f>
        <x:v>0.0005946277042531709</x:v>
      </x:c>
      <x:c r="M156" s="120" t="str">
        <x:f>IF(AND(H156&gt;='Config'!$B$14,J156&gt;='Config'!$B$15,L156&lt;=$E$4,I156&gt;0),K156,"")</x:f>
      </x:c>
      <x:c r="N156" s="17" t="str">
        <x:f>IF(AND(M156&lt;&gt;"",ABS(M156-$G$4)&lt;='Config'!$B$22),"SELECTED","")</x:f>
      </x:c>
    </x:row>
    <x:row r="157">
      <x:c r="A157" s="15" t="n">
        <x:v>393</x:v>
      </x:c>
      <x:c r="B157" s="117" t="n">
        <x:f>VALUE('Raw_Data'!I393)</x:f>
        <x:v>0.5500000000000005</x:v>
      </x:c>
      <x:c r="C157" s="117" t="n">
        <x:f>ROUND(B157,'Config'!$B$25)</x:f>
        <x:v>0.55</x:v>
      </x:c>
      <x:c r="D157" s="120" t="n">
        <x:f>VALUE('Raw_Data'!J393)</x:f>
        <x:v>0.00039410137550343</x:v>
      </x:c>
      <x:c r="E157" s="117" t="n">
        <x:f>LN(ABS(D157))/LN(10)</x:f>
        <x:v>-3.4043920493452386</x:v>
      </x:c>
      <x:c r="F157" s="117" t="n">
        <x:f>B157</x:f>
        <x:v>0.5500000000000005</x:v>
      </x:c>
      <x:c r="G157" s="117" t="n">
        <x:f>B177</x:f>
        <x:v>0.6500000000000006</x:v>
      </x:c>
      <x:c r="H157" s="117" t="n">
        <x:f>MAX(E157:E177)-MIN(E157:E177)</x:f>
        <x:v>0.1863210558324968</x:v>
      </x:c>
      <x:c r="I157" s="117" t="n">
        <x:f>SLOPE(E157:E177,B157:B177)</x:f>
        <x:v>1.855555334349144</x:v>
      </x:c>
      <x:c r="J157" s="123" t="n">
        <x:f>RSQ(E157:E177,B157:B177)</x:f>
        <x:v>0.9969448565043636</x:v>
      </x:c>
      <x:c r="K157" s="117" t="n">
        <x:f>IF(I157&gt;0,'Config'!$B$17/I157,"")</x:f>
        <x:v>538.9222199351768</x:v>
      </x:c>
      <x:c r="L157" s="120" t="n">
        <x:f>MAX(D157:D177)</x:f>
        <x:v>0.0006052419286136032</x:v>
      </x:c>
      <x:c r="M157" s="120" t="str">
        <x:f>IF(AND(H157&gt;='Config'!$B$14,J157&gt;='Config'!$B$15,L157&lt;=$E$4,I157&gt;0),K157,"")</x:f>
      </x:c>
      <x:c r="N157" s="17" t="str">
        <x:f>IF(AND(M157&lt;&gt;"",ABS(M157-$G$4)&lt;='Config'!$B$22),"SELECTED","")</x:f>
      </x:c>
    </x:row>
    <x:row r="158">
      <x:c r="A158" s="15" t="n">
        <x:v>394</x:v>
      </x:c>
      <x:c r="B158" s="117" t="n">
        <x:f>VALUE('Raw_Data'!I394)</x:f>
        <x:v>0.5550000000000005</x:v>
      </x:c>
      <x:c r="C158" s="117" t="n">
        <x:f>ROUND(B158,'Config'!$B$25)</x:f>
        <x:v>0.555</x:v>
      </x:c>
      <x:c r="D158" s="120" t="n">
        <x:f>VALUE('Raw_Data'!J394)</x:f>
        <x:v>0.0004045202015287588</x:v>
      </x:c>
      <x:c r="E158" s="117" t="n">
        <x:f>LN(ABS(D158))/LN(10)</x:f>
        <x:v>-3.39305978506928</x:v>
      </x:c>
      <x:c r="F158" s="117" t="n">
        <x:f>B158</x:f>
        <x:v>0.5550000000000005</x:v>
      </x:c>
      <x:c r="G158" s="117" t="n">
        <x:f>B178</x:f>
        <x:v>0.6550000000000006</x:v>
      </x:c>
      <x:c r="H158" s="117" t="n">
        <x:f>MAX(E158:E178)-MIN(E158:E178)</x:f>
        <x:v>0.18253887559052195</x:v>
      </x:c>
      <x:c r="I158" s="117" t="n">
        <x:f>SLOPE(E158:E178,B158:B178)</x:f>
        <x:v>1.818052420263398</x:v>
      </x:c>
      <x:c r="J158" s="123" t="n">
        <x:f>RSQ(E158:E178,B158:B178)</x:f>
        <x:v>0.99703415675175</x:v>
      </x:c>
      <x:c r="K158" s="117" t="n">
        <x:f>IF(I158&gt;0,'Config'!$B$17/I158,"")</x:f>
        <x:v>550.0391456562736</x:v>
      </x:c>
      <x:c r="L158" s="120" t="n">
        <x:f>MAX(D158:D178)</x:f>
        <x:v>0.0006158558774943251</x:v>
      </x:c>
      <x:c r="M158" s="120" t="str">
        <x:f>IF(AND(H158&gt;='Config'!$B$14,J158&gt;='Config'!$B$15,L158&lt;=$E$4,I158&gt;0),K158,"")</x:f>
      </x:c>
      <x:c r="N158" s="17" t="str">
        <x:f>IF(AND(M158&lt;&gt;"",ABS(M158-$G$4)&lt;='Config'!$B$22),"SELECTED","")</x:f>
      </x:c>
    </x:row>
    <x:row r="159">
      <x:c r="A159" s="15" t="n">
        <x:v>395</x:v>
      </x:c>
      <x:c r="B159" s="117" t="n">
        <x:f>VALUE('Raw_Data'!I395)</x:f>
        <x:v>0.5600000000000005</x:v>
      </x:c>
      <x:c r="C159" s="117" t="n">
        <x:f>ROUND(B159,'Config'!$B$25)</x:f>
        <x:v>0.56</x:v>
      </x:c>
      <x:c r="D159" s="120" t="n">
        <x:f>VALUE('Raw_Data'!J395)</x:f>
        <x:v>0.0004149655810673574</x:v>
      </x:c>
      <x:c r="E159" s="117" t="n">
        <x:f>LN(ABS(D159))/LN(10)</x:f>
        <x:v>-3.3819879239443518</x:v>
      </x:c>
      <x:c r="F159" s="117" t="n">
        <x:f>B159</x:f>
        <x:v>0.5600000000000005</x:v>
      </x:c>
      <x:c r="G159" s="117" t="n">
        <x:f>B179</x:f>
        <x:v>0.6600000000000006</x:v>
      </x:c>
      <x:c r="H159" s="117" t="n">
        <x:f>MAX(E159:E179)-MIN(E159:E179)</x:f>
        <x:v>0.17888755250538724</x:v>
      </x:c>
      <x:c r="I159" s="117" t="n">
        <x:f>SLOPE(E159:E179,B159:B179)</x:f>
        <x:v>1.7818453886625871</x:v>
      </x:c>
      <x:c r="J159" s="123" t="n">
        <x:f>RSQ(E159:E179,B159:B179)</x:f>
        <x:v>0.9971210941733205</x:v>
      </x:c>
      <x:c r="K159" s="117" t="n">
        <x:f>IF(I159&gt;0,'Config'!$B$17/I159,"")</x:f>
        <x:v>561.2159205073216</x:v>
      </x:c>
      <x:c r="L159" s="120" t="n">
        <x:f>MAX(D159:D179)</x:f>
        <x:v>0.0006264690623075753</x:v>
      </x:c>
      <x:c r="M159" s="120" t="str">
        <x:f>IF(AND(H159&gt;='Config'!$B$14,J159&gt;='Config'!$B$15,L159&lt;=$E$4,I159&gt;0),K159,"")</x:f>
      </x:c>
      <x:c r="N159" s="17" t="str">
        <x:f>IF(AND(M159&lt;&gt;"",ABS(M159-$G$4)&lt;='Config'!$B$22),"SELECTED","")</x:f>
      </x:c>
    </x:row>
    <x:row r="160">
      <x:c r="A160" s="15" t="n">
        <x:v>396</x:v>
      </x:c>
      <x:c r="B160" s="117" t="n">
        <x:f>VALUE('Raw_Data'!I396)</x:f>
        <x:v>0.5650000000000005</x:v>
      </x:c>
      <x:c r="C160" s="117" t="n">
        <x:f>ROUND(B160,'Config'!$B$25)</x:f>
        <x:v>0.565</x:v>
      </x:c>
      <x:c r="D160" s="120" t="n">
        <x:f>VALUE('Raw_Data'!J396)</x:f>
        <x:v>0.0004254348017110086</x:v>
      </x:c>
      <x:c r="E160" s="117" t="n">
        <x:f>LN(ABS(D160))/LN(10)</x:f>
        <x:v>-3.3711669865234533</x:v>
      </x:c>
      <x:c r="F160" s="117" t="n">
        <x:f>B160</x:f>
        <x:v>0.5650000000000005</x:v>
      </x:c>
      <x:c r="G160" s="117" t="n">
        <x:f>B180</x:f>
        <x:v>0.6650000000000006</x:v>
      </x:c>
      <x:c r="H160" s="117" t="n">
        <x:f>MAX(E160:E180)-MIN(E160:E180)</x:f>
        <x:v>0.17536166921888663</x:v>
      </x:c>
      <x:c r="I160" s="117" t="n">
        <x:f>SLOPE(E160:E180,B160:B180)</x:f>
        <x:v>1.7468803311105734</x:v>
      </x:c>
      <x:c r="J160" s="123" t="n">
        <x:f>RSQ(E160:E180,B160:B180)</x:f>
        <x:v>0.9972056471764836</x:v>
      </x:c>
      <x:c r="K160" s="117" t="n">
        <x:f>IF(I160&gt;0,'Config'!$B$17/I160,"")</x:f>
        <x:v>572.4490580097455</x:v>
      </x:c>
      <x:c r="L160" s="120" t="n">
        <x:f>MAX(D160:D180)</x:f>
        <x:v>0.0006370810434385686</x:v>
      </x:c>
      <x:c r="M160" s="120" t="str">
        <x:f>IF(AND(H160&gt;='Config'!$B$14,J160&gt;='Config'!$B$15,L160&lt;=$E$4,I160&gt;0),K160,"")</x:f>
      </x:c>
      <x:c r="N160" s="17" t="str">
        <x:f>IF(AND(M160&lt;&gt;"",ABS(M160-$G$4)&lt;='Config'!$B$22),"SELECTED","")</x:f>
      </x:c>
    </x:row>
    <x:row r="161">
      <x:c r="A161" s="15" t="n">
        <x:v>397</x:v>
      </x:c>
      <x:c r="B161" s="117" t="n">
        <x:f>VALUE('Raw_Data'!I397)</x:f>
        <x:v>0.5700000000000005</x:v>
      </x:c>
      <x:c r="C161" s="117" t="n">
        <x:f>ROUND(B161,'Config'!$B$25)</x:f>
        <x:v>0.57</x:v>
      </x:c>
      <x:c r="D161" s="120" t="n">
        <x:f>VALUE('Raw_Data'!J397)</x:f>
        <x:v>0.0004359253523603361</x:v>
      </x:c>
      <x:c r="E161" s="117" t="n">
        <x:f>LN(ABS(D161))/LN(10)</x:f>
        <x:v>-3.3605878727349605</x:v>
      </x:c>
      <x:c r="F161" s="117" t="n">
        <x:f>B161</x:f>
        <x:v>0.5700000000000005</x:v>
      </x:c>
      <x:c r="G161" s="117" t="n">
        <x:f>B181</x:f>
        <x:v>0.6700000000000006</x:v>
      </x:c>
      <x:c r="H161" s="117" t="n">
        <x:f>MAX(E161:E181)-MIN(E161:E181)</x:f>
        <x:v>0.17195602078392858</x:v>
      </x:c>
      <x:c r="I161" s="117" t="n">
        <x:f>SLOPE(E161:E181,B161:B181)</x:f>
        <x:v>1.7131054965521828</x:v>
      </x:c>
      <x:c r="J161" s="123" t="n">
        <x:f>RSQ(E161:E181,B161:B181)</x:f>
        <x:v>0.9972878062940611</x:v>
      </x:c>
      <x:c r="K161" s="117" t="n">
        <x:f>IF(I161&gt;0,'Config'!$B$17/I161,"")</x:f>
        <x:v>583.7352118784349</x:v>
      </x:c>
      <x:c r="L161" s="120" t="n">
        <x:f>MAX(D161:D181)</x:f>
        <x:v>0.0006476914260806907</x:v>
      </x:c>
      <x:c r="M161" s="120" t="str">
        <x:f>IF(AND(H161&gt;='Config'!$B$14,J161&gt;='Config'!$B$15,L161&lt;=$E$4,I161&gt;0),K161,"")</x:f>
      </x:c>
      <x:c r="N161" s="17" t="str">
        <x:f>IF(AND(M161&lt;&gt;"",ABS(M161-$G$4)&lt;='Config'!$B$22),"SELECTED","")</x:f>
      </x:c>
    </x:row>
    <x:row r="162">
      <x:c r="A162" s="15" t="n">
        <x:v>398</x:v>
      </x:c>
      <x:c r="B162" s="117" t="n">
        <x:f>VALUE('Raw_Data'!I398)</x:f>
        <x:v>0.5750000000000005</x:v>
      </x:c>
      <x:c r="C162" s="117" t="n">
        <x:f>ROUND(B162,'Config'!$B$25)</x:f>
        <x:v>0.575</x:v>
      </x:c>
      <x:c r="D162" s="120" t="n">
        <x:f>VALUE('Raw_Data'!J398)</x:f>
        <x:v>0.0004464349118524752</x:v>
      </x:c>
      <x:c r="E162" s="117" t="n">
        <x:f>LN(ABS(D162))/LN(10)</x:f>
        <x:v>-3.350241850289067</x:v>
      </x:c>
      <x:c r="F162" s="117" t="n">
        <x:f>B162</x:f>
        <x:v>0.5750000000000005</x:v>
      </x:c>
      <x:c r="G162" s="117" t="n">
        <x:f>B182</x:f>
        <x:v>0.6750000000000006</x:v>
      </x:c>
      <x:c r="H162" s="117" t="n">
        <x:f>MAX(E162:E182)-MIN(E162:E182)</x:f>
        <x:v>0.16866561062569074</x:v>
      </x:c>
      <x:c r="I162" s="117" t="n">
        <x:f>SLOPE(E162:E182,B162:B182)</x:f>
        <x:v>1.6804712438061438</x:v>
      </x:c>
      <x:c r="J162" s="123" t="n">
        <x:f>RSQ(E162:E182,B162:B182)</x:f>
        <x:v>0.9973675728110097</x:v>
      </x:c>
      <x:c r="K162" s="117" t="n">
        <x:f>IF(I162&gt;0,'Config'!$B$17/I162,"")</x:f>
        <x:v>595.0711764249376</x:v>
      </x:c>
      <x:c r="L162" s="120" t="n">
        <x:f>MAX(D162:D182)</x:f>
        <x:v>0.0006582998563704763</x:v>
      </x:c>
      <x:c r="M162" s="120" t="str">
        <x:f>IF(AND(H162&gt;='Config'!$B$14,J162&gt;='Config'!$B$15,L162&lt;=$E$4,I162&gt;0),K162,"")</x:f>
      </x:c>
      <x:c r="N162" s="17" t="str">
        <x:f>IF(AND(M162&lt;&gt;"",ABS(M162-$G$4)&lt;='Config'!$B$22),"SELECTED","")</x:f>
      </x:c>
    </x:row>
    <x:row r="163">
      <x:c r="A163" s="15" t="n">
        <x:v>399</x:v>
      </x:c>
      <x:c r="B163" s="117" t="n">
        <x:f>VALUE('Raw_Data'!I399)</x:f>
        <x:v>0.5800000000000005</x:v>
      </x:c>
      <x:c r="C163" s="117" t="n">
        <x:f>ROUND(B163,'Config'!$B$25)</x:f>
        <x:v>0.58</x:v>
      </x:c>
      <x:c r="D163" s="120" t="n">
        <x:f>VALUE('Raw_Data'!J399)</x:f>
        <x:v>0.0004569613378062866</x:v>
      </x:c>
      <x:c r="E163" s="117" t="n">
        <x:f>LN(ABS(D163))/LN(10)</x:f>
        <x:v>-3.340120542791589</x:v>
      </x:c>
      <x:c r="F163" s="117" t="n">
        <x:f>B163</x:f>
        <x:v>0.5800000000000005</x:v>
      </x:c>
      <x:c r="G163" s="117" t="n">
        <x:f>B183</x:f>
        <x:v>0.6800000000000006</x:v>
      </x:c>
      <x:c r="H163" s="117" t="n">
        <x:f>MAX(E163:E183)-MIN(E163:E183)</x:f>
        <x:v>0.16548564588730885</x:v>
      </x:c>
      <x:c r="I163" s="117" t="n">
        <x:f>SLOPE(E163:E183,B163:B183)</x:f>
        <x:v>1.6489299888326245</x:v>
      </x:c>
      <x:c r="J163" s="123" t="n">
        <x:f>RSQ(E163:E183,B163:B183)</x:f>
        <x:v>0.9974449574891955</x:v>
      </x:c>
      <x:c r="K163" s="117" t="n">
        <x:f>IF(I163&gt;0,'Config'!$B$17/I163,"")</x:f>
        <x:v>606.4538863217349</x:v>
      </x:c>
      <x:c r="L163" s="120" t="n">
        <x:f>MAX(D163:D183)</x:f>
        <x:v>0.000668906017805603</x:v>
      </x:c>
      <x:c r="M163" s="120" t="str">
        <x:f>IF(AND(H163&gt;='Config'!$B$14,J163&gt;='Config'!$B$15,L163&lt;=$E$4,I163&gt;0),K163,"")</x:f>
      </x:c>
      <x:c r="N163" s="17" t="str">
        <x:f>IF(AND(M163&lt;&gt;"",ABS(M163-$G$4)&lt;='Config'!$B$22),"SELECTED","")</x:f>
      </x:c>
    </x:row>
    <x:row r="164">
      <x:c r="A164" s="15" t="n">
        <x:v>400</x:v>
      </x:c>
      <x:c r="B164" s="117" t="n">
        <x:f>VALUE('Raw_Data'!I400)</x:f>
        <x:v>0.5850000000000005</x:v>
      </x:c>
      <x:c r="C164" s="117" t="n">
        <x:f>ROUND(B164,'Config'!$B$25)</x:f>
        <x:v>0.585</x:v>
      </x:c>
      <x:c r="D164" s="120" t="n">
        <x:f>VALUE('Raw_Data'!J400)</x:f>
        <x:v>0.000467502655749148</x:v>
      </x:c>
      <x:c r="E164" s="117" t="n">
        <x:f>LN(ABS(D164))/LN(10)</x:f>
        <x:v>-3.3302159176814645</x:v>
      </x:c>
      <x:c r="F164" s="117" t="n">
        <x:f>B164</x:f>
        <x:v>0.5850000000000005</x:v>
      </x:c>
      <x:c r="G164" s="117" t="n">
        <x:f>B184</x:f>
        <x:v>0.6850000000000006</x:v>
      </x:c>
      <x:c r="H164" s="117" t="n">
        <x:f>MAX(E164:E184)-MIN(E164:E184)</x:f>
        <x:v>0.1624115322848403</x:v>
      </x:c>
      <x:c r="I164" s="117" t="n">
        <x:f>SLOPE(E164:E184,B164:B184)</x:f>
        <x:v>1.6184361479276854</x:v>
      </x:c>
      <x:c r="J164" s="123" t="n">
        <x:f>RSQ(E164:E184,B164:B184)</x:f>
        <x:v>0.9975199793884068</x:v>
      </x:c>
      <x:c r="K164" s="117" t="n">
        <x:f>IF(I164&gt;0,'Config'!$B$17/I164,"")</x:f>
        <x:v>617.8804157831265</x:v>
      </x:c>
      <x:c r="L164" s="120" t="n">
        <x:f>MAX(D164:D184)</x:f>
        <x:v>0.000679509627929288</x:v>
      </x:c>
      <x:c r="M164" s="120" t="str">
        <x:f>IF(AND(H164&gt;='Config'!$B$14,J164&gt;='Config'!$B$15,L164&lt;=$E$4,I164&gt;0),K164,"")</x:f>
      </x:c>
      <x:c r="N164" s="17" t="str">
        <x:f>IF(AND(M164&lt;&gt;"",ABS(M164-$G$4)&lt;='Config'!$B$22),"SELECTED","")</x:f>
      </x:c>
    </x:row>
    <x:row r="165">
      <x:c r="A165" s="15" t="n">
        <x:v>401</x:v>
      </x:c>
      <x:c r="B165" s="117" t="n">
        <x:f>VALUE('Raw_Data'!I401)</x:f>
        <x:v>0.5900000000000005</x:v>
      </x:c>
      <x:c r="C165" s="117" t="n">
        <x:f>ROUND(B165,'Config'!$B$25)</x:f>
        <x:v>0.59</x:v>
      </x:c>
      <x:c r="D165" s="120" t="n">
        <x:f>VALUE('Raw_Data'!J401)</x:f>
        <x:v>0.0004780570485761054</x:v>
      </x:c>
      <x:c r="E165" s="117" t="n">
        <x:f>LN(ABS(D165))/LN(10)</x:f>
        <x:v>-3.320520274091984</x:v>
      </x:c>
      <x:c r="F165" s="117" t="n">
        <x:f>B165</x:f>
        <x:v>0.5900000000000005</x:v>
      </x:c>
      <x:c r="G165" s="117" t="n">
        <x:f>B185</x:f>
        <x:v>0.6900000000000006</x:v>
      </x:c>
      <x:c r="H165" s="117" t="n">
        <x:f>MAX(E165:E185)-MIN(E165:E185)</x:f>
        <x:v>0.15943886858071776</x:v>
      </x:c>
      <x:c r="I165" s="117" t="n">
        <x:f>SLOPE(E165:E185,B165:B185)</x:f>
        <x:v>1.5889460778461202</x:v>
      </x:c>
      <x:c r="J165" s="123" t="n">
        <x:f>RSQ(E165:E185,B165:B185)</x:f>
        <x:v>0.9975926647809058</x:v>
      </x:c>
      <x:c r="K165" s="117" t="n">
        <x:f>IF(I165&gt;0,'Config'!$B$17/I165,"")</x:f>
        <x:v>629.3479772174144</x:v>
      </x:c>
      <x:c r="L165" s="120" t="n">
        <x:f>MAX(D165:D185)</x:f>
        <x:v>0.0006901104352651224</x:v>
      </x:c>
      <x:c r="M165" s="120" t="str">
        <x:f>IF(AND(H165&gt;='Config'!$B$14,J165&gt;='Config'!$B$15,L165&lt;=$E$4,I165&gt;0),K165,"")</x:f>
      </x:c>
      <x:c r="N165" s="17" t="str">
        <x:f>IF(AND(M165&lt;&gt;"",ABS(M165-$G$4)&lt;='Config'!$B$22),"SELECTED","")</x:f>
      </x:c>
    </x:row>
    <x:row r="166">
      <x:c r="A166" s="15" t="n">
        <x:v>402</x:v>
      </x:c>
      <x:c r="B166" s="117" t="n">
        <x:f>VALUE('Raw_Data'!I402)</x:f>
        <x:v>0.5950000000000005</x:v>
      </x:c>
      <x:c r="C166" s="117" t="n">
        <x:f>ROUND(B166,'Config'!$B$25)</x:f>
        <x:v>0.595</x:v>
      </x:c>
      <x:c r="D166" s="120" t="n">
        <x:f>VALUE('Raw_Data'!J402)</x:f>
        <x:v>0.0004886228463807734</x:v>
      </x:c>
      <x:c r="E166" s="117" t="n">
        <x:f>LN(ABS(D166))/LN(10)</x:f>
        <x:v>-3.311026230720878</x:v>
      </x:c>
      <x:c r="F166" s="117" t="n">
        <x:f>B166</x:f>
        <x:v>0.5950000000000005</x:v>
      </x:c>
      <x:c r="G166" s="117" t="n">
        <x:f>B186</x:f>
        <x:v>0.6950000000000006</x:v>
      </x:c>
      <x:c r="H166" s="117" t="n">
        <x:f>MAX(E166:E186)-MIN(E166:E186)</x:f>
        <x:v>0.15656344077031514</x:v>
      </x:c>
      <x:c r="I166" s="117" t="n">
        <x:f>SLOPE(E166:E186,B166:B186)</x:f>
        <x:v>1.560418013718092</x:v>
      </x:c>
      <x:c r="J166" s="123" t="n">
        <x:f>RSQ(E166:E186,B166:B186)</x:f>
        <x:v>0.9976630461561663</x:v>
      </x:c>
      <x:c r="K166" s="117" t="n">
        <x:f>IF(I166&gt;0,'Config'!$B$17/I166,"")</x:f>
        <x:v>640.8539194041</x:v>
      </x:c>
      <x:c r="L166" s="120" t="n">
        <x:f>MAX(D166:D186)</x:f>
        <x:v>0.0007007082164866516</x:v>
      </x:c>
      <x:c r="M166" s="120" t="str">
        <x:f>IF(AND(H166&gt;='Config'!$B$14,J166&gt;='Config'!$B$15,L166&lt;=$E$4,I166&gt;0),K166,"")</x:f>
      </x:c>
      <x:c r="N166" s="17" t="str">
        <x:f>IF(AND(M166&lt;&gt;"",ABS(M166-$G$4)&lt;='Config'!$B$22),"SELECTED","")</x:f>
      </x:c>
    </x:row>
    <x:row r="167">
      <x:c r="A167" s="15" t="n">
        <x:v>403</x:v>
      </x:c>
      <x:c r="B167" s="117" t="n">
        <x:f>VALUE('Raw_Data'!I403)</x:f>
        <x:v>0.6000000000000005</x:v>
      </x:c>
      <x:c r="C167" s="117" t="n">
        <x:f>ROUND(B167,'Config'!$B$25)</x:f>
        <x:v>0.6</x:v>
      </x:c>
      <x:c r="D167" s="120" t="n">
        <x:f>VALUE('Raw_Data'!J403)</x:f>
        <x:v>0.0004991985166872548</x:v>
      </x:c>
      <x:c r="E167" s="117" t="n">
        <x:f>LN(ABS(D167))/LN(10)</x:f>
        <x:v>-3.3017267137813557</x:v>
      </x:c>
      <x:c r="F167" s="117" t="n">
        <x:f>B167</x:f>
        <x:v>0.6000000000000005</x:v>
      </x:c>
      <x:c r="G167" s="117" t="n">
        <x:f>B187</x:f>
        <x:v>0.7000000000000006</x:v>
      </x:c>
      <x:c r="H167" s="117" t="n">
        <x:f>MAX(E167:E187)-MIN(E167:E187)</x:f>
        <x:v>0.1537812160637002</x:v>
      </x:c>
      <x:c r="I167" s="117" t="n">
        <x:f>SLOPE(E167:E187,B167:B187)</x:f>
        <x:v>1.5328120055043024</x:v>
      </x:c>
      <x:c r="J167" s="123" t="n">
        <x:f>RSQ(E167:E187,B167:B187)</x:f>
        <x:v>0.997731161311917</x:v>
      </x:c>
      <x:c r="K167" s="117" t="n">
        <x:f>IF(I167&gt;0,'Config'!$B$17/I167,"")</x:f>
        <x:v>652.395725248117</x:v>
      </x:c>
      <x:c r="L167" s="120" t="n">
        <x:f>MAX(D167:D187)</x:f>
        <x:v>0.0007113027738068271</x:v>
      </x:c>
      <x:c r="M167" s="120" t="str">
        <x:f>IF(AND(H167&gt;='Config'!$B$14,J167&gt;='Config'!$B$15,L167&lt;=$E$4,I167&gt;0),K167,"")</x:f>
      </x:c>
      <x:c r="N167" s="17" t="str">
        <x:f>IF(AND(M167&lt;&gt;"",ABS(M167-$G$4)&lt;='Config'!$B$22),"SELECTED","")</x:f>
      </x:c>
    </x:row>
    <x:row r="168">
      <x:c r="A168" s="15" t="n">
        <x:v>404</x:v>
      </x:c>
      <x:c r="B168" s="117" t="n">
        <x:f>VALUE('Raw_Data'!I404)</x:f>
        <x:v>0.6050000000000005</x:v>
      </x:c>
      <x:c r="C168" s="117" t="n">
        <x:f>ROUND(B168,'Config'!$B$25)</x:f>
        <x:v>0.605</x:v>
      </x:c>
      <x:c r="D168" s="120" t="n">
        <x:f>VALUE('Raw_Data'!J404)</x:f>
        <x:v>0.0005097826551036593</x:v>
      </x:c>
      <x:c r="E168" s="117" t="n">
        <x:f>LN(ABS(D168))/LN(10)</x:f>
        <x:v>-3.2926149450945204</x:v>
      </x:c>
      <x:c r="F168" s="117" t="n">
        <x:f>B168</x:f>
        <x:v>0.6050000000000005</x:v>
      </x:c>
      <x:c r="G168" s="117" t="n">
        <x:f>B188</x:f>
        <x:v>0.7050000000000006</x:v>
      </x:c>
      <x:c r="H168" s="117" t="n">
        <x:f>MAX(E168:E188)-MIN(E168:E188)</x:f>
        <x:v>0.15108833673304733</x:v>
      </x:c>
      <x:c r="I168" s="117" t="n">
        <x:f>SLOPE(E168:E188,B168:B188)</x:f>
        <x:v>1.5060898536264473</x:v>
      </x:c>
      <x:c r="J168" s="123" t="n">
        <x:f>RSQ(E168:E188,B168:B188)</x:f>
        <x:v>0.9977970525272304</x:v>
      </x:c>
      <x:c r="K168" s="117" t="n">
        <x:f>IF(I168&gt;0,'Config'!$B$17/I168,"")</x:f>
        <x:v>663.9710091613354</x:v>
      </x:c>
      <x:c r="L168" s="120" t="n">
        <x:f>MAX(D168:D188)</x:f>
        <x:v>0.0007218939325728639</x:v>
      </x:c>
      <x:c r="M168" s="120" t="str">
        <x:f>IF(AND(H168&gt;='Config'!$B$14,J168&gt;='Config'!$B$15,L168&lt;=$E$4,I168&gt;0),K168,"")</x:f>
      </x:c>
      <x:c r="N168" s="17" t="str">
        <x:f>IF(AND(M168&lt;&gt;"",ABS(M168-$G$4)&lt;='Config'!$B$22),"SELECTED","")</x:f>
      </x:c>
    </x:row>
    <x:row r="169">
      <x:c r="A169" s="15" t="n">
        <x:v>405</x:v>
      </x:c>
      <x:c r="B169" s="117" t="n">
        <x:f>VALUE('Raw_Data'!I405)</x:f>
        <x:v>0.6100000000000005</x:v>
      </x:c>
      <x:c r="C169" s="117" t="n">
        <x:f>ROUND(B169,'Config'!$B$25)</x:f>
        <x:v>0.61</x:v>
      </x:c>
      <x:c r="D169" s="120" t="n">
        <x:f>VALUE('Raw_Data'!J405)</x:f>
        <x:v>0.0005203739764104353</x:v>
      </x:c>
      <x:c r="E169" s="117" t="n">
        <x:f>LN(ABS(D169))/LN(10)</x:f>
        <x:v>-3.2836844303732167</x:v>
      </x:c>
      <x:c r="F169" s="117" t="n">
        <x:f>B169</x:f>
        <x:v>0.6100000000000005</x:v>
      </x:c>
      <x:c r="G169" s="117" t="n">
        <x:f>B189</x:f>
        <x:v>0.7100000000000006</x:v>
      </x:c>
      <x:c r="H169" s="117" t="n">
        <x:f>MAX(E169:E189)-MIN(E169:E189)</x:f>
        <x:v>0.1484811138860045</x:v>
      </x:c>
      <x:c r="I169" s="117" t="n">
        <x:f>SLOPE(E169:E189,B169:B189)</x:f>
        <x:v>1.4802150443142843</x:v>
      </x:c>
      <x:c r="J169" s="123" t="n">
        <x:f>RSQ(E169:E189,B169:B189)</x:f>
        <x:v>0.9978607658131836</x:v>
      </x:c>
      <x:c r="K169" s="117" t="n">
        <x:f>IF(I169&gt;0,'Config'!$B$17/I169,"")</x:f>
        <x:v>675.5775141194124</x:v>
      </x:c>
      <x:c r="L169" s="120" t="n">
        <x:f>MAX(D169:D189)</x:f>
        <x:v>0.0007324815390527922</x:v>
      </x:c>
      <x:c r="M169" s="120" t="str">
        <x:f>IF(AND(H169&gt;='Config'!$B$14,J169&gt;='Config'!$B$15,L169&lt;=$E$4,I169&gt;0),K169,"")</x:f>
      </x:c>
      <x:c r="N169" s="17" t="str">
        <x:f>IF(AND(M169&lt;&gt;"",ABS(M169-$G$4)&lt;='Config'!$B$22),"SELECTED","")</x:f>
      </x:c>
    </x:row>
    <x:row r="170">
      <x:c r="A170" s="15" t="n">
        <x:v>406</x:v>
      </x:c>
      <x:c r="B170" s="117" t="n">
        <x:f>VALUE('Raw_Data'!I406)</x:f>
        <x:v>0.6150000000000005</x:v>
      </x:c>
      <x:c r="C170" s="117" t="n">
        <x:f>ROUND(B170,'Config'!$B$25)</x:f>
        <x:v>0.615</x:v>
      </x:c>
      <x:c r="D170" s="120" t="n">
        <x:f>VALUE('Raw_Data'!J406)</x:f>
        <x:v>0.0005309713060902836</x:v>
      </x:c>
      <x:c r="E170" s="117" t="n">
        <x:f>LN(ABS(D170))/LN(10)</x:f>
        <x:v>-3.274928947738424</x:v>
      </x:c>
      <x:c r="F170" s="117" t="n">
        <x:f>B170</x:f>
        <x:v>0.6150000000000005</x:v>
      </x:c>
      <x:c r="G170" s="117" t="n">
        <x:f>B190</x:f>
        <x:v>0.7150000000000006</x:v>
      </x:c>
      <x:c r="H170" s="117" t="n">
        <x:f>MAX(E170:E190)-MIN(E170:E190)</x:f>
        <x:v>0.1459560212163784</x:v>
      </x:c>
      <x:c r="I170" s="117" t="n">
        <x:f>SLOPE(E170:E190,B170:B190)</x:f>
        <x:v>1.4551526851264593</x:v>
      </x:c>
      <x:c r="J170" s="123" t="n">
        <x:f>RSQ(E170:E190,B170:B190)</x:f>
        <x:v>0.9979223502364449</x:v>
      </x:c>
      <x:c r="K170" s="117" t="n">
        <x:f>IF(I170&gt;0,'Config'!$B$17/I170,"")</x:f>
        <x:v>687.2131084396106</x:v>
      </x:c>
      <x:c r="L170" s="120" t="n">
        <x:f>MAX(D170:D190)</x:f>
        <x:v>0.0007430654584006675</x:v>
      </x:c>
      <x:c r="M170" s="120" t="str">
        <x:f>IF(AND(H170&gt;='Config'!$B$14,J170&gt;='Config'!$B$15,L170&lt;=$E$4,I170&gt;0),K170,"")</x:f>
      </x:c>
      <x:c r="N170" s="17" t="str">
        <x:f>IF(AND(M170&lt;&gt;"",ABS(M170-$G$4)&lt;='Config'!$B$22),"SELECTED","")</x:f>
      </x:c>
    </x:row>
    <x:row r="171">
      <x:c r="A171" s="15" t="n">
        <x:v>407</x:v>
      </x:c>
      <x:c r="B171" s="117" t="n">
        <x:f>VALUE('Raw_Data'!I407)</x:f>
        <x:v>0.6200000000000006</x:v>
      </x:c>
      <x:c r="C171" s="117" t="n">
        <x:f>ROUND(B171,'Config'!$B$25)</x:f>
        <x:v>0.62</x:v>
      </x:c>
      <x:c r="D171" s="120" t="n">
        <x:f>VALUE('Raw_Data'!J407)</x:f>
        <x:v>0.0005415735723011926</x:v>
      </x:c>
      <x:c r="E171" s="117" t="n">
        <x:f>LN(ABS(D171))/LN(10)</x:f>
        <x:v>-3.266342536501261</x:v>
      </x:c>
      <x:c r="F171" s="117" t="n">
        <x:f>B171</x:f>
        <x:v>0.6200000000000006</x:v>
      </x:c>
      <x:c r="G171" s="117" t="n">
        <x:f>B191</x:f>
        <x:v>0.7200000000000006</x:v>
      </x:c>
      <x:c r="H171" s="117" t="n">
        <x:f>MAX(E171:E191)-MIN(E171:E191)</x:f>
        <x:v>0.14350968877534376</x:v>
      </x:c>
      <x:c r="I171" s="117" t="n">
        <x:f>SLOPE(E171:E191,B171:B191)</x:f>
        <x:v>1.4308694410276812</x:v>
      </x:c>
      <x:c r="J171" s="123" t="n">
        <x:f>RSQ(E171:E191,B171:B191)</x:f>
        <x:v>0.9979818573111041</x:v>
      </x:c>
      <x:c r="K171" s="117" t="n">
        <x:f>IF(I171&gt;0,'Config'!$B$17/I171,"")</x:f>
        <x:v>698.8757823227943</x:v>
      </x:c>
      <x:c r="L171" s="120" t="n">
        <x:f>MAX(D171:D191)</x:f>
        <x:v>0.0007536455727879434</x:v>
      </x:c>
      <x:c r="M171" s="120" t="str">
        <x:f>IF(AND(H171&gt;='Config'!$B$14,J171&gt;='Config'!$B$15,L171&lt;=$E$4,I171&gt;0),K171,"")</x:f>
      </x:c>
      <x:c r="N171" s="17" t="str">
        <x:f>IF(AND(M171&lt;&gt;"",ABS(M171-$G$4)&lt;='Config'!$B$22),"SELECTED","")</x:f>
      </x:c>
    </x:row>
    <x:row r="172">
      <x:c r="A172" s="15" t="n">
        <x:v>408</x:v>
      </x:c>
      <x:c r="B172" s="117" t="n">
        <x:f>VALUE('Raw_Data'!I408)</x:f>
        <x:v>0.6250000000000006</x:v>
      </x:c>
      <x:c r="C172" s="117" t="n">
        <x:f>ROUND(B172,'Config'!$B$25)</x:f>
        <x:v>0.625</x:v>
      </x:c>
      <x:c r="D172" s="120" t="n">
        <x:f>VALUE('Raw_Data'!J408)</x:f>
        <x:v>0.0005521797982896901</x:v>
      </x:c>
      <x:c r="E172" s="117" t="n">
        <x:f>LN(ABS(D172))/LN(10)</x:f>
        <x:v>-3.2579194862367795</x:v>
      </x:c>
      <x:c r="F172" s="117" t="n">
        <x:f>B172</x:f>
        <x:v>0.6250000000000006</x:v>
      </x:c>
      <x:c r="G172" s="117" t="n">
        <x:f>B192</x:f>
        <x:v>0.7250000000000006</x:v>
      </x:c>
      <x:c r="H172" s="117" t="n">
        <x:f>MAX(E172:E192)-MIN(E172:E192)</x:f>
        <x:v>0.1411388967994589</x:v>
      </x:c>
      <x:c r="I172" s="117" t="n">
        <x:f>SLOPE(E172:E192,B172:B192)</x:f>
        <x:v>1.4073334713398769</x:v>
      </x:c>
      <x:c r="J172" s="123" t="n">
        <x:f>RSQ(E172:E192,B172:B192)</x:f>
        <x:v>0.9980393404540735</x:v>
      </x:c>
      <x:c r="K172" s="117" t="n">
        <x:f>IF(I172&gt;0,'Config'!$B$17/I172,"")</x:f>
        <x:v>710.5636442000716</x:v>
      </x:c>
      <x:c r="L172" s="120" t="n">
        <x:f>MAX(D172:D192)</x:f>
        <x:v>0.0007642217796893176</x:v>
      </x:c>
      <x:c r="M172" s="120" t="str">
        <x:f>IF(AND(H172&gt;='Config'!$B$14,J172&gt;='Config'!$B$15,L172&lt;=$E$4,I172&gt;0),K172,"")</x:f>
      </x:c>
      <x:c r="N172" s="17" t="str">
        <x:f>IF(AND(M172&lt;&gt;"",ABS(M172-$G$4)&lt;='Config'!$B$22),"SELECTED","")</x:f>
      </x:c>
    </x:row>
    <x:row r="173">
      <x:c r="A173" s="15" t="n">
        <x:v>409</x:v>
      </x:c>
      <x:c r="B173" s="117" t="n">
        <x:f>VALUE('Raw_Data'!I409)</x:f>
        <x:v>0.6300000000000006</x:v>
      </x:c>
      <x:c r="C173" s="117" t="n">
        <x:f>ROUND(B173,'Config'!$B$25)</x:f>
        <x:v>0.63</x:v>
      </x:c>
      <x:c r="D173" s="120" t="n">
        <x:f>VALUE('Raw_Data'!J409)</x:f>
        <x:v>0.0005627890952377143</x:v>
      </x:c>
      <x:c r="E173" s="117" t="n">
        <x:f>LN(ABS(D173))/LN(10)</x:f>
        <x:v>-3.2496543261697166</x:v>
      </x:c>
      <x:c r="F173" s="117" t="n">
        <x:f>B173</x:f>
        <x:v>0.6300000000000006</x:v>
      </x:c>
      <x:c r="G173" s="117" t="n">
        <x:f>B193</x:f>
        <x:v>0.7300000000000006</x:v>
      </x:c>
      <x:c r="H173" s="117" t="n">
        <x:f>MAX(E173:E193)-MIN(E173:E193)</x:f>
        <x:v>0.13884056962555746</x:v>
      </x:c>
      <x:c r="I173" s="117" t="n">
        <x:f>SLOPE(E173:E193,B173:B193)</x:f>
        <x:v>1.3845143678279097</x:v>
      </x:c>
      <x:c r="J173" s="123" t="n">
        <x:f>RSQ(E173:E193,B173:B193)</x:f>
        <x:v>0.9980948544994475</x:v>
      </x:c>
      <x:c r="K173" s="117" t="n">
        <x:f>IF(I173&gt;0,'Config'!$B$17/I173,"")</x:f>
        <x:v>722.274916921842</x:v>
      </x:c>
      <x:c r="L173" s="120" t="n">
        <x:f>MAX(D173:D193)</x:f>
        <x:v>0.0007747939903119339</x:v>
      </x:c>
      <x:c r="M173" s="120" t="str">
        <x:f>IF(AND(H173&gt;='Config'!$B$14,J173&gt;='Config'!$B$15,L173&lt;=$E$4,I173&gt;0),K173,"")</x:f>
      </x:c>
      <x:c r="N173" s="17" t="str">
        <x:f>IF(AND(M173&lt;&gt;"",ABS(M173-$G$4)&lt;='Config'!$B$22),"SELECTED","")</x:f>
      </x:c>
    </x:row>
    <x:row r="174">
      <x:c r="A174" s="15" t="n">
        <x:v>410</x:v>
      </x:c>
      <x:c r="B174" s="117" t="n">
        <x:f>VALUE('Raw_Data'!I410)</x:f>
        <x:v>0.6350000000000006</x:v>
      </x:c>
      <x:c r="C174" s="117" t="n">
        <x:f>ROUND(B174,'Config'!$B$25)</x:f>
        <x:v>0.635</x:v>
      </x:c>
      <x:c r="D174" s="120" t="n">
        <x:f>VALUE('Raw_Data'!J410)</x:f>
        <x:v>0.0005734006555336281</x:v>
      </x:c>
      <x:c r="E174" s="117" t="n">
        <x:f>LN(ABS(D174))/LN(10)</x:f>
        <x:v>-3.2415418148871367</x:v>
      </x:c>
      <x:c r="F174" s="117" t="n">
        <x:f>B174</x:f>
        <x:v>0.6350000000000006</x:v>
      </x:c>
      <x:c r="G174" s="117" t="n">
        <x:f>B194</x:f>
        <x:v>0.7350000000000007</x:v>
      </x:c>
      <x:c r="H174" s="117" t="n">
        <x:f>MAX(E174:E194)-MIN(E174:E194)</x:f>
        <x:v>0.13661176971713518</x:v>
      </x:c>
      <x:c r="I174" s="117" t="n">
        <x:f>SLOPE(E174:E194,B174:B194)</x:f>
        <x:v>1.3623830941306563</x:v>
      </x:c>
      <x:c r="J174" s="123" t="n">
        <x:f>RSQ(E174:E194,B174:B194)</x:f>
        <x:v>0.9981484552673453</x:v>
      </x:c>
      <x:c r="K174" s="117" t="n">
        <x:f>IF(I174&gt;0,'Config'!$B$17/I174,"")</x:f>
        <x:v>734.0079338243002</x:v>
      </x:c>
      <x:c r="L174" s="120" t="n">
        <x:f>MAX(D174:D194)</x:f>
        <x:v>0.0007853621281574579</x:v>
      </x:c>
      <x:c r="M174" s="120" t="str">
        <x:f>IF(AND(H174&gt;='Config'!$B$14,J174&gt;='Config'!$B$15,L174&lt;=$E$4,I174&gt;0),K174,"")</x:f>
      </x:c>
      <x:c r="N174" s="17" t="str">
        <x:f>IF(AND(M174&lt;&gt;"",ABS(M174-$G$4)&lt;='Config'!$B$22),"SELECTED","")</x:f>
      </x:c>
    </x:row>
    <x:row r="175">
      <x:c r="A175" s="15" t="n">
        <x:v>411</x:v>
      </x:c>
      <x:c r="B175" s="117" t="n">
        <x:f>VALUE('Raw_Data'!I411)</x:f>
        <x:v>0.6400000000000006</x:v>
      </x:c>
      <x:c r="C175" s="117" t="n">
        <x:f>ROUND(B175,'Config'!$B$25)</x:f>
        <x:v>0.64</x:v>
      </x:c>
      <x:c r="D175" s="120" t="n">
        <x:f>VALUE('Raw_Data'!J411)</x:f>
        <x:v>0.0005840137464555226</x:v>
      </x:c>
      <x:c r="E175" s="117" t="n">
        <x:f>LN(ABS(D175))/LN(10)</x:f>
        <x:v>-3.2335769303884256</x:v>
      </x:c>
      <x:c r="F175" s="117" t="n">
        <x:f>B175</x:f>
        <x:v>0.6400000000000006</x:v>
      </x:c>
      <x:c r="G175" s="117" t="n">
        <x:f>B195</x:f>
        <x:v>0.7400000000000007</x:v>
      </x:c>
      <x:c r="H175" s="117" t="n">
        <x:f>MAX(E175:E195)-MIN(E175:E195)</x:f>
        <x:v>0.1344496918222151</x:v>
      </x:c>
      <x:c r="I175" s="117" t="n">
        <x:f>SLOPE(E175:E195,B175:B195)</x:f>
        <x:v>1.3409119267052403</x:v>
      </x:c>
      <x:c r="J175" s="123" t="n">
        <x:f>RSQ(E175:E195,B175:B195)</x:f>
        <x:v>0.9982001991829005</x:v>
      </x:c>
      <x:c r="K175" s="117" t="n">
        <x:f>IF(I175&gt;0,'Config'!$B$17/I175,"")</x:f>
        <x:v>745.7611347056206</x:v>
      </x:c>
      <x:c r="L175" s="120" t="n">
        <x:f>MAX(D175:D195)</x:f>
        <x:v>0.0007959261277072524</x:v>
      </x:c>
      <x:c r="M175" s="120" t="str">
        <x:f>IF(AND(H175&gt;='Config'!$B$14,J175&gt;='Config'!$B$15,L175&lt;=$E$4,I175&gt;0),K175,"")</x:f>
      </x:c>
      <x:c r="N175" s="17" t="str">
        <x:f>IF(AND(M175&lt;&gt;"",ABS(M175-$G$4)&lt;='Config'!$B$22),"SELECTED","")</x:f>
      </x:c>
    </x:row>
    <x:row r="176">
      <x:c r="A176" s="15" t="n">
        <x:v>412</x:v>
      </x:c>
      <x:c r="B176" s="117" t="n">
        <x:f>VALUE('Raw_Data'!I412)</x:f>
        <x:v>0.6450000000000006</x:v>
      </x:c>
      <x:c r="C176" s="117" t="n">
        <x:f>ROUND(B176,'Config'!$B$25)</x:f>
        <x:v>0.645</x:v>
      </x:c>
      <x:c r="D176" s="120" t="n">
        <x:f>VALUE('Raw_Data'!J412)</x:f>
        <x:v>0.0005946277042531709</x:v>
      </x:c>
      <x:c r="E176" s="117" t="n">
        <x:f>LN(ABS(D176))/LN(10)</x:f>
        <x:v>-3.2257548604792365</x:v>
      </x:c>
      <x:c r="F176" s="117" t="n">
        <x:f>B176</x:f>
        <x:v>0.6450000000000006</x:v>
      </x:c>
      <x:c r="G176" s="117" t="n">
        <x:f>B196</x:f>
        <x:v>0.7450000000000007</x:v>
      </x:c>
      <x:c r="H176" s="117" t="n">
        <x:f>MAX(E176:E196)-MIN(E176:E196)</x:f>
        <x:v>0.13235165727846887</x:v>
      </x:c>
      <x:c r="I176" s="117" t="n">
        <x:f>SLOPE(E176:E196,B176:B196)</x:f>
        <x:v>1.320074397414713</x:v>
      </x:c>
      <x:c r="J176" s="123" t="n">
        <x:f>RSQ(E176:E196,B176:B196)</x:f>
        <x:v>0.9982501429412434</x:v>
      </x:c>
      <x:c r="K176" s="117" t="n">
        <x:f>IF(I176&gt;0,'Config'!$B$17/I176,"")</x:f>
        <x:v>757.533061741399</x:v>
      </x:c>
      <x:c r="L176" s="120" t="n">
        <x:f>MAX(D176:D196)</x:f>
        <x:v>0.0008064859332213668</x:v>
      </x:c>
      <x:c r="M176" s="120" t="str">
        <x:f>IF(AND(H176&gt;='Config'!$B$14,J176&gt;='Config'!$B$15,L176&lt;=$E$4,I176&gt;0),K176,"")</x:f>
      </x:c>
      <x:c r="N176" s="17" t="str">
        <x:f>IF(AND(M176&lt;&gt;"",ABS(M176-$G$4)&lt;='Config'!$B$22),"SELECTED","")</x:f>
      </x:c>
    </x:row>
    <x:row r="177">
      <x:c r="A177" s="15" t="n">
        <x:v>413</x:v>
      </x:c>
      <x:c r="B177" s="117" t="n">
        <x:f>VALUE('Raw_Data'!I413)</x:f>
        <x:v>0.6500000000000006</x:v>
      </x:c>
      <x:c r="C177" s="117" t="n">
        <x:f>ROUND(B177,'Config'!$B$25)</x:f>
        <x:v>0.65</x:v>
      </x:c>
      <x:c r="D177" s="120" t="n">
        <x:f>VALUE('Raw_Data'!J413)</x:f>
        <x:v>0.0006052419286136032</x:v>
      </x:c>
      <x:c r="E177" s="117" t="n">
        <x:f>LN(ABS(D177))/LN(10)</x:f>
        <x:v>-3.218070993512742</x:v>
      </x:c>
      <x:c r="F177" s="117" t="n">
        <x:f>B177</x:f>
        <x:v>0.6500000000000006</x:v>
      </x:c>
      <x:c r="G177" s="117" t="n">
        <x:f>B197</x:f>
        <x:v>0.7500000000000007</x:v>
      </x:c>
      <x:c r="H177" s="117" t="n">
        <x:f>MAX(E177:E197)-MIN(E177:E197)</x:f>
        <x:v>0.13031510847792038</x:v>
      </x:c>
      <x:c r="I177" s="117" t="n">
        <x:f>SLOPE(E177:E197,B177:B197)</x:f>
        <x:v>1.2998452378574028</x:v>
      </x:c>
      <x:c r="J177" s="123" t="n">
        <x:f>RSQ(E177:E197,B177:B197)</x:f>
        <x:v>0.9982983432145254</x:v>
      </x:c>
      <x:c r="K177" s="117" t="n">
        <x:f>IF(I177&gt;0,'Config'!$B$17/I177,"")</x:f>
        <x:v>769.3223553662034</x:v>
      </x:c>
      <x:c r="L177" s="120" t="n">
        <x:f>MAX(D177:D197)</x:f>
        <x:v>0.0008170414976427304</x:v>
      </x:c>
      <x:c r="M177" s="120" t="str">
        <x:f>IF(AND(H177&gt;='Config'!$B$14,J177&gt;='Config'!$B$15,L177&lt;=$E$4,I177&gt;0),K177,"")</x:f>
      </x:c>
      <x:c r="N177" s="17" t="str">
        <x:f>IF(AND(M177&lt;&gt;"",ABS(M177-$G$4)&lt;='Config'!$B$22),"SELECTED","")</x:f>
      </x:c>
    </x:row>
    <x:row r="178">
      <x:c r="A178" s="15" t="n">
        <x:v>414</x:v>
      </x:c>
      <x:c r="B178" s="117" t="n">
        <x:f>VALUE('Raw_Data'!I414)</x:f>
        <x:v>0.6550000000000006</x:v>
      </x:c>
      <x:c r="C178" s="117" t="n">
        <x:f>ROUND(B178,'Config'!$B$25)</x:f>
        <x:v>0.655</x:v>
      </x:c>
      <x:c r="D178" s="120" t="n">
        <x:f>VALUE('Raw_Data'!J414)</x:f>
        <x:v>0.0006158558774943251</x:v>
      </x:c>
      <x:c r="E178" s="117" t="n">
        <x:f>LN(ABS(D178))/LN(10)</x:f>
        <x:v>-3.210520909478758</x:v>
      </x:c>
      <x:c r="F178" s="117" t="n">
        <x:f>B178</x:f>
        <x:v>0.6550000000000006</x:v>
      </x:c>
      <x:c r="G178" s="117" t="n">
        <x:f>B198</x:f>
        <x:v>0.7550000000000007</x:v>
      </x:c>
      <x:c r="H178" s="117" t="n">
        <x:f>MAX(E178:E198)-MIN(E178:E198)</x:f>
        <x:v>0.12833760350046663</x:v>
      </x:c>
      <x:c r="I178" s="117" t="n">
        <x:f>SLOPE(E178:E198,B178:B198)</x:f>
        <x:v>1.2802003255084902</x:v>
      </x:c>
      <x:c r="J178" s="123" t="n">
        <x:f>RSQ(E178:E198,B178:B198)</x:f>
        <x:v>0.9983448563972293</x:v>
      </x:c>
      <x:c r="K178" s="117" t="n">
        <x:f>IF(I178&gt;0,'Config'!$B$17/I178,"")</x:f>
        <x:v>781.1277501455128</x:v>
      </x:c>
      <x:c r="L178" s="120" t="n">
        <x:f>MAX(D178:D198)</x:f>
        <x:v>0.0008275927815984853</x:v>
      </x:c>
      <x:c r="M178" s="120" t="str">
        <x:f>IF(AND(H178&gt;='Config'!$B$14,J178&gt;='Config'!$B$15,L178&lt;=$E$4,I178&gt;0),K178,"")</x:f>
      </x:c>
      <x:c r="N178" s="17" t="str">
        <x:f>IF(AND(M178&lt;&gt;"",ABS(M178-$G$4)&lt;='Config'!$B$22),"SELECTED","")</x:f>
      </x:c>
    </x:row>
    <x:row r="179">
      <x:c r="A179" s="15" t="n">
        <x:v>415</x:v>
      </x:c>
      <x:c r="B179" s="117" t="n">
        <x:f>VALUE('Raw_Data'!I415)</x:f>
        <x:v>0.6600000000000006</x:v>
      </x:c>
      <x:c r="C179" s="117" t="n">
        <x:f>ROUND(B179,'Config'!$B$25)</x:f>
        <x:v>0.66</x:v>
      </x:c>
      <x:c r="D179" s="120" t="n">
        <x:f>VALUE('Raw_Data'!J415)</x:f>
        <x:v>0.0006264690623075753</x:v>
      </x:c>
      <x:c r="E179" s="117" t="n">
        <x:f>LN(ABS(D179))/LN(10)</x:f>
        <x:v>-3.2031003714389645</x:v>
      </x:c>
      <x:c r="F179" s="117" t="n">
        <x:f>B179</x:f>
        <x:v>0.6600000000000006</x:v>
      </x:c>
      <x:c r="G179" s="117" t="n">
        <x:f>B199</x:f>
        <x:v>0.7600000000000007</x:v>
      </x:c>
      <x:c r="H179" s="117" t="n">
        <x:f>MAX(E179:E199)-MIN(E179:E199)</x:f>
        <x:v>0.12641681092276658</x:v>
      </x:c>
      <x:c r="I179" s="117" t="n">
        <x:f>SLOPE(E179:E199,B179:B199)</x:f>
        <x:v>1.2611166317206952</x:v>
      </x:c>
      <x:c r="J179" s="123" t="n">
        <x:f>RSQ(E179:E199,B179:B199)</x:f>
        <x:v>0.9983897383862496</x:v>
      </x:c>
      <x:c r="K179" s="117" t="n">
        <x:f>IF(I179&gt;0,'Config'!$B$17/I179,"")</x:f>
        <x:v>792.9480706598707</x:v>
      </x:c>
      <x:c r="L179" s="120" t="n">
        <x:f>MAX(D179:D199)</x:f>
        <x:v>0.0008381397524908558</x:v>
      </x:c>
      <x:c r="M179" s="120" t="str">
        <x:f>IF(AND(H179&gt;='Config'!$B$14,J179&gt;='Config'!$B$15,L179&lt;=$E$4,I179&gt;0),K179,"")</x:f>
      </x:c>
      <x:c r="N179" s="17" t="str">
        <x:f>IF(AND(M179&lt;&gt;"",ABS(M179-$G$4)&lt;='Config'!$B$22),"SELECTED","")</x:f>
      </x:c>
    </x:row>
    <x:row r="180">
      <x:c r="A180" s="15" t="n">
        <x:v>416</x:v>
      </x:c>
      <x:c r="B180" s="117" t="n">
        <x:f>VALUE('Raw_Data'!I416)</x:f>
        <x:v>0.6650000000000006</x:v>
      </x:c>
      <x:c r="C180" s="117" t="n">
        <x:f>ROUND(B180,'Config'!$B$25)</x:f>
        <x:v>0.665</x:v>
      </x:c>
      <x:c r="D180" s="120" t="n">
        <x:f>VALUE('Raw_Data'!J416)</x:f>
        <x:v>0.0006370810434385686</x:v>
      </x:c>
      <x:c r="E180" s="117" t="n">
        <x:f>LN(ABS(D180))/LN(10)</x:f>
        <x:v>-3.1958053173045666</x:v>
      </x:c>
      <x:c r="F180" s="117" t="n">
        <x:f>B180</x:f>
        <x:v>0.6650000000000006</x:v>
      </x:c>
      <x:c r="G180" s="117" t="n">
        <x:f>B200</x:f>
        <x:v>0.7650000000000007</x:v>
      </x:c>
      <x:c r="H180" s="117" t="n">
        <x:f>MAX(E180:E200)-MIN(E180:E200)</x:f>
        <x:v>0.12455050480693952</x:v>
      </x:c>
      <x:c r="I180" s="117" t="n">
        <x:f>SLOPE(E180:E200,B180:B200)</x:f>
        <x:v>1.2425721716110498</x:v>
      </x:c>
      <x:c r="J180" s="123" t="n">
        <x:f>RSQ(E180:E200,B180:B200)</x:f>
        <x:v>0.9984330443924502</x:v>
      </x:c>
      <x:c r="K180" s="117" t="n">
        <x:f>IF(I180&gt;0,'Config'!$B$17/I180,"")</x:f>
        <x:v>804.7822274206059</x:v>
      </x:c>
      <x:c r="L180" s="120" t="n">
        <x:f>MAX(D180:D200)</x:f>
        <x:v>0.0008486823836705794</x:v>
      </x:c>
      <x:c r="M180" s="120" t="str">
        <x:f>IF(AND(H180&gt;='Config'!$B$14,J180&gt;='Config'!$B$15,L180&lt;=$E$4,I180&gt;0),K180,"")</x:f>
      </x:c>
      <x:c r="N180" s="17" t="str">
        <x:f>IF(AND(M180&lt;&gt;"",ABS(M180-$G$4)&lt;='Config'!$B$22),"SELECTED","")</x:f>
      </x:c>
    </x:row>
    <x:row r="181">
      <x:c r="A181" s="15" t="n">
        <x:v>417</x:v>
      </x:c>
      <x:c r="B181" s="117" t="n">
        <x:f>VALUE('Raw_Data'!I417)</x:f>
        <x:v>0.6700000000000006</x:v>
      </x:c>
      <x:c r="C181" s="117" t="n">
        <x:f>ROUND(B181,'Config'!$B$25)</x:f>
        <x:v>0.67</x:v>
      </x:c>
      <x:c r="D181" s="120" t="n">
        <x:f>VALUE('Raw_Data'!J417)</x:f>
        <x:v>0.0006476914260806907</x:v>
      </x:c>
      <x:c r="E181" s="117" t="n">
        <x:f>LN(ABS(D181))/LN(10)</x:f>
        <x:v>-3.188631851951032</x:v>
      </x:c>
      <x:c r="F181" s="117" t="n">
        <x:f>B181</x:f>
        <x:v>0.6700000000000006</x:v>
      </x:c>
      <x:c r="G181" s="117" t="n">
        <x:f>B201</x:f>
        <x:v>0.7700000000000007</x:v>
      </x:c>
      <x:c r="H181" s="117" t="n">
        <x:f>MAX(E181:E201)-MIN(E181:E201)</x:f>
        <x:v>0.12273655987143339</x:v>
      </x:c>
      <x:c r="I181" s="117" t="n">
        <x:f>SLOPE(E181:E201,B181:B201)</x:f>
        <x:v>1.224545955843567</x:v>
      </x:c>
      <x:c r="J181" s="123" t="n">
        <x:f>RSQ(E181:E201,B181:B201)</x:f>
        <x:v>0.9984748287805889</x:v>
      </x:c>
      <x:c r="K181" s="117" t="n">
        <x:f>IF(I181&gt;0,'Config'!$B$17/I181,"")</x:f>
        <x:v>816.6292128343347</x:v>
      </x:c>
      <x:c r="L181" s="120" t="n">
        <x:f>MAX(D181:D201)</x:f>
        <x:v>0.0008592206536862912</x:v>
      </x:c>
      <x:c r="M181" s="120" t="str">
        <x:f>IF(AND(H181&gt;='Config'!$B$14,J181&gt;='Config'!$B$15,L181&lt;=$E$4,I181&gt;0),K181,"")</x:f>
      </x:c>
      <x:c r="N181" s="17" t="str">
        <x:f>IF(AND(M181&lt;&gt;"",ABS(M181-$G$4)&lt;='Config'!$B$22),"SELECTED","")</x:f>
      </x:c>
    </x:row>
    <x:row r="182">
      <x:c r="A182" s="15" t="n">
        <x:v>418</x:v>
      </x:c>
      <x:c r="B182" s="117" t="n">
        <x:f>VALUE('Raw_Data'!I418)</x:f>
        <x:v>0.6750000000000006</x:v>
      </x:c>
      <x:c r="C182" s="117" t="n">
        <x:f>ROUND(B182,'Config'!$B$25)</x:f>
        <x:v>0.675</x:v>
      </x:c>
      <x:c r="D182" s="120" t="n">
        <x:f>VALUE('Raw_Data'!J418)</x:f>
        <x:v>0.0006582998563704763</x:v>
      </x:c>
      <x:c r="E182" s="117" t="n">
        <x:f>LN(ABS(D182))/LN(10)</x:f>
        <x:v>-3.1815762396633764</x:v>
      </x:c>
      <x:c r="F182" s="117" t="n">
        <x:f>B182</x:f>
        <x:v>0.6750000000000006</x:v>
      </x:c>
      <x:c r="G182" s="117" t="n">
        <x:f>B202</x:f>
        <x:v>0.7750000000000007</x:v>
      </x:c>
      <x:c r="H182" s="117" t="n">
        <x:f>MAX(E182:E202)-MIN(E182:E202)</x:f>
        <x:v>0.1209729468449976</x:v>
      </x:c>
      <x:c r="I182" s="117" t="n">
        <x:f>SLOPE(E182:E202,B182:B202)</x:f>
        <x:v>1.2070179443036453</x:v>
      </x:c>
      <x:c r="J182" s="123" t="n">
        <x:f>RSQ(E182:E202,B182:B202)</x:f>
        <x:v>0.9985151449347742</x:v>
      </x:c>
      <x:c r="K182" s="117" t="n">
        <x:f>IF(I182&gt;0,'Config'!$B$17/I182,"")</x:f>
        <x:v>828.4880972311655</x:v>
      </x:c>
      <x:c r="L182" s="120" t="n">
        <x:f>MAX(D182:D202)</x:f>
        <x:v>0.000869754545603814</x:v>
      </x:c>
      <x:c r="M182" s="120" t="str">
        <x:f>IF(AND(H182&gt;='Config'!$B$14,J182&gt;='Config'!$B$15,L182&lt;=$E$4,I182&gt;0),K182,"")</x:f>
      </x:c>
      <x:c r="N182" s="17" t="str">
        <x:f>IF(AND(M182&lt;&gt;"",ABS(M182-$G$4)&lt;='Config'!$B$22),"SELECTED","")</x:f>
      </x:c>
    </x:row>
    <x:row r="183">
      <x:c r="A183" s="15" t="n">
        <x:v>419</x:v>
      </x:c>
      <x:c r="B183" s="117" t="n">
        <x:f>VALUE('Raw_Data'!I419)</x:f>
        <x:v>0.6800000000000006</x:v>
      </x:c>
      <x:c r="C183" s="117" t="n">
        <x:f>ROUND(B183,'Config'!$B$25)</x:f>
        <x:v>0.68</x:v>
      </x:c>
      <x:c r="D183" s="120" t="n">
        <x:f>VALUE('Raw_Data'!J419)</x:f>
        <x:v>0.000668906017805603</x:v>
      </x:c>
      <x:c r="E183" s="117" t="n">
        <x:f>LN(ABS(D183))/LN(10)</x:f>
        <x:v>-3.1746348969042804</x:v>
      </x:c>
      <x:c r="F183" s="117" t="n">
        <x:f>B183</x:f>
        <x:v>0.6800000000000006</x:v>
      </x:c>
      <x:c r="G183" s="117" t="n">
        <x:f>B203</x:f>
        <x:v>0.7800000000000007</x:v>
      </x:c>
      <x:c r="H183" s="117" t="n">
        <x:f>MAX(E183:E203)-MIN(E183:E203)</x:f>
        <x:v>0.11925772800316592</x:v>
      </x:c>
      <x:c r="I183" s="117" t="n">
        <x:f>SLOPE(E183:E203,B183:B203)</x:f>
        <x:v>1.1899690016479316</x:v>
      </x:c>
      <x:c r="J183" s="123" t="n">
        <x:f>RSQ(E183:E203,B183:B203)</x:f>
        <x:v>0.9985540451467948</x:v>
      </x:c>
      <x:c r="K183" s="117" t="n">
        <x:f>IF(I183&gt;0,'Config'!$B$17/I183,"")</x:f>
        <x:v>840.3580249696819</x:v>
      </x:c>
      <x:c r="L183" s="120" t="n">
        <x:f>MAX(D183:D203)</x:f>
        <x:v>0.0008802840463896318</x:v>
      </x:c>
      <x:c r="M183" s="120" t="str">
        <x:f>IF(AND(H183&gt;='Config'!$B$14,J183&gt;='Config'!$B$15,L183&lt;=$E$4,I183&gt;0),K183,"")</x:f>
      </x:c>
      <x:c r="N183" s="17" t="str">
        <x:f>IF(AND(M183&lt;&gt;"",ABS(M183-$G$4)&lt;='Config'!$B$22),"SELECTED","")</x:f>
      </x:c>
    </x:row>
    <x:row r="184">
      <x:c r="A184" s="15" t="n">
        <x:v>420</x:v>
      </x:c>
      <x:c r="B184" s="117" t="n">
        <x:f>VALUE('Raw_Data'!I420)</x:f>
        <x:v>0.6850000000000006</x:v>
      </x:c>
      <x:c r="C184" s="117" t="n">
        <x:f>ROUND(B184,'Config'!$B$25)</x:f>
        <x:v>0.685</x:v>
      </x:c>
      <x:c r="D184" s="120" t="n">
        <x:f>VALUE('Raw_Data'!J420)</x:f>
        <x:v>0.000679509627929288</x:v>
      </x:c>
      <x:c r="E184" s="117" t="n">
        <x:f>LN(ABS(D184))/LN(10)</x:f>
        <x:v>-3.1678043853966242</x:v>
      </x:c>
      <x:c r="F184" s="117" t="n">
        <x:f>B184</x:f>
        <x:v>0.6850000000000006</x:v>
      </x:c>
      <x:c r="G184" s="117" t="n">
        <x:f>B204</x:f>
        <x:v>0.7850000000000007</x:v>
      </x:c>
      <x:c r="H184" s="117" t="n">
        <x:f>MAX(E184:E204)-MIN(E184:E204)</x:f>
        <x:v>0.11758905288569643</x:v>
      </x:c>
      <x:c r="I184" s="117" t="n">
        <x:f>SLOPE(E184:E204,B184:B204)</x:f>
        <x:v>1.1733808547038187</x:v>
      </x:c>
      <x:c r="J184" s="123" t="n">
        <x:f>RSQ(E184:E204,B184:B204)</x:f>
        <x:v>0.9985915805248685</x:v>
      </x:c>
      <x:c r="K184" s="117" t="n">
        <x:f>IF(I184&gt;0,'Config'!$B$17/I184,"")</x:f>
        <x:v>852.2382106297592</x:v>
      </x:c>
      <x:c r="L184" s="120" t="n">
        <x:f>MAX(D184:D204)</x:f>
        <x:v>0.0008908091463533455</x:v>
      </x:c>
      <x:c r="M184" s="120" t="str">
        <x:f>IF(AND(H184&gt;='Config'!$B$14,J184&gt;='Config'!$B$15,L184&lt;=$E$4,I184&gt;0),K184,"")</x:f>
      </x:c>
      <x:c r="N184" s="17" t="str">
        <x:f>IF(AND(M184&lt;&gt;"",ABS(M184-$G$4)&lt;='Config'!$B$22),"SELECTED","")</x:f>
      </x:c>
    </x:row>
    <x:row r="185">
      <x:c r="A185" s="15" t="n">
        <x:v>421</x:v>
      </x:c>
      <x:c r="B185" s="117" t="n">
        <x:f>VALUE('Raw_Data'!I421)</x:f>
        <x:v>0.6900000000000006</x:v>
      </x:c>
      <x:c r="C185" s="117" t="n">
        <x:f>ROUND(B185,'Config'!$B$25)</x:f>
        <x:v>0.69</x:v>
      </x:c>
      <x:c r="D185" s="120" t="n">
        <x:f>VALUE('Raw_Data'!J421)</x:f>
        <x:v>0.0006901104352651224</x:v>
      </x:c>
      <x:c r="E185" s="117" t="n">
        <x:f>LN(ABS(D185))/LN(10)</x:f>
        <x:v>-3.161081405511266</x:v>
      </x:c>
      <x:c r="F185" s="117" t="n">
        <x:f>B185</x:f>
        <x:v>0.6900000000000006</x:v>
      </x:c>
      <x:c r="G185" s="117" t="n">
        <x:f>B205</x:f>
        <x:v>0.7900000000000007</x:v>
      </x:c>
      <x:c r="H185" s="117" t="n">
        <x:f>MAX(E185:E205)-MIN(E185:E205)</x:f>
        <x:v>0.115965154192331</x:v>
      </x:c>
      <x:c r="I185" s="117" t="n">
        <x:f>SLOPE(E185:E205,B185:B205)</x:f>
        <x:v>1.1572360516845859</x:v>
      </x:c>
      <x:c r="J185" s="123" t="n">
        <x:f>RSQ(E185:E205,B185:B205)</x:f>
        <x:v>0.9986278009205913</x:v>
      </x:c>
      <x:c r="K185" s="117" t="n">
        <x:f>IF(I185&gt;0,'Config'!$B$17/I185,"")</x:f>
        <x:v>864.127935302657</x:v>
      </x:c>
      <x:c r="L185" s="120" t="n">
        <x:f>MAX(D185:D205)</x:f>
        <x:v>0.0009013298386442135</x:v>
      </x:c>
      <x:c r="M185" s="120" t="str">
        <x:f>IF(AND(H185&gt;='Config'!$B$14,J185&gt;='Config'!$B$15,L185&lt;=$E$4,I185&gt;0),K185,"")</x:f>
      </x:c>
      <x:c r="N185" s="17" t="str">
        <x:f>IF(AND(M185&lt;&gt;"",ABS(M185-$G$4)&lt;='Config'!$B$22),"SELECTED","")</x:f>
      </x:c>
    </x:row>
    <x:row r="186">
      <x:c r="A186" s="15" t="n">
        <x:v>422</x:v>
      </x:c>
      <x:c r="B186" s="117" t="n">
        <x:f>VALUE('Raw_Data'!I422)</x:f>
        <x:v>0.6950000000000006</x:v>
      </x:c>
      <x:c r="C186" s="117" t="n">
        <x:f>ROUND(B186,'Config'!$B$25)</x:f>
        <x:v>0.695</x:v>
      </x:c>
      <x:c r="D186" s="120" t="n">
        <x:f>VALUE('Raw_Data'!J422)</x:f>
        <x:v>0.0007007082164866516</x:v>
      </x:c>
      <x:c r="E186" s="117" t="n">
        <x:f>LN(ABS(D186))/LN(10)</x:f>
        <x:v>-3.154462789950563</x:v>
      </x:c>
      <x:c r="F186" s="117" t="n">
        <x:f>B186</x:f>
        <x:v>0.6950000000000006</x:v>
      </x:c>
      <x:c r="G186" s="117" t="n">
        <x:f>B206</x:f>
        <x:v>0.7950000000000007</x:v>
      </x:c>
      <x:c r="H186" s="117" t="n">
        <x:f>MAX(E186:E206)-MIN(E186:E206)</x:f>
        <x:v>0.11438434385360852</x:v>
      </x:c>
      <x:c r="I186" s="117" t="n">
        <x:f>SLOPE(E186:E206,B186:B206)</x:f>
        <x:v>1.1415179231799144</x:v>
      </x:c>
      <x:c r="J186" s="123" t="n">
        <x:f>RSQ(E186:E206,B186:B206)</x:f>
        <x:v>0.9986627548720027</x:v>
      </x:c>
      <x:c r="K186" s="117" t="n">
        <x:f>IF(I186&gt;0,'Config'!$B$17/I186,"")</x:f>
        <x:v>876.0265429861238</x:v>
      </x:c>
      <x:c r="L186" s="120" t="n">
        <x:f>MAX(D186:D206)</x:f>
        <x:v>0.0009118461187972297</x:v>
      </x:c>
      <x:c r="M186" s="120" t="str">
        <x:f>IF(AND(H186&gt;='Config'!$B$14,J186&gt;='Config'!$B$15,L186&lt;=$E$4,I186&gt;0),K186,"")</x:f>
      </x:c>
      <x:c r="N186" s="17" t="str">
        <x:f>IF(AND(M186&lt;&gt;"",ABS(M186-$G$4)&lt;='Config'!$B$22),"SELECTED","")</x:f>
      </x:c>
    </x:row>
    <x:row r="187">
      <x:c r="A187" s="15" t="n">
        <x:v>423</x:v>
      </x:c>
      <x:c r="B187" s="117" t="n">
        <x:f>VALUE('Raw_Data'!I423)</x:f>
        <x:v>0.7000000000000006</x:v>
      </x:c>
      <x:c r="C187" s="117" t="n">
        <x:f>ROUND(B187,'Config'!$B$25)</x:f>
        <x:v>0.7</x:v>
      </x:c>
      <x:c r="D187" s="120" t="n">
        <x:f>VALUE('Raw_Data'!J423)</x:f>
        <x:v>0.0007113027738068271</x:v>
      </x:c>
      <x:c r="E187" s="117" t="n">
        <x:f>LN(ABS(D187))/LN(10)</x:f>
        <x:v>-3.1479454977176555</x:v>
      </x:c>
      <x:c r="F187" s="117" t="n">
        <x:f>B187</x:f>
        <x:v>0.7000000000000006</x:v>
      </x:c>
      <x:c r="G187" s="117" t="n">
        <x:f>B207</x:f>
        <x:v>0.8000000000000007</x:v>
      </x:c>
      <x:c r="H187" s="117" t="n">
        <x:f>MAX(E187:E207)-MIN(E187:E207)</x:f>
        <x:v>0.11284500927276131</x:v>
      </x:c>
      <x:c r="I187" s="117" t="n">
        <x:f>SLOPE(E187:E207,B187:B207)</x:f>
        <x:v>1.1262105448762882</x:v>
      </x:c>
      <x:c r="J187" s="123" t="n">
        <x:f>RSQ(E187:E207,B187:B207)</x:f>
        <x:v>0.9986964895609026</x:v>
      </x:c>
      <x:c r="K187" s="117" t="n">
        <x:f>IF(I187&gt;0,'Config'!$B$17/I187,"")</x:f>
        <x:v>887.9334370908841</x:v>
      </x:c>
      <x:c r="L187" s="120" t="n">
        <x:f>MAX(D187:D207)</x:f>
        <x:v>0.0009223579843246119</x:v>
      </x:c>
      <x:c r="M187" s="120" t="str">
        <x:f>IF(AND(H187&gt;='Config'!$B$14,J187&gt;='Config'!$B$15,L187&lt;=$E$4,I187&gt;0),K187,"")</x:f>
      </x:c>
      <x:c r="N187" s="17" t="str">
        <x:f>IF(AND(M187&lt;&gt;"",ABS(M187-$G$4)&lt;='Config'!$B$22),"SELECTED","")</x:f>
      </x:c>
    </x:row>
    <x:row r="188">
      <x:c r="A188" s="15" t="n">
        <x:v>424</x:v>
      </x:c>
      <x:c r="B188" s="117" t="n">
        <x:f>VALUE('Raw_Data'!I424)</x:f>
        <x:v>0.7050000000000006</x:v>
      </x:c>
      <x:c r="C188" s="117" t="n">
        <x:f>ROUND(B188,'Config'!$B$25)</x:f>
        <x:v>0.705</x:v>
      </x:c>
      <x:c r="D188" s="120" t="n">
        <x:f>VALUE('Raw_Data'!J424)</x:f>
        <x:v>0.0007218939325728639</x:v>
      </x:c>
      <x:c r="E188" s="117" t="n">
        <x:f>LN(ABS(D188))/LN(10)</x:f>
        <x:v>-3.141526608361473</x:v>
      </x:c>
      <x:c r="F188" s="16" t="n">
        <x:f>B188</x:f>
        <x:v>0.7050000000000006</x:v>
      </x:c>
      <x:c r="G188" s="16" t="n">
        <x:f>B208</x:f>
        <x:v>0.8050000000000007</x:v>
      </x:c>
      <x:c r="H188" s="16" t="n">
        <x:f>MAX(E188:E208)-MIN(E188:E208)</x:f>
        <x:v>0.11134560973432217</x:v>
      </x:c>
      <x:c r="I188" s="16" t="n">
        <x:f>SLOPE(E188:E208,B188:B208)</x:f>
        <x:v>1.1112987019580507</x:v>
      </x:c>
      <x:c r="J188" s="16" t="n">
        <x:f>RSQ(E188:E208,B188:B208)</x:f>
        <x:v>0.9987290507827111</x:v>
      </x:c>
      <x:c r="K188" s="16" t="n">
        <x:f>IF(I188&gt;0,'Config'!$B$17/I188,"")</x:f>
        <x:v>899.8480770633961</x:v>
      </x:c>
      <x:c r="L188" s="16" t="n">
        <x:f>MAX(D188:D208)</x:f>
        <x:v>0.0009328654343488239</x:v>
      </x:c>
      <x:c r="M188" s="16" t="str">
        <x:f>IF(AND(H188&gt;='Config'!$B$14,J188&gt;='Config'!$B$15,L188&lt;=$E$4,I188&gt;0),K188,"")</x:f>
      </x:c>
      <x:c r="N188" s="17" t="str">
        <x:f>IF(AND(M188&lt;&gt;"",ABS(M188-$G$4)&lt;='Config'!$B$22),"SELECTED","")</x:f>
      </x:c>
    </x:row>
    <x:row r="189">
      <x:c r="A189" s="15" t="n">
        <x:v>425</x:v>
      </x:c>
      <x:c r="B189" s="117" t="n">
        <x:f>VALUE('Raw_Data'!I425)</x:f>
        <x:v>0.7100000000000006</x:v>
      </x:c>
      <x:c r="C189" s="117" t="n">
        <x:f>ROUND(B189,'Config'!$B$25)</x:f>
        <x:v>0.71</x:v>
      </x:c>
      <x:c r="D189" s="120" t="n">
        <x:f>VALUE('Raw_Data'!J425)</x:f>
        <x:v>0.0007324815390527922</x:v>
      </x:c>
      <x:c r="E189" s="117" t="n">
        <x:f>LN(ABS(D189))/LN(10)</x:f>
        <x:v>-3.135203316487212</x:v>
      </x:c>
      <x:c r="F189" s="16" t="n">
        <x:f>B189</x:f>
        <x:v>0.7100000000000006</x:v>
      </x:c>
      <x:c r="G189" s="16" t="n">
        <x:f>B209</x:f>
        <x:v>0.8100000000000007</x:v>
      </x:c>
      <x:c r="H189" s="16" t="n">
        <x:f>MAX(E189:E209)-MIN(E189:E209)</x:f>
        <x:v>0.10988467297463433</x:v>
      </x:c>
      <x:c r="I189" s="16" t="n">
        <x:f>SLOPE(E189:E209,B189:B209)</x:f>
        <x:v>1.0967678551367563</x:v>
      </x:c>
      <x:c r="J189" s="16" t="n">
        <x:f>RSQ(E189:E209,B189:B209)</x:f>
        <x:v>0.998760482927306</x:v>
      </x:c>
      <x:c r="K189" s="16" t="n">
        <x:f>IF(I189&gt;0,'Config'!$B$17/I189,"")</x:f>
        <x:v>911.7699751287018</x:v>
      </x:c>
      <x:c r="L189" s="16" t="n">
        <x:f>MAX(D189:D209)</x:f>
        <x:v>0.0009433684692735243</x:v>
      </x:c>
      <x:c r="M189" s="16" t="str">
        <x:f>IF(AND(H189&gt;='Config'!$B$14,J189&gt;='Config'!$B$15,L189&lt;=$E$4,I189&gt;0),K189,"")</x:f>
      </x:c>
      <x:c r="N189" s="17" t="str">
        <x:f>IF(AND(M189&lt;&gt;"",ABS(M189-$G$4)&lt;='Config'!$B$22),"SELECTED","")</x:f>
      </x:c>
    </x:row>
    <x:row r="190">
      <x:c r="A190" s="15" t="n">
        <x:v>426</x:v>
      </x:c>
      <x:c r="B190" s="117" t="n">
        <x:f>VALUE('Raw_Data'!I426)</x:f>
        <x:v>0.7150000000000006</x:v>
      </x:c>
      <x:c r="C190" s="117" t="n">
        <x:f>ROUND(B190,'Config'!$B$25)</x:f>
        <x:v>0.715</x:v>
      </x:c>
      <x:c r="D190" s="120" t="n">
        <x:f>VALUE('Raw_Data'!J426)</x:f>
        <x:v>0.0007430654584006675</x:v>
      </x:c>
      <x:c r="E190" s="117" t="n">
        <x:f>LN(ABS(D190))/LN(10)</x:f>
        <x:v>-3.1289729265220454</x:v>
      </x:c>
      <x:c r="F190" s="16" t="n">
        <x:f>B190</x:f>
        <x:v>0.7150000000000006</x:v>
      </x:c>
      <x:c r="G190" s="16" t="n">
        <x:f>B210</x:f>
        <x:v>0.8150000000000007</x:v>
      </x:c>
      <x:c r="H190" s="16" t="n">
        <x:f>MAX(E190:E210)-MIN(E190:E210)</x:f>
        <x:v>0.10846079190920976</x:v>
      </x:c>
      <x:c r="I190" s="16" t="n">
        <x:f>SLOPE(E190:E210,B190:B210)</x:f>
        <x:v>1.0826041082545261</x:v>
      </x:c>
      <x:c r="J190" s="16" t="n">
        <x:f>RSQ(E190:E210,B190:B210)</x:f>
        <x:v>0.9987908289694544</x:v>
      </x:c>
      <x:c r="K190" s="16" t="n">
        <x:f>IF(I190&gt;0,'Config'!$B$17/I190,"")</x:f>
        <x:v>923.6986931559792</x:v>
      </x:c>
      <x:c r="L190" s="16" t="n">
        <x:f>MAX(D190:D210)</x:f>
        <x:v>0.0009538670904892137</x:v>
      </x:c>
      <x:c r="M190" s="16" t="str">
        <x:f>IF(AND(H190&gt;='Config'!$B$14,J190&gt;='Config'!$B$15,L190&lt;=$E$4,I190&gt;0),K190,"")</x:f>
      </x:c>
      <x:c r="N190" s="17" t="str">
        <x:f>IF(AND(M190&lt;&gt;"",ABS(M190-$G$4)&lt;='Config'!$B$22),"SELECTED","")</x:f>
      </x:c>
    </x:row>
    <x:row r="191">
      <x:c r="A191" s="15" t="n">
        <x:v>427</x:v>
      </x:c>
      <x:c r="B191" s="117" t="n">
        <x:f>VALUE('Raw_Data'!I427)</x:f>
        <x:v>0.7200000000000006</x:v>
      </x:c>
      <x:c r="C191" s="117" t="n">
        <x:f>ROUND(B191,'Config'!$B$25)</x:f>
        <x:v>0.72</x:v>
      </x:c>
      <x:c r="D191" s="120" t="n">
        <x:f>VALUE('Raw_Data'!J427)</x:f>
        <x:v>0.0007536455727879434</x:v>
      </x:c>
      <x:c r="E191" s="117" t="n">
        <x:f>LN(ABS(D191))/LN(10)</x:f>
        <x:v>-3.1228328477259173</x:v>
      </x:c>
      <x:c r="F191" s="16" t="n">
        <x:f>B191</x:f>
        <x:v>0.7200000000000006</x:v>
      </x:c>
      <x:c r="G191" s="16" t="n">
        <x:f>B211</x:f>
        <x:v>0.8200000000000007</x:v>
      </x:c>
      <x:c r="H191" s="16" t="n">
        <x:f>MAX(E191:E211)-MIN(E191:E211)</x:f>
        <x:v>0.10707262151168973</x:v>
      </x:c>
      <x:c r="I191" s="16" t="n">
        <x:f>SLOPE(E191:E211,B191:B211)</x:f>
        <x:v>1.0687941774056826</x:v>
      </x:c>
      <x:c r="J191" s="16" t="n">
        <x:f>RSQ(E191:E211,B191:B211)</x:f>
        <x:v>0.998820130467534</x:v>
      </x:c>
      <x:c r="K191" s="16" t="n">
        <x:f>IF(I191&gt;0,'Config'!$B$17/I191,"")</x:f>
        <x:v>935.6338396484635</x:v>
      </x:c>
      <x:c r="L191" s="16" t="n">
        <x:f>MAX(D191:D211)</x:f>
        <x:v>0.0009643613001104705</x:v>
      </x:c>
      <x:c r="M191" s="16" t="str">
        <x:f>IF(AND(H191&gt;='Config'!$B$14,J191&gt;='Config'!$B$15,L191&lt;=$E$4,I191&gt;0),K191,"")</x:f>
      </x:c>
      <x:c r="N191" s="17" t="str">
        <x:f>IF(AND(M191&lt;&gt;"",ABS(M191-$G$4)&lt;='Config'!$B$22),"SELECTED","")</x:f>
      </x:c>
    </x:row>
    <x:row r="192">
      <x:c r="A192" s="15" t="n">
        <x:v>428</x:v>
      </x:c>
      <x:c r="B192" s="117" t="n">
        <x:f>VALUE('Raw_Data'!I428)</x:f>
        <x:v>0.7250000000000006</x:v>
      </x:c>
      <x:c r="C192" s="117" t="n">
        <x:f>ROUND(B192,'Config'!$B$25)</x:f>
        <x:v>0.725</x:v>
      </x:c>
      <x:c r="D192" s="120" t="n">
        <x:f>VALUE('Raw_Data'!J428)</x:f>
        <x:v>0.0007642217796893176</x:v>
      </x:c>
      <x:c r="E192" s="117" t="n">
        <x:f>LN(ABS(D192))/LN(10)</x:f>
        <x:v>-3.1167805894373206</x:v>
      </x:c>
      <x:c r="F192" s="16" t="n">
        <x:f>B192</x:f>
        <x:v>0.7250000000000006</x:v>
      </x:c>
      <x:c r="G192" s="16" t="n">
        <x:f>B212</x:f>
        <x:v>0.8250000000000007</x:v>
      </x:c>
      <x:c r="H192" s="16" t="n">
        <x:f>MAX(E192:E212)-MIN(E192:E212)</x:f>
        <x:v>0.10571887583902795</x:v>
      </x:c>
      <x:c r="I192" s="16" t="n">
        <x:f>SLOPE(E192:E212,B192:B212)</x:f>
        <x:v>1.0553253615202003</x:v>
      </x:c>
      <x:c r="J192" s="16" t="n">
        <x:f>RSQ(E192:E212,B192:B212)</x:f>
        <x:v>0.9988484275694371</x:v>
      </x:c>
      <x:c r="K192" s="16" t="n">
        <x:f>IF(I192&gt;0,'Config'!$B$17/I192,"")</x:f>
        <x:v>947.5750668585242</x:v>
      </x:c>
      <x:c r="L192" s="16" t="n">
        <x:f>MAX(D192:D212)</x:f>
        <x:v>0.0009748511007420388</x:v>
      </x:c>
      <x:c r="M192" s="16" t="str">
        <x:f>IF(AND(H192&gt;='Config'!$B$14,J192&gt;='Config'!$B$15,L192&lt;=$E$4,I192&gt;0),K192,"")</x:f>
      </x:c>
      <x:c r="N192" s="17" t="str">
        <x:f>IF(AND(M192&lt;&gt;"",ABS(M192-$G$4)&lt;='Config'!$B$22),"SELECTED","")</x:f>
      </x:c>
    </x:row>
    <x:row r="193">
      <x:c r="A193" s="15" t="n">
        <x:v>429</x:v>
      </x:c>
      <x:c r="B193" s="117" t="n">
        <x:f>VALUE('Raw_Data'!I429)</x:f>
        <x:v>0.7300000000000006</x:v>
      </x:c>
      <x:c r="C193" s="117" t="n">
        <x:f>ROUND(B193,'Config'!$B$25)</x:f>
        <x:v>0.73</x:v>
      </x:c>
      <x:c r="D193" s="120" t="n">
        <x:f>VALUE('Raw_Data'!J429)</x:f>
        <x:v>0.0007747939903119339</x:v>
      </x:c>
      <x:c r="E193" s="117" t="n">
        <x:f>LN(ABS(D193))/LN(10)</x:f>
        <x:v>-3.110813756544159</x:v>
      </x:c>
      <x:c r="F193" s="16" t="n">
        <x:f>B193</x:f>
        <x:v>0.7300000000000006</x:v>
      </x:c>
      <x:c r="G193" s="16" t="n">
        <x:f>B213</x:f>
        <x:v>0.8300000000000007</x:v>
      </x:c>
      <x:c r="H193" s="16" t="n">
        <x:f>MAX(E193:E213)-MIN(E193:E213)</x:f>
        <x:v>0.10439832519742787</x:v>
      </x:c>
      <x:c r="I193" s="16" t="n">
        <x:f>SLOPE(E193:E213,B193:B213)</x:f>
        <x:v>1.042185514352264</x:v>
      </x:c>
      <x:c r="J193" s="16" t="n">
        <x:f>RSQ(E193:E213,B193:B213)</x:f>
        <x:v>0.9988757590246041</x:v>
      </x:c>
      <x:c r="K193" s="16" t="n">
        <x:f>IF(I193&gt;0,'Config'!$B$17/I193,"")</x:f>
        <x:v>959.5220680278952</x:v>
      </x:c>
      <x:c r="L193" s="16" t="n">
        <x:f>MAX(D193:D213)</x:f>
        <x:v>0.0009853364952711456</x:v>
      </x:c>
      <x:c r="M193" s="16" t="str">
        <x:f>IF(AND(H193&gt;='Config'!$B$14,J193&gt;='Config'!$B$15,L193&lt;=$E$4,I193&gt;0),K193,"")</x:f>
      </x:c>
      <x:c r="N193" s="17" t="str">
        <x:f>IF(AND(M193&lt;&gt;"",ABS(M193-$G$4)&lt;='Config'!$B$22),"SELECTED","")</x:f>
      </x:c>
    </x:row>
    <x:row r="194">
      <x:c r="A194" s="15" t="n">
        <x:v>430</x:v>
      </x:c>
      <x:c r="B194" s="117" t="n">
        <x:f>VALUE('Raw_Data'!I430)</x:f>
        <x:v>0.7350000000000007</x:v>
      </x:c>
      <x:c r="C194" s="117" t="n">
        <x:f>ROUND(B194,'Config'!$B$25)</x:f>
        <x:v>0.735</x:v>
      </x:c>
      <x:c r="D194" s="120" t="n">
        <x:f>VALUE('Raw_Data'!J430)</x:f>
        <x:v>0.0007853621281574579</x:v>
      </x:c>
      <x:c r="E194" s="117" t="n">
        <x:f>LN(ABS(D194))/LN(10)</x:f>
        <x:v>-3.1049300451700015</x:v>
      </x:c>
      <x:c r="F194" s="16" t="n">
        <x:f>B194</x:f>
        <x:v>0.7350000000000007</x:v>
      </x:c>
      <x:c r="G194" s="16" t="n">
        <x:f>B214</x:f>
        <x:v>0.8350000000000007</x:v>
      </x:c>
      <x:c r="H194" s="16" t="n">
        <x:f>MAX(E194:E214)-MIN(E194:E214)</x:f>
        <x:v>0.10310979344360982</x:v>
      </x:c>
      <x:c r="I194" s="16" t="n">
        <x:f>SLOPE(E194:E214,B194:B214)</x:f>
        <x:v>1.0293630178174664</x:v>
      </x:c>
      <x:c r="J194" s="16" t="n">
        <x:f>RSQ(E194:E214,B194:B214)</x:f>
        <x:v>0.9989021622012815</x:v>
      </x:c>
      <x:c r="K194" s="16" t="n">
        <x:f>IF(I194&gt;0,'Config'!$B$17/I194,"")</x:f>
        <x:v>971.4745747523317</x:v>
      </x:c>
      <x:c r="L194" s="16" t="n">
        <x:f>MAX(D194:D214)</x:f>
        <x:v>0.0009958174866837135</x:v>
      </x:c>
      <x:c r="M194" s="16" t="str">
        <x:f>IF(AND(H194&gt;='Config'!$B$14,J194&gt;='Config'!$B$15,L194&lt;=$E$4,I194&gt;0),K194,"")</x:f>
      </x:c>
      <x:c r="N194" s="17" t="str">
        <x:f>IF(AND(M194&lt;&gt;"",ABS(M194-$G$4)&lt;='Config'!$B$22),"SELECTED","")</x:f>
      </x:c>
    </x:row>
    <x:row r="195">
      <x:c r="A195" s="15" t="n">
        <x:v>431</x:v>
      </x:c>
      <x:c r="B195" s="117" t="n">
        <x:f>VALUE('Raw_Data'!I431)</x:f>
        <x:v>0.7400000000000007</x:v>
      </x:c>
      <x:c r="C195" s="117" t="n">
        <x:f>ROUND(B195,'Config'!$B$25)</x:f>
        <x:v>0.74</x:v>
      </x:c>
      <x:c r="D195" s="120" t="n">
        <x:f>VALUE('Raw_Data'!J431)</x:f>
        <x:v>0.0007959261277072524</x:v>
      </x:c>
      <x:c r="E195" s="117" t="n">
        <x:f>LN(ABS(D195))/LN(10)</x:f>
        <x:v>-3.0991272385662105</x:v>
      </x:c>
      <x:c r="F195" s="16" t="n">
        <x:f>B195</x:f>
        <x:v>0.7400000000000007</x:v>
      </x:c>
      <x:c r="G195" s="16" t="n">
        <x:f>B215</x:f>
        <x:v>0.8400000000000007</x:v>
      </x:c>
      <x:c r="H195" s="16" t="n">
        <x:f>MAX(E195:E215)-MIN(E195:E215)</x:f>
        <x:v>0.10185215541588244</x:v>
      </x:c>
      <x:c r="I195" s="16" t="n">
        <x:f>SLOPE(E195:E215,B195:B215)</x:f>
        <x:v>1.0168467566225652</x:v>
      </x:c>
      <x:c r="J195" s="16" t="n">
        <x:f>RSQ(E195:E215,B195:B215)</x:f>
        <x:v>0.9989276731081733</x:v>
      </x:c>
      <x:c r="K195" s="16" t="n">
        <x:f>IF(I195&gt;0,'Config'!$B$17/I195,"")</x:f>
        <x:v>983.4323544694961</x:v>
      </x:c>
      <x:c r="L195" s="16" t="n">
        <x:f>MAX(D195:D215)</x:f>
        <x:v>0.001006294077902229</x:v>
      </x:c>
      <x:c r="M195" s="16" t="str">
        <x:f>IF(AND(H195&gt;='Config'!$B$14,J195&gt;='Config'!$B$15,L195&lt;=$E$4,I195&gt;0),K195,"")</x:f>
      </x:c>
      <x:c r="N195" s="17" t="str">
        <x:f>IF(AND(M195&lt;&gt;"",ABS(M195-$G$4)&lt;='Config'!$B$22),"SELECTED","")</x:f>
      </x:c>
    </x:row>
    <x:row r="196">
      <x:c r="A196" s="15" t="n">
        <x:v>432</x:v>
      </x:c>
      <x:c r="B196" s="117" t="n">
        <x:f>VALUE('Raw_Data'!I432)</x:f>
        <x:v>0.7450000000000007</x:v>
      </x:c>
      <x:c r="C196" s="117" t="n">
        <x:f>ROUND(B196,'Config'!$B$25)</x:f>
        <x:v>0.745</x:v>
      </x:c>
      <x:c r="D196" s="120" t="n">
        <x:f>VALUE('Raw_Data'!J432)</x:f>
        <x:v>0.0008064859332213668</x:v>
      </x:c>
      <x:c r="E196" s="117" t="n">
        <x:f>LN(ABS(D196))/LN(10)</x:f>
        <x:v>-3.0934032032007677</x:v>
      </x:c>
      <x:c r="F196" s="16" t="n">
        <x:f>B196</x:f>
        <x:v>0.7450000000000007</x:v>
      </x:c>
      <x:c r="G196" s="16" t="n">
        <x:f>B216</x:f>
        <x:v>0.8450000000000008</x:v>
      </x:c>
      <x:c r="H196" s="16" t="n">
        <x:f>MAX(E196:E216)-MIN(E196:E216)</x:f>
        <x:v>0.10062433448970243</x:v>
      </x:c>
      <x:c r="I196" s="16" t="n">
        <x:f>SLOPE(E196:E216,B196:B216)</x:f>
        <x:v>1.0046260941327696</x:v>
      </x:c>
      <x:c r="J196" s="16" t="n">
        <x:f>RSQ(E196:E216,B196:B216)</x:f>
        <x:v>0.9989523264197595</x:v>
      </x:c>
      <x:c r="K196" s="16" t="n">
        <x:f>IF(I196&gt;0,'Config'!$B$17/I196,"")</x:f>
        <x:v>995.3952080681689</x:v>
      </x:c>
      <x:c r="L196" s="16" t="n">
        <x:f>MAX(D196:D216)</x:f>
        <x:v>0.001016766271643333</x:v>
      </x:c>
      <x:c r="M196" s="16" t="str">
        <x:f>IF(AND(H196&gt;='Config'!$B$14,J196&gt;='Config'!$B$15,L196&lt;=$E$4,I196&gt;0),K196,"")</x:f>
      </x:c>
      <x:c r="N196" s="17" t="str">
        <x:f>IF(AND(M196&lt;&gt;"",ABS(M196-$G$4)&lt;='Config'!$B$22),"SELECTED","")</x:f>
      </x:c>
    </x:row>
    <x:row r="197">
      <x:c r="A197" s="15" t="n">
        <x:v>433</x:v>
      </x:c>
      <x:c r="B197" s="117" t="n">
        <x:f>VALUE('Raw_Data'!I433)</x:f>
        <x:v>0.7500000000000007</x:v>
      </x:c>
      <x:c r="C197" s="117" t="n">
        <x:f>ROUND(B197,'Config'!$B$25)</x:f>
        <x:v>0.75</x:v>
      </x:c>
      <x:c r="D197" s="120" t="n">
        <x:f>VALUE('Raw_Data'!J433)</x:f>
        <x:v>0.0008170414976427304</x:v>
      </x:c>
      <x:c r="E197" s="117" t="n">
        <x:f>LN(ABS(D197))/LN(10)</x:f>
        <x:v>-3.0877558850348215</x:v>
      </x:c>
      <x:c r="F197" s="16" t="n">
        <x:f>B197</x:f>
        <x:v>0.7500000000000007</x:v>
      </x:c>
      <x:c r="G197" s="16" t="n">
        <x:f>B217</x:f>
        <x:v>0.8500000000000008</x:v>
      </x:c>
      <x:c r="H197" s="16" t="n">
        <x:f>MAX(E197:E217)-MIN(E197:E217)</x:f>
        <x:v>0.09942530025237417</x:v>
      </x:c>
      <x:c r="I197" s="16" t="n">
        <x:f>SLOPE(E197:E217,B197:B217)</x:f>
        <x:v>0.99269084942243</x:v>
      </x:c>
      <x:c r="J197" s="16" t="n">
        <x:f>RSQ(E197:E217,B197:B217)</x:f>
        <x:v>0.9989761555046317</x:v>
      </x:c>
      <x:c r="K197" s="16" t="n">
        <x:f>IF(I197&gt;0,'Config'!$B$17/I197,"")</x:f>
        <x:v>1007.3629676165773</x:v>
      </x:c>
      <x:c r="L197" s="16" t="n">
        <x:f>MAX(D197:D217)</x:f>
        <x:v>0.001027234070293259</x:v>
      </x:c>
      <x:c r="M197" s="16" t="str">
        <x:f>IF(AND(H197&gt;='Config'!$B$14,J197&gt;='Config'!$B$15,L197&lt;=$E$4,I197&gt;0),K197,"")</x:f>
      </x:c>
      <x:c r="N197" s="17" t="str">
        <x:f>IF(AND(M197&lt;&gt;"",ABS(M197-$G$4)&lt;='Config'!$B$22),"SELECTED","")</x:f>
      </x:c>
    </x:row>
    <x:row r="198">
      <x:c r="A198" s="15" t="n">
        <x:v>434</x:v>
      </x:c>
      <x:c r="B198" s="117" t="n">
        <x:f>VALUE('Raw_Data'!I434)</x:f>
        <x:v>0.7550000000000007</x:v>
      </x:c>
      <x:c r="C198" s="117" t="n">
        <x:f>ROUND(B198,'Config'!$B$25)</x:f>
        <x:v>0.755</x:v>
      </x:c>
      <x:c r="D198" s="120" t="n">
        <x:f>VALUE('Raw_Data'!J434)</x:f>
        <x:v>0.0008275927815984853</x:v>
      </x:c>
      <x:c r="E198" s="117" t="n">
        <x:f>LN(ABS(D198))/LN(10)</x:f>
        <x:v>-3.0821833059782913</x:v>
      </x:c>
      <x:c r="F198" s="16" t="n">
        <x:f>B198</x:f>
        <x:v>0.7550000000000007</x:v>
      </x:c>
      <x:c r="G198" s="16" t="n">
        <x:f>B218</x:f>
        <x:v>0.8550000000000008</x:v>
      </x:c>
      <x:c r="H198" s="16" t="n">
        <x:f>MAX(E198:E218)-MIN(E198:E218)</x:f>
        <x:v>0.09825406629165112</x:v>
      </x:c>
      <x:c r="I198" s="16" t="n">
        <x:f>SLOPE(E198:E218,B198:B218)</x:f>
        <x:v>0.9810312754562879</x:v>
      </x:c>
      <x:c r="J198" s="16" t="n">
        <x:f>RSQ(E198:E218,B198:B218)</x:f>
        <x:v>0.9989991924562696</x:v>
      </x:c>
      <x:c r="K198" s="16" t="n">
        <x:f>IF(I198&gt;0,'Config'!$B$17/I198,"")</x:f>
        <x:v>1019.3354942072459</x:v>
      </x:c>
      <x:c r="L198" s="16" t="n">
        <x:f>MAX(D198:D218)</x:f>
        <x:v>0.001037697475799404</x:v>
      </x:c>
      <x:c r="M198" s="16" t="str">
        <x:f>IF(AND(H198&gt;='Config'!$B$14,J198&gt;='Config'!$B$15,L198&lt;=$E$4,I198&gt;0),K198,"")</x:f>
      </x:c>
      <x:c r="N198" s="17" t="str">
        <x:f>IF(AND(M198&lt;&gt;"",ABS(M198-$G$4)&lt;='Config'!$B$22),"SELECTED","")</x:f>
      </x:c>
    </x:row>
    <x:row r="199">
      <x:c r="A199" s="15" t="n">
        <x:v>435</x:v>
      </x:c>
      <x:c r="B199" s="117" t="n">
        <x:f>VALUE('Raw_Data'!I435)</x:f>
        <x:v>0.7600000000000007</x:v>
      </x:c>
      <x:c r="C199" s="117" t="n">
        <x:f>ROUND(B199,'Config'!$B$25)</x:f>
        <x:v>0.76</x:v>
      </x:c>
      <x:c r="D199" s="120" t="n">
        <x:f>VALUE('Raw_Data'!J435)</x:f>
        <x:v>0.0008381397524908558</x:v>
      </x:c>
      <x:c r="E199" s="117" t="n">
        <x:f>LN(ABS(D199))/LN(10)</x:f>
        <x:v>-3.076683560516198</x:v>
      </x:c>
      <x:c r="F199" s="16" t="n">
        <x:f>B199</x:f>
        <x:v>0.7600000000000007</x:v>
      </x:c>
      <x:c r="G199" s="16" t="n">
        <x:f>B219</x:f>
        <x:v>0.8600000000000008</x:v>
      </x:c>
      <x:c r="H199" s="16" t="n">
        <x:f>MAX(E199:E219)-MIN(E199:E219)</x:f>
        <x:v>0.0971096880932052</x:v>
      </x:c>
      <x:c r="I199" s="16" t="n">
        <x:f>SLOPE(E199:E219,B199:B219)</x:f>
        <x:v>0.9696380383499184</x:v>
      </x:c>
      <x:c r="J199" s="16" t="n">
        <x:f>RSQ(E199:E219,B199:B219)</x:f>
        <x:v>0.9990214681257444</x:v>
      </x:c>
      <x:c r="K199" s="16" t="n">
        <x:f>IF(I199&gt;0,'Config'!$B$17/I199,"")</x:f>
        <x:v>1031.312675915386</x:v>
      </x:c>
      <x:c r="L199" s="16" t="n">
        <x:f>MAX(D199:D219)</x:f>
        <x:v>0.001048156489576517</x:v>
      </x:c>
      <x:c r="M199" s="16" t="str">
        <x:f>IF(AND(H199&gt;='Config'!$B$14,J199&gt;='Config'!$B$15,L199&lt;=$E$4,I199&gt;0),K199,"")</x:f>
      </x:c>
      <x:c r="N199" s="17" t="str">
        <x:f>IF(AND(M199&lt;&gt;"",ABS(M199-$G$4)&lt;='Config'!$B$22),"SELECTED","")</x:f>
      </x:c>
    </x:row>
    <x:row r="200">
      <x:c r="A200" s="15" t="n">
        <x:v>436</x:v>
      </x:c>
      <x:c r="B200" s="117" t="n">
        <x:f>VALUE('Raw_Data'!I436)</x:f>
        <x:v>0.7650000000000007</x:v>
      </x:c>
      <x:c r="C200" s="117" t="n">
        <x:f>ROUND(B200,'Config'!$B$25)</x:f>
        <x:v>0.765</x:v>
      </x:c>
      <x:c r="D200" s="120" t="n">
        <x:f>VALUE('Raw_Data'!J436)</x:f>
        <x:v>0.0008486823836705794</x:v>
      </x:c>
      <x:c r="E200" s="117" t="n">
        <x:f>LN(ABS(D200))/LN(10)</x:f>
        <x:v>-3.071254812497627</x:v>
      </x:c>
      <x:c r="F200" s="16" t="n">
        <x:f>B200</x:f>
        <x:v>0.7650000000000007</x:v>
      </x:c>
      <x:c r="G200" s="16" t="n">
        <x:f>B220</x:f>
        <x:v>0.8650000000000008</x:v>
      </x:c>
      <x:c r="H200" s="16" t="n">
        <x:f>MAX(E200:E220)-MIN(E200:E220)</x:f>
        <x:v>0.09599126104198907</x:v>
      </x:c>
      <x:c r="I200" s="16" t="n">
        <x:f>SLOPE(E200:E220,B200:B220)</x:f>
        <x:v>0.9585021976594637</x:v>
      </x:c>
      <x:c r="J200" s="16" t="n">
        <x:f>RSQ(E200:E220,B200:B220)</x:f>
        <x:v>0.9990430121559184</x:v>
      </x:c>
      <x:c r="K200" s="16" t="n">
        <x:f>IF(I200&gt;0,'Config'!$B$17/I200,"")</x:f>
        <x:v>1043.2944258676387</x:v>
      </x:c>
      <x:c r="L200" s="16" t="n">
        <x:f>MAX(D200:D220)</x:f>
        <x:v>0.001058611112426121</x:v>
      </x:c>
      <x:c r="M200" s="16" t="str">
        <x:f>IF(AND(H200&gt;='Config'!$B$14,J200&gt;='Config'!$B$15,L200&lt;=$E$4,I200&gt;0),K200,"")</x:f>
      </x:c>
      <x:c r="N200" s="17" t="str">
        <x:f>IF(AND(M200&lt;&gt;"",ABS(M200-$G$4)&lt;='Config'!$B$22),"SELECTED","")</x:f>
      </x:c>
    </x:row>
    <x:row r="201">
      <x:c r="A201" s="15" t="n">
        <x:v>437</x:v>
      </x:c>
      <x:c r="B201" s="117" t="n">
        <x:f>VALUE('Raw_Data'!I437)</x:f>
        <x:v>0.7700000000000007</x:v>
      </x:c>
      <x:c r="C201" s="117" t="n">
        <x:f>ROUND(B201,'Config'!$B$25)</x:f>
        <x:v>0.77</x:v>
      </x:c>
      <x:c r="D201" s="120" t="n">
        <x:f>VALUE('Raw_Data'!J437)</x:f>
        <x:v>0.0008592206536862912</x:v>
      </x:c>
      <x:c r="E201" s="117" t="n">
        <x:f>LN(ABS(D201))/LN(10)</x:f>
        <x:v>-3.0658952920795985</x:v>
      </x:c>
      <x:c r="F201" s="16" t="n">
        <x:f>B201</x:f>
        <x:v>0.7700000000000007</x:v>
      </x:c>
      <x:c r="G201" s="16" t="n">
        <x:f>B221</x:f>
        <x:v>0.8700000000000008</x:v>
      </x:c>
      <x:c r="H201" s="16" t="n">
        <x:f>MAX(E201:E221)-MIN(E201:E221)</x:f>
        <x:v>0.0948979185226726</x:v>
      </x:c>
      <x:c r="I201" s="16" t="n">
        <x:f>SLOPE(E201:E221,B201:B221)</x:f>
        <x:v>0.9476151876523446</x:v>
      </x:c>
      <x:c r="J201" s="16" t="n">
        <x:f>RSQ(E201:E221,B201:B221)</x:f>
        <x:v>0.9990638530167351</x:v>
      </x:c>
      <x:c r="K201" s="16" t="n">
        <x:f>IF(I201&gt;0,'Config'!$B$17/I201,"")</x:f>
        <x:v>1055.2806804177922</x:v>
      </x:c>
      <x:c r="L201" s="16" t="n">
        <x:f>MAX(D201:D221)</x:f>
        <x:v>0.001069061344467763</x:v>
      </x:c>
      <x:c r="M201" s="16" t="str">
        <x:f>IF(AND(H201&gt;='Config'!$B$14,J201&gt;='Config'!$B$15,L201&lt;=$E$4,I201&gt;0),K201,"")</x:f>
      </x:c>
      <x:c r="N201" s="17" t="str">
        <x:f>IF(AND(M201&lt;&gt;"",ABS(M201-$G$4)&lt;='Config'!$B$22),"SELECTED","")</x:f>
      </x:c>
    </x:row>
    <x:row r="202">
      <x:c r="A202" s="15" t="n">
        <x:v>438</x:v>
      </x:c>
      <x:c r="B202" s="117" t="n">
        <x:f>VALUE('Raw_Data'!I438)</x:f>
        <x:v>0.7750000000000007</x:v>
      </x:c>
      <x:c r="C202" s="117" t="n">
        <x:f>ROUND(B202,'Config'!$B$25)</x:f>
        <x:v>0.775</x:v>
      </x:c>
      <x:c r="D202" s="120" t="n">
        <x:f>VALUE('Raw_Data'!J438)</x:f>
        <x:v>0.000869754545603814</x:v>
      </x:c>
      <x:c r="E202" s="117" t="n">
        <x:f>LN(ABS(D202))/LN(10)</x:f>
        <x:v>-3.060603292818379</x:v>
      </x:c>
      <x:c r="F202" s="16" t="n">
        <x:f>B202</x:f>
        <x:v>0.7750000000000007</x:v>
      </x:c>
      <x:c r="G202" s="16" t="n">
        <x:f>B222</x:f>
        <x:v>0.8750000000000008</x:v>
      </x:c>
      <x:c r="H202" s="16" t="n">
        <x:f>MAX(E202:E222)-MIN(E202:E222)</x:f>
        <x:v>0.09382883011452137</x:v>
      </x:c>
      <x:c r="I202" s="16" t="n">
        <x:f>SLOPE(E202:E222,B202:B222)</x:f>
        <x:v>0.9369687995123159</x:v>
      </x:c>
      <x:c r="J202" s="16" t="n">
        <x:f>RSQ(E202:E222,B202:B222)</x:f>
        <x:v>0.999084018041256</x:v>
      </x:c>
      <x:c r="K202" s="16" t="n">
        <x:f>IF(I202&gt;0,'Config'!$B$17/I202,"")</x:f>
        <x:v>1067.271397425924</x:v>
      </x:c>
      <x:c r="L202" s="16" t="n">
        <x:f>MAX(D202:D222)</x:f>
        <x:v>0.001079507185081012</x:v>
      </x:c>
      <x:c r="M202" s="16" t="str">
        <x:f>IF(AND(H202&gt;='Config'!$B$14,J202&gt;='Config'!$B$15,L202&lt;=$E$4,I202&gt;0),K202,"")</x:f>
      </x:c>
      <x:c r="N202" s="17" t="str">
        <x:f>IF(AND(M202&lt;&gt;"",ABS(M202-$G$4)&lt;='Config'!$B$22),"SELECTED","")</x:f>
      </x:c>
    </x:row>
    <x:row r="203">
      <x:c r="A203" s="15" t="n">
        <x:v>439</x:v>
      </x:c>
      <x:c r="B203" s="117" t="n">
        <x:f>VALUE('Raw_Data'!I439)</x:f>
        <x:v>0.7800000000000007</x:v>
      </x:c>
      <x:c r="C203" s="117" t="n">
        <x:f>ROUND(B203,'Config'!$B$25)</x:f>
        <x:v>0.78</x:v>
      </x:c>
      <x:c r="D203" s="120" t="n">
        <x:f>VALUE('Raw_Data'!J439)</x:f>
        <x:v>0.0008802840463896318</x:v>
      </x:c>
      <x:c r="E203" s="117" t="n">
        <x:f>LN(ABS(D203))/LN(10)</x:f>
        <x:v>-3.0553771689011144</x:v>
      </x:c>
      <x:c r="F203" s="16" t="n">
        <x:f>B203</x:f>
        <x:v>0.7800000000000007</x:v>
      </x:c>
      <x:c r="G203" s="16" t="n">
        <x:f>B223</x:f>
        <x:v>0.8800000000000008</x:v>
      </x:c>
      <x:c r="H203" s="16" t="n">
        <x:f>MAX(E203:E223)-MIN(E203:E223)</x:f>
        <x:v>0.09278319987623584</x:v>
      </x:c>
      <x:c r="I203" s="16" t="n">
        <x:f>SLOPE(E203:E223,B203:B223)</x:f>
        <x:v>0.9265551644339665</x:v>
      </x:c>
      <x:c r="J203" s="16" t="n">
        <x:f>RSQ(E203:E223,B203:B223)</x:f>
        <x:v>0.9991035334621668</x:v>
      </x:c>
      <x:c r="K203" s="16" t="n">
        <x:f>IF(I203&gt;0,'Config'!$B$17/I203,"")</x:f>
        <x:v>1079.2665546372525</x:v>
      </x:c>
      <x:c r="L203" s="16" t="n">
        <x:f>MAX(D203:D223)</x:f>
        <x:v>0.001089948632857063</x:v>
      </x:c>
      <x:c r="M203" s="16" t="str">
        <x:f>IF(AND(H203&gt;='Config'!$B$14,J203&gt;='Config'!$B$15,L203&lt;=$E$4,I203&gt;0),K203,"")</x:f>
      </x:c>
      <x:c r="N203" s="17" t="str">
        <x:f>IF(AND(M203&lt;&gt;"",ABS(M203-$G$4)&lt;='Config'!$B$22),"SELECTED","")</x:f>
      </x:c>
    </x:row>
    <x:row r="204">
      <x:c r="A204" s="15" t="n">
        <x:v>440</x:v>
      </x:c>
      <x:c r="B204" s="117" t="n">
        <x:f>VALUE('Raw_Data'!I440)</x:f>
        <x:v>0.7850000000000007</x:v>
      </x:c>
      <x:c r="C204" s="117" t="n">
        <x:f>ROUND(B204,'Config'!$B$25)</x:f>
        <x:v>0.785</x:v>
      </x:c>
      <x:c r="D204" s="120" t="n">
        <x:f>VALUE('Raw_Data'!J440)</x:f>
        <x:v>0.0008908091463533455</x:v>
      </x:c>
      <x:c r="E204" s="117" t="n">
        <x:f>LN(ABS(D204))/LN(10)</x:f>
        <x:v>-3.050215332510928</x:v>
      </x:c>
      <x:c r="F204" s="16" t="n">
        <x:f>B204</x:f>
        <x:v>0.7850000000000007</x:v>
      </x:c>
      <x:c r="G204" s="16" t="n">
        <x:f>B224</x:f>
        <x:v>0.8850000000000008</x:v>
      </x:c>
      <x:c r="H204" s="16" t="n">
        <x:f>MAX(E204:E224)-MIN(E204:E224)</x:f>
        <x:v>0.09176026471640863</x:v>
      </x:c>
      <x:c r="I204" s="16" t="n">
        <x:f>SLOPE(E204:E224,B204:B224)</x:f>
        <x:v>0.9163667375634098</x:v>
      </x:c>
      <x:c r="J204" s="16" t="n">
        <x:f>RSQ(E204:E224,B204:B224)</x:f>
        <x:v>0.9991224244484728</x:v>
      </x:c>
      <x:c r="K204" s="16" t="n">
        <x:f>IF(I204&gt;0,'Config'!$B$17/I204,"")</x:f>
        <x:v>1091.2661481569796</x:v>
      </x:c>
      <x:c r="L204" s="16" t="n">
        <x:f>MAX(D204:D224)</x:f>
        <x:v>0.001100385685558967</x:v>
      </x:c>
      <x:c r="M204" s="16" t="str">
        <x:f>IF(AND(H204&gt;='Config'!$B$14,J204&gt;='Config'!$B$15,L204&lt;=$E$4,I204&gt;0),K204,"")</x:f>
      </x:c>
      <x:c r="N204" s="17" t="str">
        <x:f>IF(AND(M204&lt;&gt;"",ABS(M204-$G$4)&lt;='Config'!$B$22),"SELECTED","")</x:f>
      </x:c>
    </x:row>
    <x:row r="205">
      <x:c r="A205" s="15" t="n">
        <x:v>441</x:v>
      </x:c>
      <x:c r="B205" s="117" t="n">
        <x:f>VALUE('Raw_Data'!I441)</x:f>
        <x:v>0.7900000000000007</x:v>
      </x:c>
      <x:c r="C205" s="117" t="n">
        <x:f>ROUND(B205,'Config'!$B$25)</x:f>
        <x:v>0.79</x:v>
      </x:c>
      <x:c r="D205" s="120" t="n">
        <x:f>VALUE('Raw_Data'!J441)</x:f>
        <x:v>0.0009013298386442135</x:v>
      </x:c>
      <x:c r="E205" s="117" t="n">
        <x:f>LN(ABS(D205))/LN(10)</x:f>
        <x:v>-3.045116251318935</x:v>
      </x:c>
      <x:c r="F205" s="16" t="n">
        <x:f>B205</x:f>
        <x:v>0.7900000000000007</x:v>
      </x:c>
      <x:c r="G205" s="16" t="n">
        <x:f>B225</x:f>
        <x:v>0.8900000000000008</x:v>
      </x:c>
      <x:c r="H205" s="16" t="n">
        <x:f>MAX(E205:E225)-MIN(E205:E225)</x:f>
        <x:v>0.09075929284543394</x:v>
      </x:c>
      <x:c r="I205" s="16" t="n">
        <x:f>SLOPE(E205:E225,B205:B225)</x:f>
        <x:v>0.9063962827436679</x:v>
      </x:c>
      <x:c r="J205" s="16" t="n">
        <x:f>RSQ(E205:E225,B205:B225)</x:f>
        <x:v>0.9991407151421787</x:v>
      </x:c>
      <x:c r="K205" s="16" t="n">
        <x:f>IF(I205&gt;0,'Config'!$B$17/I205,"")</x:f>
        <x:v>1103.2701910173253</x:v>
      </x:c>
      <x:c r="L205" s="16" t="n">
        <x:f>MAX(D205:D225)</x:f>
        <x:v>0.001110818340089577</x:v>
      </x:c>
      <x:c r="M205" s="16" t="str">
        <x:f>IF(AND(H205&gt;='Config'!$B$14,J205&gt;='Config'!$B$15,L205&lt;=$E$4,I205&gt;0),K205,"")</x:f>
      </x:c>
      <x:c r="N205" s="17" t="str">
        <x:f>IF(AND(M205&lt;&gt;"",ABS(M205-$G$4)&lt;='Config'!$B$22),"SELECTED","")</x:f>
      </x:c>
    </x:row>
    <x:row r="206">
      <x:c r="A206" s="15" t="n">
        <x:v>442</x:v>
      </x:c>
      <x:c r="B206" s="117" t="n">
        <x:f>VALUE('Raw_Data'!I442)</x:f>
        <x:v>0.7950000000000007</x:v>
      </x:c>
      <x:c r="C206" s="117" t="n">
        <x:f>ROUND(B206,'Config'!$B$25)</x:f>
        <x:v>0.795</x:v>
      </x:c>
      <x:c r="D206" s="120" t="n">
        <x:f>VALUE('Raw_Data'!J442)</x:f>
        <x:v>0.0009118461187972297</x:v>
      </x:c>
      <x:c r="E206" s="117" t="n">
        <x:f>LN(ABS(D206))/LN(10)</x:f>
        <x:v>-3.0400784460969543</x:v>
      </x:c>
      <x:c r="F206" s="16" t="n">
        <x:f>B206</x:f>
        <x:v>0.7950000000000007</x:v>
      </x:c>
      <x:c r="G206" s="16" t="n">
        <x:f>B226</x:f>
        <x:v>0.8950000000000008</x:v>
      </x:c>
      <x:c r="H206" s="16" t="n">
        <x:f>MAX(E206:E226)-MIN(E206:E226)</x:f>
        <x:v>0.08977958230491856</x:v>
      </x:c>
      <x:c r="I206" s="16" t="n">
        <x:f>SLOPE(E206:E226,B206:B226)</x:f>
        <x:v>0.8966368580250033</x:v>
      </x:c>
      <x:c r="J206" s="16" t="n">
        <x:f>RSQ(E206:E226,B206:B226)</x:f>
        <x:v>0.9991584286947559</x:v>
      </x:c>
      <x:c r="K206" s="16" t="n">
        <x:f>IF(I206&gt;0,'Config'!$B$17/I206,"")</x:f>
        <x:v>1115.2787118328727</x:v>
      </x:c>
      <x:c r="L206" s="16" t="n">
        <x:f>MAX(D206:D226)</x:f>
        <x:v>0.001121246592466391</x:v>
      </x:c>
      <x:c r="M206" s="16" t="str">
        <x:f>IF(AND(H206&gt;='Config'!$B$14,J206&gt;='Config'!$B$15,L206&lt;=$E$4,I206&gt;0),K206,"")</x:f>
      </x:c>
      <x:c r="N206" s="17" t="str">
        <x:f>IF(AND(M206&lt;&gt;"",ABS(M206-$G$4)&lt;='Config'!$B$22),"SELECTED","")</x:f>
      </x:c>
    </x:row>
    <x:row r="207">
      <x:c r="A207" s="18" t="n">
        <x:v>443</x:v>
      </x:c>
      <x:c r="B207" s="118" t="n">
        <x:f>VALUE('Raw_Data'!I443)</x:f>
        <x:v>0.8000000000000007</x:v>
      </x:c>
      <x:c r="C207" s="118" t="n">
        <x:f>ROUND(B207,'Config'!$B$25)</x:f>
        <x:v>0.8</x:v>
      </x:c>
      <x:c r="D207" s="121" t="n">
        <x:f>VALUE('Raw_Data'!J443)</x:f>
        <x:v>0.0009223579843246119</x:v>
      </x:c>
      <x:c r="E207" s="118" t="n">
        <x:f>LN(ABS(D207))/LN(10)</x:f>
        <x:v>-3.035100488444894</x:v>
      </x:c>
      <x:c r="F207" s="19" t="n">
        <x:f>B207</x:f>
        <x:v>0.8000000000000007</x:v>
      </x:c>
      <x:c r="G207" s="19" t="n">
        <x:f>B227</x:f>
        <x:v>0.9000000000000008</x:v>
      </x:c>
      <x:c r="H207" s="19" t="n">
        <x:f>MAX(E207:E227)-MIN(E207:E227)</x:f>
        <x:v>0.08882045957070206</x:v>
      </x:c>
      <x:c r="I207" s="19" t="n">
        <x:f>SLOPE(E207:E227,B207:B227)</x:f>
        <x:v>0.8870818019020076</x:v>
      </x:c>
      <x:c r="J207" s="19" t="n">
        <x:f>RSQ(E207:E227,B207:B227)</x:f>
        <x:v>0.9991755873032404</x:v>
      </x:c>
      <x:c r="K207" s="19" t="n">
        <x:f>IF(I207&gt;0,'Config'!$B$17/I207,"")</x:f>
        <x:v>1127.291753540522</x:v>
      </x:c>
      <x:c r="L207" s="19" t="n">
        <x:f>MAX(D207:D227)</x:f>
        <x:v>0.001131670437802516</x:v>
      </x:c>
      <x:c r="M207" s="19" t="str">
        <x:f>IF(AND(H207&gt;='Config'!$B$14,J207&gt;='Config'!$B$15,L207&lt;=$E$4,I207&gt;0),K207,"")</x:f>
      </x:c>
      <x:c r="N207" s="20" t="str">
        <x:f>IF(AND(M207&lt;&gt;"",ABS(M207-$G$4)&lt;='Config'!$B$22),"SELECTED","")</x:f>
      </x:c>
    </x:row>
    <x:row r="208">
      <x:c r="A208" t="n">
        <x:v>444</x:v>
      </x:c>
      <x:c r="B208" t="n">
        <x:f>VALUE('Raw_Data'!I444)</x:f>
        <x:v>0.8050000000000007</x:v>
      </x:c>
      <x:c r="C208" t="n">
        <x:f>ROUND(B208,'Config'!$B$25)</x:f>
        <x:v>0.805</x:v>
      </x:c>
      <x:c r="D208" t="n">
        <x:f>VALUE('Raw_Data'!J444)</x:f>
        <x:v>0.0009328654343488239</x:v>
      </x:c>
      <x:c r="E208" t="n">
        <x:f>LN(ABS(D208))/LN(10)</x:f>
        <x:v>-3.030180998627151</x:v>
      </x:c>
      <x:c r="F208" t="n">
        <x:f>B208</x:f>
        <x:v>0.8050000000000007</x:v>
      </x:c>
      <x:c r="G208" t="n">
        <x:f>B228</x:f>
        <x:v>0.9050000000000008</x:v>
      </x:c>
      <x:c r="H208" t="n">
        <x:f>MAX(E208:E228)-MIN(E208:E228)</x:f>
        <x:v>0.08788127822587244</x:v>
      </x:c>
      <x:c r="I208" t="n">
        <x:f>SLOPE(E208:E228,B208:B228)</x:f>
        <x:v>0.8777247202410995</x:v>
      </x:c>
      <x:c r="J208" t="n">
        <x:f>RSQ(E208:E228,B208:B228)</x:f>
        <x:v>0.9991922122458243</x:v>
      </x:c>
      <x:c r="K208" t="n">
        <x:f>IF(I208&gt;0,'Config'!$B$17/I208,"")</x:f>
        <x:v>1139.309372220157</x:v>
      </x:c>
      <x:c r="L208" t="n">
        <x:f>MAX(D208:D228)</x:f>
        <x:v>0.001142089870293109</x:v>
      </x:c>
      <x:c r="M208" t="str">
        <x:f>IF(AND(H208&gt;='Config'!$B$14,J208&gt;='Config'!$B$15,L208&lt;=$E$4,I208&gt;0),K208,"")</x:f>
      </x:c>
      <x:c r="N208" t="str">
        <x:f>IF(AND(M208&lt;&gt;"",ABS(M208-$G$4)&lt;='Config'!$B$22),"SELECTED","")</x:f>
      </x:c>
    </x:row>
    <x:row r="209">
      <x:c r="A209" t="n">
        <x:v>445</x:v>
      </x:c>
      <x:c r="B209" t="n">
        <x:f>VALUE('Raw_Data'!I445)</x:f>
        <x:v>0.8100000000000007</x:v>
      </x:c>
      <x:c r="C209" t="n">
        <x:f>ROUND(B209,'Config'!$B$25)</x:f>
        <x:v>0.81</x:v>
      </x:c>
      <x:c r="D209" t="n">
        <x:f>VALUE('Raw_Data'!J445)</x:f>
        <x:v>0.0009433684692735243</x:v>
      </x:c>
      <x:c r="E209" t="n">
        <x:f>LN(ABS(D209))/LN(10)</x:f>
        <x:v>-3.025318643512578</x:v>
      </x:c>
      <x:c r="F209" t="n">
        <x:f>B209</x:f>
        <x:v>0.8100000000000007</x:v>
      </x:c>
      <x:c r="G209" t="n">
        <x:f>B229</x:f>
        <x:v>0.9100000000000008</x:v>
      </x:c>
      <x:c r="H209" t="n">
        <x:f>MAX(E209:E229)-MIN(E209:E229)</x:f>
        <x:v>0.08696141770025045</x:v>
      </x:c>
      <x:c r="I209" t="n">
        <x:f>SLOPE(E209:E229,B209:B229)</x:f>
        <x:v>0.868559473863586</x:v>
      </x:c>
      <x:c r="J209" t="n">
        <x:f>RSQ(E209:E229,B209:B229)</x:f>
        <x:v>0.9992083239168262</x:v>
      </x:c>
      <x:c r="K209" t="n">
        <x:f>IF(I209&gt;0,'Config'!$B$17/I209,"")</x:f>
        <x:v>1151.3316359923301</x:v>
      </x:c>
      <x:c r="L209" t="n">
        <x:f>MAX(D209:D229)</x:f>
        <x:v>0.001152504883206628</x:v>
      </x:c>
      <x:c r="M209" t="str">
        <x:f>IF(AND(H209&gt;='Config'!$B$14,J209&gt;='Config'!$B$15,L209&lt;=$E$4,I209&gt;0),K209,"")</x:f>
      </x:c>
      <x:c r="N209" t="str">
        <x:f>IF(AND(M209&lt;&gt;"",ABS(M209-$G$4)&lt;='Config'!$B$22),"SELECTED","")</x:f>
      </x:c>
    </x:row>
    <x:row r="210">
      <x:c r="A210" t="n">
        <x:v>446</x:v>
      </x:c>
      <x:c r="B210" t="n">
        <x:f>VALUE('Raw_Data'!I446)</x:f>
        <x:v>0.8150000000000007</x:v>
      </x:c>
      <x:c r="C210" t="n">
        <x:f>ROUND(B210,'Config'!$B$25)</x:f>
        <x:v>0.815</x:v>
      </x:c>
      <x:c r="D210" t="n">
        <x:f>VALUE('Raw_Data'!J446)</x:f>
        <x:v>0.0009538670904892137</x:v>
      </x:c>
      <x:c r="E210" t="n">
        <x:f>LN(ABS(D210))/LN(10)</x:f>
        <x:v>-3.0205121346128356</x:v>
      </x:c>
      <x:c r="F210" t="n">
        <x:f>B210</x:f>
        <x:v>0.8150000000000007</x:v>
      </x:c>
      <x:c r="G210" t="n">
        <x:f>B230</x:f>
        <x:v>0.9150000000000008</x:v>
      </x:c>
      <x:c r="H210" t="n">
        <x:f>MAX(E210:E230)-MIN(E210:E230)</x:f>
        <x:v>0.08606028207297722</x:v>
      </x:c>
      <x:c r="I210" t="n">
        <x:f>SLOPE(E210:E230,B210:B230)</x:f>
        <x:v>0.8595801667510522</x:v>
      </x:c>
      <x:c r="J210" t="n">
        <x:f>RSQ(E210:E230,B210:B230)</x:f>
        <x:v>0.9992239418609605</x:v>
      </x:c>
      <x:c r="K210" t="n">
        <x:f>IF(I210&gt;0,'Config'!$B$17/I210,"")</x:f>
        <x:v>1163.3586239893034</x:v>
      </x:c>
      <x:c r="L210" t="n">
        <x:f>MAX(D210:D230)</x:f>
        <x:v>0.001162915468880342</x:v>
      </x:c>
      <x:c r="M210" t="str">
        <x:f>IF(AND(H210&gt;='Config'!$B$14,J210&gt;='Config'!$B$15,L210&lt;=$E$4,I210&gt;0),K210,"")</x:f>
      </x:c>
      <x:c r="N210" t="str">
        <x:f>IF(AND(M210&lt;&gt;"",ABS(M210-$G$4)&lt;='Config'!$B$22),"SELECTED","")</x:f>
      </x:c>
    </x:row>
    <x:row r="211">
      <x:c r="A211" t="n">
        <x:v>447</x:v>
      </x:c>
      <x:c r="B211" t="n">
        <x:f>VALUE('Raw_Data'!I447)</x:f>
        <x:v>0.8200000000000007</x:v>
      </x:c>
      <x:c r="C211" t="n">
        <x:f>ROUND(B211,'Config'!$B$25)</x:f>
        <x:v>0.82</x:v>
      </x:c>
      <x:c r="D211" t="n">
        <x:f>VALUE('Raw_Data'!J447)</x:f>
        <x:v>0.0009643613001104705</x:v>
      </x:c>
      <x:c r="E211" t="n">
        <x:f>LN(ABS(D211))/LN(10)</x:f>
        <x:v>-3.0157602262142276</x:v>
      </x:c>
      <x:c r="F211" t="n">
        <x:f>B211</x:f>
        <x:v>0.8200000000000007</x:v>
      </x:c>
      <x:c r="G211" t="n">
        <x:f>B231</x:f>
        <x:v>0.9200000000000008</x:v>
      </x:c>
      <x:c r="H211" t="n">
        <x:f>MAX(E211:E231)-MIN(E211:E231)</x:f>
        <x:v>0.08517729893505033</x:v>
      </x:c>
      <x:c r="I211" t="n">
        <x:f>SLOPE(E211:E231,B211:B231)</x:f>
        <x:v>0.850781134841442</x:v>
      </x:c>
      <x:c r="J211" t="n">
        <x:f>RSQ(E211:E231,B211:B231)</x:f>
        <x:v>0.9992390848068007</x:v>
      </x:c>
      <x:c r="K211" t="n">
        <x:f>IF(I211&gt;0,'Config'!$B$17/I211,"")</x:f>
        <x:v>1175.3904253957953</x:v>
      </x:c>
      <x:c r="L211" t="n">
        <x:f>MAX(D211:D231)</x:f>
        <x:v>0.001173321618719588</x:v>
      </x:c>
      <x:c r="M211" t="str">
        <x:f>IF(AND(H211&gt;='Config'!$B$14,J211&gt;='Config'!$B$15,L211&lt;=$E$4,I211&gt;0),K211,"")</x:f>
      </x:c>
      <x:c r="N211" t="str">
        <x:f>IF(AND(M211&lt;&gt;"",ABS(M211-$G$4)&lt;='Config'!$B$22),"SELECTED","")</x:f>
      </x:c>
    </x:row>
    <x:row r="212">
      <x:c r="A212" t="n">
        <x:v>448</x:v>
      </x:c>
      <x:c r="B212" t="n">
        <x:f>VALUE('Raw_Data'!I448)</x:f>
        <x:v>0.8250000000000007</x:v>
      </x:c>
      <x:c r="C212" t="n">
        <x:f>ROUND(B212,'Config'!$B$25)</x:f>
        <x:v>0.825</x:v>
      </x:c>
      <x:c r="D212" t="n">
        <x:f>VALUE('Raw_Data'!J448)</x:f>
        <x:v>0.0009748511007420388</x:v>
      </x:c>
      <x:c r="E212" t="n">
        <x:f>LN(ABS(D212))/LN(10)</x:f>
        <x:v>-3.0110617135982927</x:v>
      </x:c>
      <x:c r="F212" t="n">
        <x:f>B212</x:f>
        <x:v>0.8250000000000007</x:v>
      </x:c>
      <x:c r="G212" t="n">
        <x:f>B232</x:f>
        <x:v>0.9250000000000008</x:v>
      </x:c>
      <x:c r="H212" t="n">
        <x:f>MAX(E212:E232)-MIN(E212:E232)</x:f>
        <x:v>0.08431191830871265</x:v>
      </x:c>
      <x:c r="I212" t="n">
        <x:f>SLOPE(E212:E232,B212:B232)</x:f>
        <x:v>0.8421569353855985</x:v>
      </x:c>
      <x:c r="J212" t="n">
        <x:f>RSQ(E212:E232,B212:B232)</x:f>
        <x:v>0.9992537706994171</x:v>
      </x:c>
      <x:c r="K212" t="n">
        <x:f>IF(I212&gt;0,'Config'!$B$17/I212,"")</x:f>
        <x:v>1187.4271385559864</x:v>
      </x:c>
      <x:c r="L212" t="n">
        <x:f>MAX(D212:D232)</x:f>
        <x:v>0.001183723323200299</x:v>
      </x:c>
      <x:c r="M212" t="str">
        <x:f>IF(AND(H212&gt;='Config'!$B$14,J212&gt;='Config'!$B$15,L212&lt;=$E$4,I212&gt;0),K212,"")</x:f>
      </x:c>
      <x:c r="N212" t="str">
        <x:f>IF(AND(M212&lt;&gt;"",ABS(M212-$G$4)&lt;='Config'!$B$22),"SELECTED","")</x:f>
      </x:c>
    </x:row>
    <x:row r="213">
      <x:c r="A213" t="n">
        <x:v>449</x:v>
      </x:c>
      <x:c r="B213" t="n">
        <x:f>VALUE('Raw_Data'!I449)</x:f>
        <x:v>0.8300000000000007</x:v>
      </x:c>
      <x:c r="C213" t="n">
        <x:f>ROUND(B213,'Config'!$B$25)</x:f>
        <x:v>0.83</x:v>
      </x:c>
      <x:c r="D213" t="n">
        <x:f>VALUE('Raw_Data'!J449)</x:f>
        <x:v>0.0009853364952711456</x:v>
      </x:c>
      <x:c r="E213" t="n">
        <x:f>LN(ABS(D213))/LN(10)</x:f>
        <x:v>-3.0064154313467313</x:v>
      </x:c>
      <x:c r="F213" t="n">
        <x:f>B213</x:f>
        <x:v>0.8300000000000007</x:v>
      </x:c>
      <x:c r="G213" t="n">
        <x:f>B233</x:f>
        <x:v>0.9300000000000008</x:v>
      </x:c>
      <x:c r="H213" t="n">
        <x:f>MAX(E213:E233)-MIN(E213:E233)</x:f>
        <x:v>0.0834636116208296</x:v>
      </x:c>
      <x:c r="I213" t="n">
        <x:f>SLOPE(E213:E233,B213:B233)</x:f>
        <x:v>0.8337023368355787</x:v>
      </x:c>
      <x:c r="J213" t="n">
        <x:f>RSQ(E213:E233,B213:B233)</x:f>
        <x:v>0.9992680167321062</x:v>
      </x:c>
      <x:c r="K213" t="n">
        <x:f>IF(I213&gt;0,'Config'!$B$17/I213,"")</x:f>
        <x:v>1199.4688701432995</x:v>
      </x:c>
      <x:c r="L213" t="n">
        <x:f>MAX(D213:D233)</x:f>
        <x:v>0.001194120571874382</x:v>
      </x:c>
      <x:c r="M213" t="str">
        <x:f>IF(AND(H213&gt;='Config'!$B$14,J213&gt;='Config'!$B$15,L213&lt;=$E$4,I213&gt;0),K213,"")</x:f>
      </x:c>
      <x:c r="N213" t="str">
        <x:f>IF(AND(M213&lt;&gt;"",ABS(M213-$G$4)&lt;='Config'!$B$22),"SELECTED","")</x:f>
      </x:c>
    </x:row>
    <x:row r="214">
      <x:c r="A214" t="n">
        <x:v>450</x:v>
      </x:c>
      <x:c r="B214" t="n">
        <x:f>VALUE('Raw_Data'!I450)</x:f>
        <x:v>0.8350000000000007</x:v>
      </x:c>
      <x:c r="C214" t="n">
        <x:f>ROUND(B214,'Config'!$B$25)</x:f>
        <x:v>0.835</x:v>
      </x:c>
      <x:c r="D214" t="n">
        <x:f>VALUE('Raw_Data'!J450)</x:f>
        <x:v>0.0009958174866837135</x:v>
      </x:c>
      <x:c r="E214" t="n">
        <x:f>LN(ABS(D214))/LN(10)</x:f>
        <x:v>-3.0018202517263917</x:v>
      </x:c>
      <x:c r="F214" t="n">
        <x:f>B214</x:f>
        <x:v>0.8350000000000007</x:v>
      </x:c>
      <x:c r="G214" t="n">
        <x:f>B234</x:f>
        <x:v>0.9350000000000008</x:v>
      </x:c>
      <x:c r="H214" t="n">
        <x:f>MAX(E214:E234)-MIN(E214:E234)</x:f>
        <x:v>0.08263187072745648</x:v>
      </x:c>
      <x:c r="I214" t="n">
        <x:f>SLOPE(E214:E234,B214:B234)</x:f>
        <x:v>0.8254123092373636</x:v>
      </x:c>
      <x:c r="J214" t="n">
        <x:f>RSQ(E214:E234,B214:B234)</x:f>
        <x:v>0.9992818393771973</x:v>
      </x:c>
      <x:c r="K214" t="n">
        <x:f>IF(I214&gt;0,'Config'!$B$17/I214,"")</x:f>
        <x:v>1211.5157343896967</x:v>
      </x:c>
      <x:c r="L214" t="n">
        <x:f>MAX(D214:D234)</x:f>
        <x:v>0.00120451335337756</x:v>
      </x:c>
      <x:c r="M214" t="str">
        <x:f>IF(AND(H214&gt;='Config'!$B$14,J214&gt;='Config'!$B$15,L214&lt;=$E$4,I214&gt;0),K214,"")</x:f>
      </x:c>
      <x:c r="N214" t="str">
        <x:f>IF(AND(M214&lt;&gt;"",ABS(M214-$G$4)&lt;='Config'!$B$22),"SELECTED","")</x:f>
      </x:c>
    </x:row>
    <x:row r="215">
      <x:c r="A215" t="n">
        <x:v>451</x:v>
      </x:c>
      <x:c r="B215" t="n">
        <x:f>VALUE('Raw_Data'!I451)</x:f>
        <x:v>0.8400000000000007</x:v>
      </x:c>
      <x:c r="C215" t="n">
        <x:f>ROUND(B215,'Config'!$B$25)</x:f>
        <x:v>0.84</x:v>
      </x:c>
      <x:c r="D215" t="n">
        <x:f>VALUE('Raw_Data'!J451)</x:f>
        <x:v>0.001006294077902229</x:v>
      </x:c>
      <x:c r="E215" t="n">
        <x:f>LN(ABS(D215))/LN(10)</x:f>
        <x:v>-2.997275083150328</x:v>
      </x:c>
      <x:c r="F215" t="n">
        <x:f>B215</x:f>
        <x:v>0.8400000000000007</x:v>
      </x:c>
      <x:c r="G215" t="n">
        <x:f>B235</x:f>
        <x:v>0.9400000000000008</x:v>
      </x:c>
      <x:c r="H215" t="n">
        <x:f>MAX(E215:E235)-MIN(E215:E235)</x:f>
        <x:v>0.08181620698699765</x:v>
      </x:c>
      <x:c r="I215" t="n">
        <x:f>SLOPE(E215:E235,B215:B235)</x:f>
        <x:v>0.8172820151020025</x:v>
      </x:c>
      <x:c r="J215" t="n">
        <x:f>RSQ(E215:E235,B215:B235)</x:f>
        <x:v>0.9992952544159043</x:v>
      </x:c>
      <x:c r="K215" t="n">
        <x:f>IF(I215&gt;0,'Config'!$B$17/I215,"")</x:f>
        <x:v>1223.5678523712443</x:v>
      </x:c>
      <x:c r="L215" t="n">
        <x:f>MAX(D215:D235)</x:f>
        <x:v>0.00121490165543932</x:v>
      </x:c>
      <x:c r="M215" t="str">
        <x:f>IF(AND(H215&gt;='Config'!$B$14,J215&gt;='Config'!$B$15,L215&lt;=$E$4,I215&gt;0),K215,"")</x:f>
      </x:c>
      <x:c r="N215" t="str">
        <x:f>IF(AND(M215&lt;&gt;"",ABS(M215-$G$4)&lt;='Config'!$B$22),"SELECTED","")</x:f>
      </x:c>
    </x:row>
    <x:row r="216">
      <x:c r="A216" t="n">
        <x:v>452</x:v>
      </x:c>
      <x:c r="B216" t="n">
        <x:f>VALUE('Raw_Data'!I452)</x:f>
        <x:v>0.8450000000000008</x:v>
      </x:c>
      <x:c r="C216" t="n">
        <x:f>ROUND(B216,'Config'!$B$25)</x:f>
        <x:v>0.845</x:v>
      </x:c>
      <x:c r="D216" t="n">
        <x:f>VALUE('Raw_Data'!J452)</x:f>
        <x:v>0.001016766271643333</x:v>
      </x:c>
      <x:c r="E216" t="n">
        <x:f>LN(ABS(D216))/LN(10)</x:f>
        <x:v>-2.9927788687110652</x:v>
      </x:c>
      <x:c r="F216" t="n">
        <x:f>B216</x:f>
        <x:v>0.8450000000000008</x:v>
      </x:c>
      <x:c r="G216" t="n">
        <x:f>B236</x:f>
        <x:v>0.9450000000000008</x:v>
      </x:c>
      <x:c r="H216" t="n">
        <x:f>MAX(E216:E236)-MIN(E216:E236)</x:f>
        <x:v>0.08101615037943688</x:v>
      </x:c>
      <x:c r="I216" t="n">
        <x:f>SLOPE(E216:E236,B216:B236)</x:f>
        <x:v>0.8093068007304485</x:v>
      </x:c>
      <x:c r="J216" t="n">
        <x:f>RSQ(E216:E236,B216:B236)</x:f>
        <x:v>0.9993082769672099</x:v>
      </x:c>
      <x:c r="K216" t="n">
        <x:f>IF(I216&gt;0,'Config'!$B$17/I216,"")</x:f>
        <x:v>1235.625351346905</x:v>
      </x:c>
      <x:c r="L216" t="n">
        <x:f>MAX(D216:D236)</x:f>
        <x:v>0.001225285464894685</x:v>
      </x:c>
      <x:c r="M216" t="str">
        <x:f>IF(AND(H216&gt;='Config'!$B$14,J216&gt;='Config'!$B$15,L216&lt;=$E$4,I216&gt;0),K216,"")</x:f>
      </x:c>
      <x:c r="N216" t="str">
        <x:f>IF(AND(M216&lt;&gt;"",ABS(M216-$G$4)&lt;='Config'!$B$22),"SELECTED","")</x:f>
      </x:c>
    </x:row>
    <x:row r="217">
      <x:c r="A217" t="n">
        <x:v>453</x:v>
      </x:c>
      <x:c r="B217" t="n">
        <x:f>VALUE('Raw_Data'!I453)</x:f>
        <x:v>0.8500000000000008</x:v>
      </x:c>
      <x:c r="C217" t="n">
        <x:f>ROUND(B217,'Config'!$B$25)</x:f>
        <x:v>0.85</x:v>
      </x:c>
      <x:c r="D217" t="n">
        <x:f>VALUE('Raw_Data'!J453)</x:f>
        <x:v>0.001027234070293259</x:v>
      </x:c>
      <x:c r="E217" t="n">
        <x:f>LN(ABS(D217))/LN(10)</x:f>
        <x:v>-2.9883305847824473</x:v>
      </x:c>
      <x:c r="F217" t="n">
        <x:f>B217</x:f>
        <x:v>0.8500000000000008</x:v>
      </x:c>
      <x:c r="G217" t="n">
        <x:f>B237</x:f>
        <x:v>0.9500000000000008</x:v>
      </x:c>
      <x:c r="H217" t="n">
        <x:f>MAX(E217:E237)-MIN(E217:E237)</x:f>
        <x:v>0.08023124866925357</x:v>
      </x:c>
      <x:c r="I217" t="n">
        <x:f>SLOPE(E217:E237,B217:B237)</x:f>
        <x:v>0.8014821879686451</x:v>
      </x:c>
      <x:c r="J217" t="n">
        <x:f>RSQ(E217:E237,B217:B237)</x:f>
        <x:v>0.9993209215157715</x:v>
      </x:c>
      <x:c r="K217" t="n">
        <x:f>IF(I217&gt;0,'Config'!$B$17/I217,"")</x:f>
        <x:v>1247.6883641475524</x:v>
      </x:c>
      <x:c r="L217" t="n">
        <x:f>MAX(D217:D237)</x:f>
        <x:v>0.001235664767697483</x:v>
      </x:c>
      <x:c r="M217" t="str">
        <x:f>IF(AND(H217&gt;='Config'!$B$14,J217&gt;='Config'!$B$15,L217&lt;=$E$4,I217&gt;0),K217,"")</x:f>
      </x:c>
      <x:c r="N217" t="str">
        <x:f>IF(AND(M217&lt;&gt;"",ABS(M217-$G$4)&lt;='Config'!$B$22),"SELECTED","")</x:f>
      </x:c>
    </x:row>
    <x:row r="218">
      <x:c r="A218" t="n">
        <x:v>454</x:v>
      </x:c>
      <x:c r="B218" t="n">
        <x:f>VALUE('Raw_Data'!I454)</x:f>
        <x:v>0.8550000000000008</x:v>
      </x:c>
      <x:c r="C218" t="n">
        <x:f>ROUND(B218,'Config'!$B$25)</x:f>
        <x:v>0.855</x:v>
      </x:c>
      <x:c r="D218" t="n">
        <x:f>VALUE('Raw_Data'!J454)</x:f>
        <x:v>0.001037697475799404</x:v>
      </x:c>
      <x:c r="E218" t="n">
        <x:f>LN(ABS(D218))/LN(10)</x:f>
        <x:v>-2.98392923968664</x:v>
      </x:c>
      <x:c r="F218" t="n">
        <x:f>B218</x:f>
        <x:v>0.8550000000000008</x:v>
      </x:c>
      <x:c r="G218" t="n">
        <x:f>B238</x:f>
        <x:v>0.9550000000000008</x:v>
      </x:c>
      <x:c r="H218" t="n">
        <x:f>MAX(E218:E238)-MIN(E218:E238)</x:f>
        <x:v>0.0794610666097908</x:v>
      </x:c>
      <x:c r="I218" t="n">
        <x:f>SLOPE(E218:E238,B218:B238)</x:f>
        <x:v>0.7938038663705739</x:v>
      </x:c>
      <x:c r="J218" t="n">
        <x:f>RSQ(E218:E238,B218:B238)</x:f>
        <x:v>0.9993332019388456</x:v>
      </x:c>
      <x:c r="K218" t="n">
        <x:f>IF(I218&gt;0,'Config'!$B$17/I218,"")</x:f>
        <x:v>1259.7570286123637</x:v>
      </x:c>
      <x:c r="L218" t="n">
        <x:f>MAX(D218:D238)</x:f>
        <x:v>0.001246039548934875</x:v>
      </x:c>
      <x:c r="M218" t="str">
        <x:f>IF(AND(H218&gt;='Config'!$B$14,J218&gt;='Config'!$B$15,L218&lt;=$E$4,I218&gt;0),K218,"")</x:f>
      </x:c>
      <x:c r="N218" t="str">
        <x:f>IF(AND(M218&lt;&gt;"",ABS(M218-$G$4)&lt;='Config'!$B$22),"SELECTED","")</x:f>
      </x:c>
    </x:row>
    <x:row r="219">
      <x:c r="A219" t="n">
        <x:v>455</x:v>
      </x:c>
      <x:c r="B219" t="n">
        <x:f>VALUE('Raw_Data'!I455)</x:f>
        <x:v>0.8600000000000008</x:v>
      </x:c>
      <x:c r="C219" t="n">
        <x:f>ROUND(B219,'Config'!$B$25)</x:f>
        <x:v>0.86</x:v>
      </x:c>
      <x:c r="D219" t="n">
        <x:f>VALUE('Raw_Data'!J455)</x:f>
        <x:v>0.001048156489576517</x:v>
      </x:c>
      <x:c r="E219" t="n">
        <x:f>LN(ABS(D219))/LN(10)</x:f>
        <x:v>-2.9795738724229928</x:v>
      </x:c>
      <x:c r="F219" t="n">
        <x:f>B219</x:f>
        <x:v>0.8600000000000008</x:v>
      </x:c>
      <x:c r="G219" t="n">
        <x:f>B239</x:f>
        <x:v>0.9600000000000009</x:v>
      </x:c>
      <x:c r="H219" t="n">
        <x:f>MAX(E219:E239)-MIN(E219:E239)</x:f>
        <x:v>0.07870518518692426</x:v>
      </x:c>
      <x:c r="I219" t="n">
        <x:f>SLOPE(E219:E239,B219:B239)</x:f>
        <x:v>0.7862676857481101</x:v>
      </x:c>
      <x:c r="J219" t="n">
        <x:f>RSQ(E219:E239,B219:B239)</x:f>
        <x:v>0.9993451315322424</x:v>
      </x:c>
      <x:c r="K219" t="n">
        <x:f>IF(I219&gt;0,'Config'!$B$17/I219,"")</x:f>
        <x:v>1271.8314870698648</x:v>
      </x:c>
      <x:c r="L219" t="n">
        <x:f>MAX(D219:D239)</x:f>
        <x:v>0.001256409792842924</x:v>
      </x:c>
      <x:c r="M219" t="str">
        <x:f>IF(AND(H219&gt;='Config'!$B$14,J219&gt;='Config'!$B$15,L219&lt;=$E$4,I219&gt;0),K219,"")</x:f>
      </x:c>
      <x:c r="N219" t="str">
        <x:f>IF(AND(M219&lt;&gt;"",ABS(M219-$G$4)&lt;='Config'!$B$22),"SELECTED","")</x:f>
      </x:c>
    </x:row>
    <x:row r="220">
      <x:c r="A220" t="n">
        <x:v>456</x:v>
      </x:c>
      <x:c r="B220" t="n">
        <x:f>VALUE('Raw_Data'!I456)</x:f>
        <x:v>0.8650000000000008</x:v>
      </x:c>
      <x:c r="C220" t="n">
        <x:f>ROUND(B220,'Config'!$B$25)</x:f>
        <x:v>0.865</x:v>
      </x:c>
      <x:c r="D220" t="n">
        <x:f>VALUE('Raw_Data'!J456)</x:f>
        <x:v>0.001058611112426121</x:v>
      </x:c>
      <x:c r="E220" t="n">
        <x:f>LN(ABS(D220))/LN(10)</x:f>
        <x:v>-2.975263551455638</x:v>
      </x:c>
      <x:c r="F220" t="n">
        <x:f>B220</x:f>
        <x:v>0.8650000000000008</x:v>
      </x:c>
      <x:c r="G220" t="n">
        <x:f>B240</x:f>
        <x:v>0.9650000000000009</x:v>
      </x:c>
      <x:c r="H220" t="n">
        <x:f>MAX(E220:E240)-MIN(E220:E240)</x:f>
        <x:v>0.07796320089996378</x:v>
      </x:c>
      <x:c r="I220" t="n">
        <x:f>SLOPE(E220:E240,B220:B240)</x:f>
        <x:v>0.7788696490875924</x:v>
      </x:c>
      <x:c r="J220" t="n">
        <x:f>RSQ(E220:E240,B220:B240)</x:f>
        <x:v>0.9993567230353093</x:v>
      </x:c>
      <x:c r="K220" t="n">
        <x:f>IF(I220&gt;0,'Config'!$B$17/I220,"")</x:f>
        <x:v>1283.9118858610693</x:v>
      </x:c>
      <x:c r="L220" t="n">
        <x:f>MAX(D220:D240)</x:f>
        <x:v>0.001266775482822979</x:v>
      </x:c>
      <x:c r="M220" t="str">
        <x:f>IF(AND(H220&gt;='Config'!$B$14,J220&gt;='Config'!$B$15,L220&lt;=$E$4,I220&gt;0),K220,"")</x:f>
      </x:c>
      <x:c r="N220" t="str">
        <x:f>IF(AND(M220&lt;&gt;"",ABS(M220-$G$4)&lt;='Config'!$B$22),"SELECTED","")</x:f>
      </x:c>
    </x:row>
    <x:row r="221">
      <x:c r="A221" t="n">
        <x:v>457</x:v>
      </x:c>
      <x:c r="B221" t="n">
        <x:f>VALUE('Raw_Data'!I457)</x:f>
        <x:v>0.8700000000000008</x:v>
      </x:c>
      <x:c r="C221" t="n">
        <x:f>ROUND(B221,'Config'!$B$25)</x:f>
        <x:v>0.87</x:v>
      </x:c>
      <x:c r="D221" t="n">
        <x:f>VALUE('Raw_Data'!J457)</x:f>
        <x:v>0.001069061344467763</x:v>
      </x:c>
      <x:c r="E221" t="n">
        <x:f>LN(ABS(D221))/LN(10)</x:f>
        <x:v>-2.970997373556926</x:v>
      </x:c>
      <x:c r="F221" t="n">
        <x:f>B221</x:f>
        <x:v>0.8700000000000008</x:v>
      </x:c>
      <x:c r="G221" t="n">
        <x:f>B241</x:f>
        <x:v>0.9700000000000009</x:v>
      </x:c>
      <x:c r="H221" t="n">
        <x:f>MAX(E221:E241)-MIN(E221:E241)</x:f>
        <x:v>0.07723472507792328</x:v>
      </x:c>
      <x:c r="I221" t="n">
        <x:f>SLOPE(E221:E241,B221:B241)</x:f>
        <x:v>0.7716059058141654</x:v>
      </x:c>
      <x:c r="J221" t="n">
        <x:f>RSQ(E221:E241,B221:B241)</x:f>
        <x:v>0.999367988654963</x:v>
      </x:c>
      <x:c r="K221" t="n">
        <x:f>IF(I221&gt;0,'Config'!$B$17/I221,"")</x:f>
        <x:v>1295.9983749020726</x:v>
      </x:c>
      <x:c r="L221" t="n">
        <x:f>MAX(D221:D241)</x:f>
        <x:v>0.001277136601458703</x:v>
      </x:c>
      <x:c r="M221" t="str">
        <x:f>IF(AND(H221&gt;='Config'!$B$14,J221&gt;='Config'!$B$15,L221&lt;=$E$4,I221&gt;0),K221,"")</x:f>
      </x:c>
      <x:c r="N221" t="str">
        <x:f>IF(AND(M221&lt;&gt;"",ABS(M221-$G$4)&lt;='Config'!$B$22),"SELECTED","")</x:f>
      </x:c>
    </x:row>
    <x:row r="222">
      <x:c r="A222" t="n">
        <x:v>458</x:v>
      </x:c>
      <x:c r="B222" t="n">
        <x:f>VALUE('Raw_Data'!I458)</x:f>
        <x:v>0.8750000000000008</x:v>
      </x:c>
      <x:c r="C222" t="n">
        <x:f>ROUND(B222,'Config'!$B$25)</x:f>
        <x:v>0.875</x:v>
      </x:c>
      <x:c r="D222" t="n">
        <x:f>VALUE('Raw_Data'!J458)</x:f>
        <x:v>0.001079507185081012</x:v>
      </x:c>
      <x:c r="E222" t="n">
        <x:f>LN(ABS(D222))/LN(10)</x:f>
        <x:v>-2.9667744627038575</x:v>
      </x:c>
      <x:c r="F222" t="n">
        <x:f>B222</x:f>
        <x:v>0.8750000000000008</x:v>
      </x:c>
      <x:c r="G222" t="n">
        <x:f>B242</x:f>
        <x:v>0.9750000000000009</x:v>
      </x:c>
      <x:c r="H222" t="n">
        <x:f>MAX(E222:E242)-MIN(E222:E242)</x:f>
        <x:v>0.07651938322925389</x:v>
      </x:c>
      <x:c r="I222" t="n">
        <x:f>SLOPE(E222:E242,B222:B242)</x:f>
        <x:v>0.7644727453857223</x:v>
      </x:c>
      <x:c r="J222" t="n">
        <x:f>RSQ(E222:E242,B222:B242)</x:f>
        <x:v>0.9993789400887821</x:v>
      </x:c>
      <x:c r="K222" t="n">
        <x:f>IF(I222&gt;0,'Config'!$B$17/I222,"")</x:f>
        <x:v>1308.091107283936</x:v>
      </x:c>
      <x:c r="L222" t="n">
        <x:f>MAX(D222:D242)</x:f>
        <x:v>0.001287493130533544</x:v>
      </x:c>
      <x:c r="M222" t="str">
        <x:f>IF(AND(H222&gt;='Config'!$B$14,J222&gt;='Config'!$B$15,L222&lt;=$E$4,I222&gt;0),K222,"")</x:f>
      </x:c>
      <x:c r="N222" t="str">
        <x:f>IF(AND(M222&lt;&gt;"",ABS(M222-$G$4)&lt;='Config'!$B$22),"SELECTED","")</x:f>
      </x:c>
    </x:row>
    <x:row r="223">
      <x:c r="A223" t="n">
        <x:v>459</x:v>
      </x:c>
      <x:c r="B223" t="n">
        <x:f>VALUE('Raw_Data'!I459)</x:f>
        <x:v>0.8800000000000008</x:v>
      </x:c>
      <x:c r="C223" t="n">
        <x:f>ROUND(B223,'Config'!$B$25)</x:f>
        <x:v>0.88</x:v>
      </x:c>
      <x:c r="D223" t="n">
        <x:f>VALUE('Raw_Data'!J459)</x:f>
        <x:v>0.001089948632857063</x:v>
      </x:c>
      <x:c r="E223" t="n">
        <x:f>LN(ABS(D223))/LN(10)</x:f>
        <x:v>-2.9625939690248786</x:v>
      </x:c>
      <x:c r="F223" t="n">
        <x:f>B223</x:f>
        <x:v>0.8800000000000008</x:v>
      </x:c>
      <x:c r="G223" t="n">
        <x:f>B243</x:f>
        <x:v>0.9800000000000009</x:v>
      </x:c>
      <x:c r="H223" t="n">
        <x:f>MAX(E223:E243)-MIN(E223:E243)</x:f>
        <x:v>0.07581681442336219</x:v>
      </x:c>
      <x:c r="I223" t="n">
        <x:f>SLOPE(E223:E243,B223:B243)</x:f>
        <x:v>0.757466591199436</x:v>
      </x:c>
      <x:c r="J223" t="n">
        <x:f>RSQ(E223:E243,B223:B243)</x:f>
        <x:v>0.9993895885471815</x:v>
      </x:c>
      <x:c r="K223" t="n">
        <x:f>IF(I223&gt;0,'Config'!$B$17/I223,"")</x:f>
        <x:v>1320.1902389074562</x:v>
      </x:c>
      <x:c r="L223" t="n">
        <x:f>MAX(D223:D243)</x:f>
        <x:v>0.001297845051048551</x:v>
      </x:c>
      <x:c r="M223" t="str">
        <x:f>IF(AND(H223&gt;='Config'!$B$14,J223&gt;='Config'!$B$15,L223&lt;=$E$4,I223&gt;0),K223,"")</x:f>
      </x:c>
      <x:c r="N223" t="str">
        <x:f>IF(AND(M223&lt;&gt;"",ABS(M223-$G$4)&lt;='Config'!$B$22),"SELECTED","")</x:f>
      </x:c>
    </x:row>
    <x:row r="224">
      <x:c r="A224" t="n">
        <x:v>460</x:v>
      </x:c>
      <x:c r="B224" t="n">
        <x:f>VALUE('Raw_Data'!I460)</x:f>
        <x:v>0.8850000000000008</x:v>
      </x:c>
      <x:c r="C224" t="n">
        <x:f>ROUND(B224,'Config'!$B$25)</x:f>
        <x:v>0.885</x:v>
      </x:c>
      <x:c r="D224" t="n">
        <x:f>VALUE('Raw_Data'!J460)</x:f>
        <x:v>0.001100385685558967</x:v>
      </x:c>
      <x:c r="E224" t="n">
        <x:f>LN(ABS(D224))/LN(10)</x:f>
        <x:v>-2.958455067794519</x:v>
      </x:c>
      <x:c r="F224" t="n">
        <x:f>B224</x:f>
        <x:v>0.8850000000000008</x:v>
      </x:c>
      <x:c r="G224" t="n">
        <x:f>B244</x:f>
        <x:v>0.9850000000000009</x:v>
      </x:c>
      <x:c r="H224" t="n">
        <x:f>MAX(E224:E244)-MIN(E224:E244)</x:f>
        <x:v>0.07512667070223067</x:v>
      </x:c>
      <x:c r="I224" t="n">
        <x:f>SLOPE(E224:E244,B224:B244)</x:f>
        <x:v>0.7505839947946317</x:v>
      </x:c>
      <x:c r="J224" t="n">
        <x:f>RSQ(E224:E244,B224:B244)</x:f>
        <x:v>0.9993999447746884</x:v>
      </x:c>
      <x:c r="K224" t="n">
        <x:f>IF(I224&gt;0,'Config'!$B$17/I224,"")</x:f>
        <x:v>1332.2959281507347</x:v>
      </x:c>
      <x:c r="L224" t="n">
        <x:f>MAX(D224:D244)</x:f>
        <x:v>0.001308192343240366</x:v>
      </x:c>
      <x:c r="M224" t="str">
        <x:f>IF(AND(H224&gt;='Config'!$B$14,J224&gt;='Config'!$B$15,L224&lt;=$E$4,I224&gt;0),K224,"")</x:f>
      </x:c>
      <x:c r="N224" t="str">
        <x:f>IF(AND(M224&lt;&gt;"",ABS(M224-$G$4)&lt;='Config'!$B$22),"SELECTED","")</x:f>
      </x:c>
    </x:row>
    <x:row r="225">
      <x:c r="A225" t="n">
        <x:v>461</x:v>
      </x:c>
      <x:c r="B225" t="n">
        <x:f>VALUE('Raw_Data'!I461)</x:f>
        <x:v>0.8900000000000008</x:v>
      </x:c>
      <x:c r="C225" t="n">
        <x:f>ROUND(B225,'Config'!$B$25)</x:f>
        <x:v>0.89</x:v>
      </x:c>
      <x:c r="D225" t="n">
        <x:f>VALUE('Raw_Data'!J461)</x:f>
        <x:v>0.001110818340089577</x:v>
      </x:c>
      <x:c r="E225" t="n">
        <x:f>LN(ABS(D225))/LN(10)</x:f>
        <x:v>-2.954356958473501</x:v>
      </x:c>
      <x:c r="F225" t="n">
        <x:f>B225</x:f>
        <x:v>0.8900000000000008</x:v>
      </x:c>
      <x:c r="G225" t="n">
        <x:f>B245</x:f>
        <x:v>0.9900000000000009</x:v>
      </x:c>
      <x:c r="H225" t="n">
        <x:f>MAX(E225:E245)-MIN(E225:E245)</x:f>
        <x:v>0.07444861652059842</x:v>
      </x:c>
      <x:c r="I225" t="n">
        <x:f>SLOPE(E225:E245,B225:B245)</x:f>
        <x:v>0.7438216303366377</x:v>
      </x:c>
      <x:c r="J225" t="n">
        <x:f>RSQ(E225:E245,B225:B245)</x:f>
        <x:v>0.9994100190703413</x:v>
      </x:c>
      <x:c r="K225" t="n">
        <x:f>IF(I225&gt;0,'Config'!$B$17/I225,"")</x:f>
        <x:v>1344.4083355675223</x:v>
      </x:c>
      <x:c r="L225" t="n">
        <x:f>MAX(D225:D245)</x:f>
        <x:v>0.00131853498659927</x:v>
      </x:c>
      <x:c r="M225" t="str">
        <x:f>IF(AND(H225&gt;='Config'!$B$14,J225&gt;='Config'!$B$15,L225&lt;=$E$4,I225&gt;0),K225,"")</x:f>
      </x:c>
      <x:c r="N225" t="str">
        <x:f>IF(AND(M225&lt;&gt;"",ABS(M225-$G$4)&lt;='Config'!$B$22),"SELECTED","")</x:f>
      </x:c>
    </x:row>
    <x:row r="226">
      <x:c r="A226" t="n">
        <x:v>462</x:v>
      </x:c>
      <x:c r="B226" t="n">
        <x:f>VALUE('Raw_Data'!I462)</x:f>
        <x:v>0.8950000000000008</x:v>
      </x:c>
      <x:c r="C226" t="n">
        <x:f>ROUND(B226,'Config'!$B$25)</x:f>
        <x:v>0.895</x:v>
      </x:c>
      <x:c r="D226" t="n">
        <x:f>VALUE('Raw_Data'!J462)</x:f>
        <x:v>0.001121246592466391</x:v>
      </x:c>
      <x:c r="E226" t="n">
        <x:f>LN(ABS(D226))/LN(10)</x:f>
        <x:v>-2.9502988637920358</x:v>
      </x:c>
      <x:c r="F226" t="n">
        <x:f>B226</x:f>
        <x:v>0.8950000000000008</x:v>
      </x:c>
      <x:c r="G226" t="n">
        <x:f>B246</x:f>
        <x:v>0.9950000000000009</x:v>
      </x:c>
      <x:c r="H226" t="n">
        <x:f>MAX(E226:E246)-MIN(E226:E246)</x:f>
        <x:v>0.07378232821321529</x:v>
      </x:c>
      <x:c r="I226" t="n">
        <x:f>SLOPE(E226:E246,B226:B246)</x:f>
        <x:v>0.7371762893670607</x:v>
      </x:c>
      <x:c r="J226" t="n">
        <x:f>RSQ(E226:E246,B226:B246)</x:f>
        <x:v>0.99941982130724</x:v>
      </x:c>
      <x:c r="K226" t="n">
        <x:f>IF(I226&gt;0,'Config'!$B$17/I226,"")</x:f>
        <x:v>1356.527623614427</x:v>
      </x:c>
      <x:c r="L226" t="n">
        <x:f>MAX(D226:D246)</x:f>
        <x:v>0.001328872959887199</x:v>
      </x:c>
      <x:c r="M226" t="str">
        <x:f>IF(AND(H226&gt;='Config'!$B$14,J226&gt;='Config'!$B$15,L226&lt;=$E$4,I226&gt;0),K226,"")</x:f>
      </x:c>
      <x:c r="N226" t="str">
        <x:f>IF(AND(M226&lt;&gt;"",ABS(M226-$G$4)&lt;='Config'!$B$22),"SELECTED","")</x:f>
      </x:c>
    </x:row>
    <x:row r="227">
      <x:c r="A227" t="n">
        <x:v>463</x:v>
      </x:c>
      <x:c r="B227" t="n">
        <x:f>VALUE('Raw_Data'!I463)</x:f>
        <x:v>0.9000000000000008</x:v>
      </x:c>
      <x:c r="C227" t="n">
        <x:f>ROUND(B227,'Config'!$B$25)</x:f>
        <x:v>0.9</x:v>
      </x:c>
      <x:c r="D227" t="n">
        <x:f>VALUE('Raw_Data'!J463)</x:f>
        <x:v>0.001131670437802516</x:v>
      </x:c>
      <x:c r="E227" t="n">
        <x:f>LN(ABS(D227))/LN(10)</x:f>
        <x:v>-2.946280028874192</x:v>
      </x:c>
      <x:c r="F227" t="n">
        <x:f>B227</x:f>
        <x:v>0.9000000000000008</x:v>
      </x:c>
      <x:c r="G227" t="n">
        <x:f>B247</x:f>
        <x:v>1.000000000000001</x:v>
      </x:c>
      <x:c r="H227" t="n">
        <x:f>MAX(E227:E247)-MIN(E227:E247)</x:f>
        <x:v>0.07312749348778036</x:v>
      </x:c>
      <x:c r="I227" t="n">
        <x:f>SLOPE(E227:E247,B227:B247)</x:f>
        <x:v>0.7306448758067107</x:v>
      </x:c>
      <x:c r="J227" t="n">
        <x:f>RSQ(E227:E247,B227:B247)</x:f>
        <x:v>0.9994293609512652</x:v>
      </x:c>
      <x:c r="K227" t="n">
        <x:f>IF(I227&gt;0,'Config'!$B$17/I227,"")</x:f>
        <x:v>1368.6539564051445</x:v>
      </x:c>
      <x:c r="L227" t="n">
        <x:f>MAX(D227:D247)</x:f>
        <x:v>0.001339206241155616</x:v>
      </x:c>
      <x:c r="M227" t="str">
        <x:f>IF(AND(H227&gt;='Config'!$B$14,J227&gt;='Config'!$B$15,L227&lt;=$E$4,I227&gt;0),K227,"")</x:f>
      </x:c>
      <x:c r="N227" t="str">
        <x:f>IF(AND(M227&lt;&gt;"",ABS(M227-$G$4)&lt;='Config'!$B$22),"SELECTED","")</x:f>
      </x:c>
    </x:row>
    <x:row r="228">
      <x:c r="A228" t="n">
        <x:v>464</x:v>
      </x:c>
      <x:c r="B228" t="n">
        <x:f>VALUE('Raw_Data'!I464)</x:f>
        <x:v>0.9050000000000008</x:v>
      </x:c>
      <x:c r="C228" t="n">
        <x:f>ROUND(B228,'Config'!$B$25)</x:f>
        <x:v>0.905</x:v>
      </x:c>
      <x:c r="D228" t="n">
        <x:f>VALUE('Raw_Data'!J464)</x:f>
        <x:v>0.001142089870293109</x:v>
      </x:c>
      <x:c r="E228" t="n">
        <x:f>LN(ABS(D228))/LN(10)</x:f>
        <x:v>-2.9422997204012784</x:v>
      </x:c>
      <x:c r="F228"/>
      <x:c r="G228"/>
      <x:c r="H228"/>
      <x:c r="I228"/>
      <x:c r="J228"/>
      <x:c r="K228"/>
      <x:c r="L228"/>
      <x:c r="M228"/>
      <x:c r="N228"/>
    </x:row>
    <x:row r="229">
      <x:c r="A229" t="n">
        <x:v>465</x:v>
      </x:c>
      <x:c r="B229" t="n">
        <x:f>VALUE('Raw_Data'!I465)</x:f>
        <x:v>0.9100000000000008</x:v>
      </x:c>
      <x:c r="C229" t="n">
        <x:f>ROUND(B229,'Config'!$B$25)</x:f>
        <x:v>0.91</x:v>
      </x:c>
      <x:c r="D229" t="n">
        <x:f>VALUE('Raw_Data'!J465)</x:f>
        <x:v>0.001152504883206628</x:v>
      </x:c>
      <x:c r="E229" t="n">
        <x:f>LN(ABS(D229))/LN(10)</x:f>
        <x:v>-2.9383572258123274</x:v>
      </x:c>
      <x:c r="F229"/>
      <x:c r="G229"/>
      <x:c r="H229"/>
      <x:c r="I229"/>
      <x:c r="J229"/>
      <x:c r="K229"/>
      <x:c r="L229"/>
      <x:c r="M229"/>
      <x:c r="N229"/>
    </x:row>
    <x:row r="230">
      <x:c r="A230" t="n">
        <x:v>466</x:v>
      </x:c>
      <x:c r="B230" t="n">
        <x:f>VALUE('Raw_Data'!I466)</x:f>
        <x:v>0.9150000000000008</x:v>
      </x:c>
      <x:c r="C230" t="n">
        <x:f>ROUND(B230,'Config'!$B$25)</x:f>
        <x:v>0.915</x:v>
      </x:c>
      <x:c r="D230" t="n">
        <x:f>VALUE('Raw_Data'!J466)</x:f>
        <x:v>0.001162915468880342</x:v>
      </x:c>
      <x:c r="E230" t="n">
        <x:f>LN(ABS(D230))/LN(10)</x:f>
        <x:v>-2.9344518525398584</x:v>
      </x:c>
      <x:c r="F230"/>
      <x:c r="G230"/>
      <x:c r="H230"/>
      <x:c r="I230"/>
      <x:c r="J230"/>
      <x:c r="K230"/>
      <x:c r="L230"/>
      <x:c r="M230"/>
      <x:c r="N230"/>
    </x:row>
    <x:row r="231">
      <x:c r="A231" t="n">
        <x:v>467</x:v>
      </x:c>
      <x:c r="B231" t="n">
        <x:f>VALUE('Raw_Data'!I467)</x:f>
        <x:v>0.9200000000000008</x:v>
      </x:c>
      <x:c r="C231" t="n">
        <x:f>ROUND(B231,'Config'!$B$25)</x:f>
        <x:v>0.92</x:v>
      </x:c>
      <x:c r="D231" t="n">
        <x:f>VALUE('Raw_Data'!J467)</x:f>
        <x:v>0.001173321618719588</x:v>
      </x:c>
      <x:c r="E231" t="n">
        <x:f>LN(ABS(D231))/LN(10)</x:f>
        <x:v>-2.9305829272791772</x:v>
      </x:c>
      <x:c r="F231"/>
      <x:c r="G231"/>
      <x:c r="H231"/>
      <x:c r="I231"/>
      <x:c r="J231"/>
      <x:c r="K231"/>
      <x:c r="L231"/>
      <x:c r="M231"/>
      <x:c r="N231"/>
    </x:row>
    <x:row r="232">
      <x:c r="A232" t="n">
        <x:v>468</x:v>
      </x:c>
      <x:c r="B232" t="n">
        <x:f>VALUE('Raw_Data'!I468)</x:f>
        <x:v>0.9250000000000008</x:v>
      </x:c>
      <x:c r="C232" t="n">
        <x:f>ROUND(B232,'Config'!$B$25)</x:f>
        <x:v>0.925</x:v>
      </x:c>
      <x:c r="D232" t="n">
        <x:f>VALUE('Raw_Data'!J468)</x:f>
        <x:v>0.001183723323200299</x:v>
      </x:c>
      <x:c r="E232" t="n">
        <x:f>LN(ABS(D232))/LN(10)</x:f>
        <x:v>-2.92674979528958</x:v>
      </x:c>
      <x:c r="F232"/>
      <x:c r="G232"/>
      <x:c r="H232"/>
      <x:c r="I232"/>
      <x:c r="J232"/>
      <x:c r="K232"/>
      <x:c r="L232"/>
      <x:c r="M232"/>
      <x:c r="N232"/>
    </x:row>
    <x:row r="233">
      <x:c r="A233" t="n">
        <x:v>469</x:v>
      </x:c>
      <x:c r="B233" t="n">
        <x:f>VALUE('Raw_Data'!I469)</x:f>
        <x:v>0.9300000000000008</x:v>
      </x:c>
      <x:c r="C233" t="n">
        <x:f>ROUND(B233,'Config'!$B$25)</x:f>
        <x:v>0.93</x:v>
      </x:c>
      <x:c r="D233" t="n">
        <x:f>VALUE('Raw_Data'!J469)</x:f>
        <x:v>0.001194120571874382</x:v>
      </x:c>
      <x:c r="E233" t="n">
        <x:f>LN(ABS(D233))/LN(10)</x:f>
        <x:v>-2.9229518197259017</x:v>
      </x:c>
      <x:c r="F233"/>
      <x:c r="G233"/>
      <x:c r="H233"/>
      <x:c r="I233"/>
      <x:c r="J233"/>
      <x:c r="K233"/>
      <x:c r="L233"/>
      <x:c r="M233"/>
      <x:c r="N233"/>
    </x:row>
    <x:row r="234">
      <x:c r="A234" t="n">
        <x:v>470</x:v>
      </x:c>
      <x:c r="B234" t="n">
        <x:f>VALUE('Raw_Data'!I470)</x:f>
        <x:v>0.9350000000000008</x:v>
      </x:c>
      <x:c r="C234" t="n">
        <x:f>ROUND(B234,'Config'!$B$25)</x:f>
        <x:v>0.935</x:v>
      </x:c>
      <x:c r="D234" t="n">
        <x:f>VALUE('Raw_Data'!J470)</x:f>
        <x:v>0.00120451335337756</x:v>
      </x:c>
      <x:c r="E234" t="n">
        <x:f>LN(ABS(D234))/LN(10)</x:f>
        <x:v>-2.919188380998935</x:v>
      </x:c>
      <x:c r="F234"/>
      <x:c r="G234"/>
      <x:c r="H234"/>
      <x:c r="I234"/>
      <x:c r="J234"/>
      <x:c r="K234"/>
      <x:c r="L234"/>
      <x:c r="M234"/>
      <x:c r="N234"/>
    </x:row>
    <x:row r="235">
      <x:c r="A235" t="n">
        <x:v>471</x:v>
      </x:c>
      <x:c r="B235" t="n">
        <x:f>VALUE('Raw_Data'!I471)</x:f>
        <x:v>0.9400000000000008</x:v>
      </x:c>
      <x:c r="C235" t="n">
        <x:f>ROUND(B235,'Config'!$B$25)</x:f>
        <x:v>0.94</x:v>
      </x:c>
      <x:c r="D235" t="n">
        <x:f>VALUE('Raw_Data'!J471)</x:f>
        <x:v>0.00121490165543932</x:v>
      </x:c>
      <x:c r="E235" t="n">
        <x:f>LN(ABS(D235))/LN(10)</x:f>
        <x:v>-2.9154588761633304</x:v>
      </x:c>
      <x:c r="F235"/>
      <x:c r="G235"/>
      <x:c r="H235"/>
      <x:c r="I235"/>
      <x:c r="J235"/>
      <x:c r="K235"/>
      <x:c r="L235"/>
      <x:c r="M235"/>
      <x:c r="N235"/>
    </x:row>
    <x:row r="236">
      <x:c r="A236" t="n">
        <x:v>472</x:v>
      </x:c>
      <x:c r="B236" t="n">
        <x:f>VALUE('Raw_Data'!I472)</x:f>
        <x:v>0.9450000000000008</x:v>
      </x:c>
      <x:c r="C236" t="n">
        <x:f>ROUND(B236,'Config'!$B$25)</x:f>
        <x:v>0.945</x:v>
      </x:c>
      <x:c r="D236" t="n">
        <x:f>VALUE('Raw_Data'!J472)</x:f>
        <x:v>0.001225285464894685</x:v>
      </x:c>
      <x:c r="E236" t="n">
        <x:f>LN(ABS(D236))/LN(10)</x:f>
        <x:v>-2.9117627183316284</x:v>
      </x:c>
      <x:c r="F236"/>
      <x:c r="G236"/>
      <x:c r="H236"/>
      <x:c r="I236"/>
      <x:c r="J236"/>
      <x:c r="K236"/>
      <x:c r="L236"/>
      <x:c r="M236"/>
      <x:c r="N236"/>
    </x:row>
    <x:row r="237">
      <x:c r="A237" t="n">
        <x:v>473</x:v>
      </x:c>
      <x:c r="B237" t="n">
        <x:f>VALUE('Raw_Data'!I473)</x:f>
        <x:v>0.9500000000000008</x:v>
      </x:c>
      <x:c r="C237" t="n">
        <x:f>ROUND(B237,'Config'!$B$25)</x:f>
        <x:v>0.95</x:v>
      </x:c>
      <x:c r="D237" t="n">
        <x:f>VALUE('Raw_Data'!J473)</x:f>
        <x:v>0.001235664767697483</x:v>
      </x:c>
      <x:c r="E237" t="n">
        <x:f>LN(ABS(D237))/LN(10)</x:f>
        <x:v>-2.9080993361131937</x:v>
      </x:c>
      <x:c r="F237"/>
      <x:c r="G237"/>
      <x:c r="H237"/>
      <x:c r="I237"/>
      <x:c r="J237"/>
      <x:c r="K237"/>
      <x:c r="L237"/>
      <x:c r="M237"/>
      <x:c r="N237"/>
    </x:row>
    <x:row r="238">
      <x:c r="A238" t="n">
        <x:v>474</x:v>
      </x:c>
      <x:c r="B238" t="n">
        <x:f>VALUE('Raw_Data'!I474)</x:f>
        <x:v>0.9550000000000008</x:v>
      </x:c>
      <x:c r="C238" t="n">
        <x:f>ROUND(B238,'Config'!$B$25)</x:f>
        <x:v>0.955</x:v>
      </x:c>
      <x:c r="D238" t="n">
        <x:f>VALUE('Raw_Data'!J474)</x:f>
        <x:v>0.001246039548934875</x:v>
      </x:c>
      <x:c r="E238" t="n">
        <x:f>LN(ABS(D238))/LN(10)</x:f>
        <x:v>-2.9044681730768493</x:v>
      </x:c>
      <x:c r="F238"/>
      <x:c r="G238"/>
      <x:c r="H238"/>
      <x:c r="I238"/>
      <x:c r="J238"/>
      <x:c r="K238"/>
      <x:c r="L238"/>
      <x:c r="M238"/>
      <x:c r="N238"/>
    </x:row>
    <x:row r="239">
      <x:c r="A239" t="n">
        <x:v>475</x:v>
      </x:c>
      <x:c r="B239" t="n">
        <x:f>VALUE('Raw_Data'!I475)</x:f>
        <x:v>0.9600000000000009</x:v>
      </x:c>
      <x:c r="C239" t="n">
        <x:f>ROUND(B239,'Config'!$B$25)</x:f>
        <x:v>0.96</x:v>
      </x:c>
      <x:c r="D239" t="n">
        <x:f>VALUE('Raw_Data'!J475)</x:f>
        <x:v>0.001256409792842924</x:v>
      </x:c>
      <x:c r="E239" t="n">
        <x:f>LN(ABS(D239))/LN(10)</x:f>
        <x:v>-2.9008686872360685</x:v>
      </x:c>
      <x:c r="F239"/>
      <x:c r="G239"/>
      <x:c r="H239"/>
      <x:c r="I239"/>
      <x:c r="J239"/>
      <x:c r="K239"/>
      <x:c r="L239"/>
      <x:c r="M239"/>
      <x:c r="N239"/>
    </x:row>
    <x:row r="240">
      <x:c r="A240" t="n">
        <x:v>476</x:v>
      </x:c>
      <x:c r="B240" t="n">
        <x:f>VALUE('Raw_Data'!I476)</x:f>
        <x:v>0.9650000000000009</x:v>
      </x:c>
      <x:c r="C240" t="n">
        <x:f>ROUND(B240,'Config'!$B$25)</x:f>
        <x:v>0.965</x:v>
      </x:c>
      <x:c r="D240" t="n">
        <x:f>VALUE('Raw_Data'!J476)</x:f>
        <x:v>0.001266775482822979</x:v>
      </x:c>
      <x:c r="E240" t="n">
        <x:f>LN(ABS(D240))/LN(10)</x:f>
        <x:v>-2.8973003505556743</x:v>
      </x:c>
      <x:c r="F240"/>
      <x:c r="G240"/>
      <x:c r="H240"/>
      <x:c r="I240"/>
      <x:c r="J240"/>
      <x:c r="K240"/>
      <x:c r="L240"/>
      <x:c r="M240"/>
      <x:c r="N240"/>
    </x:row>
    <x:row r="241">
      <x:c r="A241" t="n">
        <x:v>477</x:v>
      </x:c>
      <x:c r="B241" t="n">
        <x:f>VALUE('Raw_Data'!I477)</x:f>
        <x:v>0.9700000000000009</x:v>
      </x:c>
      <x:c r="C241" t="n">
        <x:f>ROUND(B241,'Config'!$B$25)</x:f>
        <x:v>0.97</x:v>
      </x:c>
      <x:c r="D241" t="n">
        <x:f>VALUE('Raw_Data'!J477)</x:f>
        <x:v>0.001277136601458703</x:v>
      </x:c>
      <x:c r="E241" t="n">
        <x:f>LN(ABS(D241))/LN(10)</x:f>
        <x:v>-2.8937626484790027</x:v>
      </x:c>
      <x:c r="F241"/>
      <x:c r="G241"/>
      <x:c r="H241"/>
      <x:c r="I241"/>
      <x:c r="J241"/>
      <x:c r="K241"/>
      <x:c r="L241"/>
      <x:c r="M241"/>
      <x:c r="N241"/>
    </x:row>
    <x:row r="242">
      <x:c r="A242" t="n">
        <x:v>478</x:v>
      </x:c>
      <x:c r="B242" t="n">
        <x:f>VALUE('Raw_Data'!I478)</x:f>
        <x:v>0.9750000000000009</x:v>
      </x:c>
      <x:c r="C242" t="n">
        <x:f>ROUND(B242,'Config'!$B$25)</x:f>
        <x:v>0.975</x:v>
      </x:c>
      <x:c r="D242" t="n">
        <x:f>VALUE('Raw_Data'!J478)</x:f>
        <x:v>0.001287493130533544</x:v>
      </x:c>
      <x:c r="E242" t="n">
        <x:f>LN(ABS(D242))/LN(10)</x:f>
        <x:v>-2.8902550794746036</x:v>
      </x:c>
      <x:c r="F242"/>
      <x:c r="G242"/>
      <x:c r="H242"/>
      <x:c r="I242"/>
      <x:c r="J242"/>
      <x:c r="K242"/>
      <x:c r="L242"/>
      <x:c r="M242"/>
      <x:c r="N242"/>
    </x:row>
    <x:row r="243">
      <x:c r="A243" t="n">
        <x:v>479</x:v>
      </x:c>
      <x:c r="B243" t="n">
        <x:f>VALUE('Raw_Data'!I479)</x:f>
        <x:v>0.9800000000000009</x:v>
      </x:c>
      <x:c r="C243" t="n">
        <x:f>ROUND(B243,'Config'!$B$25)</x:f>
        <x:v>0.98</x:v>
      </x:c>
      <x:c r="D243" t="n">
        <x:f>VALUE('Raw_Data'!J479)</x:f>
        <x:v>0.001297845051048551</x:v>
      </x:c>
      <x:c r="E243" t="n">
        <x:f>LN(ABS(D243))/LN(10)</x:f>
        <x:v>-2.8867771546015164</x:v>
      </x:c>
      <x:c r="F243"/>
      <x:c r="G243"/>
      <x:c r="H243"/>
      <x:c r="I243"/>
      <x:c r="J243"/>
      <x:c r="K243"/>
      <x:c r="L243"/>
      <x:c r="M243"/>
      <x:c r="N243"/>
    </x:row>
    <x:row r="244">
      <x:c r="A244" t="n">
        <x:v>480</x:v>
      </x:c>
      <x:c r="B244" t="n">
        <x:f>VALUE('Raw_Data'!I480)</x:f>
        <x:v>0.9850000000000009</x:v>
      </x:c>
      <x:c r="C244" t="n">
        <x:f>ROUND(B244,'Config'!$B$25)</x:f>
        <x:v>0.985</x:v>
      </x:c>
      <x:c r="D244" t="n">
        <x:f>VALUE('Raw_Data'!J480)</x:f>
        <x:v>0.001308192343240366</x:v>
      </x:c>
      <x:c r="E244" t="n">
        <x:f>LN(ABS(D244))/LN(10)</x:f>
        <x:v>-2.8833283970922885</x:v>
      </x:c>
      <x:c r="F244"/>
      <x:c r="G244"/>
      <x:c r="H244"/>
      <x:c r="I244"/>
      <x:c r="J244"/>
      <x:c r="K244"/>
      <x:c r="L244"/>
      <x:c r="M244"/>
      <x:c r="N244"/>
    </x:row>
    <x:row r="245">
      <x:c r="A245" t="n">
        <x:v>481</x:v>
      </x:c>
      <x:c r="B245" t="n">
        <x:f>VALUE('Raw_Data'!I481)</x:f>
        <x:v>0.9900000000000009</x:v>
      </x:c>
      <x:c r="C245" t="n">
        <x:f>ROUND(B245,'Config'!$B$25)</x:f>
        <x:v>0.99</x:v>
      </x:c>
      <x:c r="D245" t="n">
        <x:f>VALUE('Raw_Data'!J481)</x:f>
        <x:v>0.00131853498659927</x:v>
      </x:c>
      <x:c r="E245" t="n">
        <x:f>LN(ABS(D245))/LN(10)</x:f>
        <x:v>-2.879908341952903</x:v>
      </x:c>
      <x:c r="F245"/>
      <x:c r="G245"/>
      <x:c r="H245"/>
      <x:c r="I245"/>
      <x:c r="J245"/>
      <x:c r="K245"/>
      <x:c r="L245"/>
      <x:c r="M245"/>
      <x:c r="N245"/>
    </x:row>
    <x:row r="246">
      <x:c r="A246" t="n">
        <x:v>482</x:v>
      </x:c>
      <x:c r="B246" t="n">
        <x:f>VALUE('Raw_Data'!I482)</x:f>
        <x:v>0.9950000000000009</x:v>
      </x:c>
      <x:c r="C246" t="n">
        <x:f>ROUND(B246,'Config'!$B$25)</x:f>
        <x:v>0.995</x:v>
      </x:c>
      <x:c r="D246" t="n">
        <x:f>VALUE('Raw_Data'!J482)</x:f>
        <x:v>0.001328872959887199</x:v>
      </x:c>
      <x:c r="E246" t="n">
        <x:f>LN(ABS(D246))/LN(10)</x:f>
        <x:v>-2.8765165355788205</x:v>
      </x:c>
      <x:c r="F246"/>
      <x:c r="G246"/>
      <x:c r="H246"/>
      <x:c r="I246"/>
      <x:c r="J246"/>
      <x:c r="K246"/>
      <x:c r="L246"/>
      <x:c r="M246"/>
      <x:c r="N246"/>
    </x:row>
    <x:row r="247">
      <x:c r="A247" t="n">
        <x:v>483</x:v>
      </x:c>
      <x:c r="B247" t="n">
        <x:f>VALUE('Raw_Data'!I483)</x:f>
        <x:v>1.000000000000001</x:v>
      </x:c>
      <x:c r="C247" t="n">
        <x:f>ROUND(B247,'Config'!$B$25)</x:f>
        <x:v>1</x:v>
      </x:c>
      <x:c r="D247" t="n">
        <x:f>VALUE('Raw_Data'!J483)</x:f>
        <x:v>0.001339206241155616</x:v>
      </x:c>
      <x:c r="E247" t="n">
        <x:f>LN(ABS(D247))/LN(10)</x:f>
        <x:v>-2.873152535386412</x:v>
      </x:c>
      <x:c r="F247"/>
      <x:c r="G247"/>
      <x:c r="H247"/>
      <x:c r="I247"/>
      <x:c r="J247"/>
      <x:c r="K247"/>
      <x:c r="L247"/>
      <x:c r="M247"/>
      <x:c r="N247"/>
    </x:row>
  </x:sheetData>
  <x:mergeCells>
    <x:mergeCell ref="A1:N1"/>
    <x:mergeCell ref="A2:N2"/>
  </x:mergeCells>
  <x:conditionalFormatting sqref="N7:N187">
    <x:cfRule type="containsText" dxfId="0" priority="1" operator="containsText" text="SELECTED"/>
  </x:conditionalFormatting>
  <x:conditionalFormatting sqref="N4:N4">
    <x:cfRule type="containsText" dxfId="1" priority="2" operator="containsText" text="PASS"/>
  </x:conditionalFormatting>
  <x:conditionalFormatting sqref="N188:N227">
    <x:cfRule type="expression" dxfId="10" priority="3">
      <x:formula>N188="SELECTED"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6" hidden="0" customWidth="1"/>
    <x:col min="5" max="5" width="13" hidden="0" customWidth="1"/>
    <x:col min="6" max="6" width="16" hidden="0" customWidth="1"/>
    <x:col min="7" max="7" width="16" hidden="0" customWidth="1"/>
    <x:col min="8" max="8" width="13" hidden="0" customWidth="1"/>
    <x:col min="9" max="9" width="17" hidden="0" customWidth="1"/>
    <x:col min="10" max="10" width="17" hidden="0" customWidth="1"/>
    <x:col min="11" max="11" width="14" hidden="0" customWidth="1"/>
    <x:col min="12" max="12" width="16" hidden="0" customWidth="1"/>
    <x:col min="13" max="13" width="15" hidden="0" customWidth="1"/>
    <x:col min="14" max="14" width="13" hidden="0" customWidth="1"/>
  </x:cols>
  <x:sheetData>
    <x:row r="1" ht="30" customHeight="1">
      <x:c r="A1" s="4" t="str">
        <x:v>LP — Excel Cross-Implementation SS Sliding-Window Check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9" t="str">
        <x:v>All 21-point regression windows are recalculated from the processed common 1.0 V curve in Raw_Data.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</x:row>
    <x:row r="3" ht="30" customHeight="1">
      <x:c r="A3" s="11" t="str">
        <x:v>Model</x:v>
      </x:c>
      <x:c r="B3" s="11" t="str">
        <x:v>Raw rows</x:v>
      </x:c>
      <x:c r="C3" s="11" t="str">
        <x:v>Ion_A</x:v>
      </x:c>
      <x:c r="D3" s="11" t="str">
        <x:v>Ioff_A</x:v>
      </x:c>
      <x:c r="E3" s="11" t="str">
        <x:v>Max ID allowed</x:v>
      </x:c>
      <x:c r="F3" s="11" t="str">
        <x:v>Eligible windows</x:v>
      </x:c>
      <x:c r="G3" s="11" t="str">
        <x:v>Selected SS</x:v>
      </x:c>
      <x:c r="H3" s="11" t="str">
        <x:v>VGS min</x:v>
      </x:c>
      <x:c r="I3" s="11" t="str">
        <x:v>VGS max</x:v>
      </x:c>
      <x:c r="J3" s="11" t="str">
        <x:v>R²</x:v>
      </x:c>
      <x:c r="K3" s="11" t="str">
        <x:v>Span (dec)</x:v>
      </x:c>
      <x:c r="L3" s="11" t="str">
        <x:v>Slope (dec/V)</x:v>
      </x:c>
      <x:c r="M3" s="11" t="str">
        <x:v>Max ID</x:v>
      </x:c>
      <x:c r="N3" s="11" t="str">
        <x:v>Status</x:v>
      </x:c>
    </x:row>
    <x:row r="4">
      <x:c r="A4" s="110" t="str">
        <x:v>LP</x:v>
      </x:c>
      <x:c r="B4" s="111" t="str">
        <x:v>1006:1246</x:v>
      </x:c>
      <x:c r="C4" s="113" t="n">
        <x:f>INDEX($D$7:$D$247,MATCH('Config'!$B$12,$C$7:$C$247,0))</x:f>
        <x:v>0.0004019845680949588</x:v>
      </x:c>
      <x:c r="D4" s="113" t="n">
        <x:f>INDEX($D$7:$D$247,MATCH(0,$C$7:$C$247,0))</x:f>
        <x:v>2.115036673217059e-11</x:v>
      </x:c>
      <x:c r="E4" s="113" t="n">
        <x:f>C4*'Config'!$B$16</x:f>
        <x:v>0.000004019845680949588</x:v>
      </x:c>
      <x:c r="F4" s="111" t="n">
        <x:f>COUNT($M$7:$M$227)</x:f>
        <x:v>99</x:v>
      </x:c>
      <x:c r="G4" s="114" t="n">
        <x:f>MIN($M$7:$M$227)</x:f>
        <x:v>86.64802452741195</x:v>
      </x:c>
      <x:c r="H4" s="114" t="n">
        <x:f>INDEX($F$7:$F$227,MATCH($G$4,$M$7:$M$227,0))</x:f>
        <x:v>0.0450000000000001</x:v>
      </x:c>
      <x:c r="I4" s="114" t="n">
        <x:f>INDEX($G$7:$G$227,MATCH($G$4,$M$7:$M$227,0))</x:f>
        <x:v>0.1450000000000002</x:v>
      </x:c>
      <x:c r="J4" s="115" t="n">
        <x:f>INDEX($J$7:$J$227,MATCH($G$4,$M$7:$M$227,0))</x:f>
        <x:v>0.9999942895690924</x:v>
      </x:c>
      <x:c r="K4" s="114" t="n">
        <x:f>INDEX($H$7:$H$227,MATCH($G$4,$M$7:$M$227,0))</x:f>
        <x:v>1.152864944503575</x:v>
      </x:c>
      <x:c r="L4" s="114" t="n">
        <x:f>INDEX($I$7:$I$227,MATCH($G$4,$M$7:$M$227,0))</x:f>
        <x:v>11.54094401406278</x:v>
      </x:c>
      <x:c r="M4" s="113" t="n">
        <x:f>INDEX($L$7:$L$227,MATCH($G$4,$M$7:$M$227,0))</x:f>
        <x:v>9.656613603731478e-10</x:v>
      </x:c>
      <x:c r="N4" s="112" t="str">
        <x:f>IF(COUNTIF($N$7:$N$227,"SELECTED")=1,"PASS","CHECK")</x:f>
        <x:v>PASS</x:v>
      </x:c>
    </x:row>
    <x:row r="6" ht="30" customHeight="1">
      <x:c r="A6" s="11" t="str">
        <x:v>Raw row</x:v>
      </x:c>
      <x:c r="B6" s="11" t="str">
        <x:v>VGS_V</x:v>
      </x:c>
      <x:c r="C6" s="11" t="str">
        <x:v>VGS_key</x:v>
      </x:c>
      <x:c r="D6" s="11" t="str">
        <x:v>ID_A</x:v>
      </x:c>
      <x:c r="E6" s="11" t="str">
        <x:v>LOG10_ID</x:v>
      </x:c>
      <x:c r="F6" s="11" t="str">
        <x:v>Window start VGS</x:v>
      </x:c>
      <x:c r="G6" s="11" t="str">
        <x:v>Window end VGS</x:v>
      </x:c>
      <x:c r="H6" s="11" t="str">
        <x:v>Span_dec</x:v>
      </x:c>
      <x:c r="I6" s="11" t="str">
        <x:v>Slope_dec_per_V</x:v>
      </x:c>
      <x:c r="J6" s="11" t="str">
        <x:v>R_squared</x:v>
      </x:c>
      <x:c r="K6" s="11" t="str">
        <x:v>SS_mV_dec</x:v>
      </x:c>
      <x:c r="L6" s="11" t="str">
        <x:v>Max_ID_A</x:v>
      </x:c>
      <x:c r="M6" s="11" t="str">
        <x:v>Eligible_SS</x:v>
      </x:c>
      <x:c r="N6" s="11" t="str">
        <x:v>Selection</x:v>
      </x:c>
    </x:row>
    <x:row r="7">
      <x:c r="A7" s="12" t="n">
        <x:v>1006</x:v>
      </x:c>
      <x:c r="B7" s="116" t="n">
        <x:f>VALUE('Raw_Data'!I1006)</x:f>
        <x:v>-0.2</x:v>
      </x:c>
      <x:c r="C7" s="116" t="n">
        <x:f>ROUND(B7,'Config'!$B$25)</x:f>
        <x:v>-0.2</x:v>
      </x:c>
      <x:c r="D7" s="119" t="n">
        <x:f>VALUE('Raw_Data'!J1006)</x:f>
        <x:v>1.114393572961754e-12</x:v>
      </x:c>
      <x:c r="E7" s="116" t="n">
        <x:f>LN(ABS(D7))/LN(10)</x:f>
        <x:v>-11.95296140128195</x:v>
      </x:c>
      <x:c r="F7" s="116" t="n">
        <x:f>B7</x:f>
        <x:v>-0.2</x:v>
      </x:c>
      <x:c r="G7" s="116" t="n">
        <x:f>B27</x:f>
        <x:v>-0.09999999999999992</x:v>
      </x:c>
      <x:c r="H7" s="116" t="n">
        <x:f>MAX(E7:E27)-MIN(E7:E27)</x:f>
        <x:v>0.33392797772939176</x:v>
      </x:c>
      <x:c r="I7" s="116" t="n">
        <x:f>SLOPE(E7:E27,B7:B27)</x:f>
        <x:v>3.261613509377713</x:v>
      </x:c>
      <x:c r="J7" s="122" t="n">
        <x:f>RSQ(E7:E27,B7:B27)</x:f>
        <x:v>0.9414028191595408</x:v>
      </x:c>
      <x:c r="K7" s="116" t="n">
        <x:f>IF(I7&gt;0,'Config'!$B$17/I7,"")</x:f>
        <x:v>306.5967188095168</x:v>
      </x:c>
      <x:c r="L7" s="119" t="n">
        <x:f>MAX(D7:D27)</x:f>
        <x:v>2.404177765986292e-12</x:v>
      </x:c>
      <x:c r="M7" s="119" t="str">
        <x:f>IF(AND(H7&gt;='Config'!$B$14,J7&gt;='Config'!$B$15,L7&lt;=$E$4,I7&gt;0),K7,"")</x:f>
      </x:c>
      <x:c r="N7" s="14" t="str">
        <x:f>IF(AND(M7&lt;&gt;"",ABS(M7-$G$4)&lt;='Config'!$B$22),"SELECTED","")</x:f>
      </x:c>
    </x:row>
    <x:row r="8">
      <x:c r="A8" s="15" t="n">
        <x:v>1007</x:v>
      </x:c>
      <x:c r="B8" s="117" t="n">
        <x:f>VALUE('Raw_Data'!I1007)</x:f>
        <x:v>-0.195</x:v>
      </x:c>
      <x:c r="C8" s="117" t="n">
        <x:f>ROUND(B8,'Config'!$B$25)</x:f>
        <x:v>-0.195</x:v>
      </x:c>
      <x:c r="D8" s="120" t="n">
        <x:f>VALUE('Raw_Data'!J1007)</x:f>
        <x:v>1.124728504302294e-12</x:v>
      </x:c>
      <x:c r="E8" s="117" t="n">
        <x:f>LN(ABS(D8))/LN(10)</x:f>
        <x:v>-11.948952298275405</x:v>
      </x:c>
      <x:c r="F8" s="117" t="n">
        <x:f>B8</x:f>
        <x:v>-0.195</x:v>
      </x:c>
      <x:c r="G8" s="117" t="n">
        <x:f>B28</x:f>
        <x:v>-0.09499999999999992</x:v>
      </x:c>
      <x:c r="H8" s="117" t="n">
        <x:f>MAX(E8:E28)-MIN(E8:E28)</x:f>
        <x:v>0.3644933111724509</x:v>
      </x:c>
      <x:c r="I8" s="117" t="n">
        <x:f>SLOPE(E8:E28,B8:B28)</x:f>
        <x:v>3.5673471685111333</x:v>
      </x:c>
      <x:c r="J8" s="123" t="n">
        <x:f>RSQ(E8:E28,B8:B28)</x:f>
        <x:v>0.946431573522472</x:v>
      </x:c>
      <x:c r="K8" s="117" t="n">
        <x:f>IF(I8&gt;0,'Config'!$B$17/I8,"")</x:f>
        <x:v>280.3203480802121</x:v>
      </x:c>
      <x:c r="L8" s="120" t="n">
        <x:f>MAX(D8:D28)</x:f>
        <x:v>2.60340067369274e-12</x:v>
      </x:c>
      <x:c r="M8" s="120" t="str">
        <x:f>IF(AND(H8&gt;='Config'!$B$14,J8&gt;='Config'!$B$15,L8&lt;=$E$4,I8&gt;0),K8,"")</x:f>
      </x:c>
      <x:c r="N8" s="17" t="str">
        <x:f>IF(AND(M8&lt;&gt;"",ABS(M8-$G$4)&lt;='Config'!$B$22),"SELECTED","")</x:f>
      </x:c>
    </x:row>
    <x:row r="9">
      <x:c r="A9" s="15" t="n">
        <x:v>1008</x:v>
      </x:c>
      <x:c r="B9" s="117" t="n">
        <x:f>VALUE('Raw_Data'!I1008)</x:f>
        <x:v>-0.19</x:v>
      </x:c>
      <x:c r="C9" s="117" t="n">
        <x:f>ROUND(B9,'Config'!$B$25)</x:f>
        <x:v>-0.19</x:v>
      </x:c>
      <x:c r="D9" s="120" t="n">
        <x:f>VALUE('Raw_Data'!J1008)</x:f>
        <x:v>1.139010516579071e-12</x:v>
      </x:c>
      <x:c r="E9" s="117" t="n">
        <x:f>LN(ABS(D9))/LN(10)</x:f>
        <x:v>-11.943472266025223</x:v>
      </x:c>
      <x:c r="F9" s="117" t="n">
        <x:f>B9</x:f>
        <x:v>-0.19</x:v>
      </x:c>
      <x:c r="G9" s="117" t="n">
        <x:f>B29</x:f>
        <x:v>-0.08999999999999991</x:v>
      </x:c>
      <x:c r="H9" s="117" t="n">
        <x:f>MAX(E9:E29)-MIN(E9:E29)</x:f>
        <x:v>0.39542538693644325</x:v>
      </x:c>
      <x:c r="I9" s="117" t="n">
        <x:f>SLOPE(E9:E29,B9:B29)</x:f>
        <x:v>3.883397398822409</x:v>
      </x:c>
      <x:c r="J9" s="123" t="n">
        <x:f>RSQ(E9:E29,B9:B29)</x:f>
        <x:v>0.9508857524661894</x:v>
      </x:c>
      <x:c r="K9" s="117" t="n">
        <x:f>IF(I9&gt;0,'Config'!$B$17/I9,"")</x:f>
        <x:v>257.5064813874669</x:v>
      </x:c>
      <x:c r="L9" s="120" t="n">
        <x:f>MAX(D9:D29)</x:f>
        <x:v>2.831086383090201e-12</x:v>
      </x:c>
      <x:c r="M9" s="120" t="str">
        <x:f>IF(AND(H9&gt;='Config'!$B$14,J9&gt;='Config'!$B$15,L9&lt;=$E$4,I9&gt;0),K9,"")</x:f>
      </x:c>
      <x:c r="N9" s="17" t="str">
        <x:f>IF(AND(M9&lt;&gt;"",ABS(M9-$G$4)&lt;='Config'!$B$22),"SELECTED","")</x:f>
      </x:c>
    </x:row>
    <x:row r="10">
      <x:c r="A10" s="15" t="n">
        <x:v>1009</x:v>
      </x:c>
      <x:c r="B10" s="117" t="n">
        <x:f>VALUE('Raw_Data'!I1009)</x:f>
        <x:v>-0.185</x:v>
      </x:c>
      <x:c r="C10" s="117" t="n">
        <x:f>ROUND(B10,'Config'!$B$25)</x:f>
        <x:v>-0.185</x:v>
      </x:c>
      <x:c r="D10" s="120" t="n">
        <x:f>VALUE('Raw_Data'!J1009)</x:f>
        <x:v>1.155990295001871e-12</x:v>
      </x:c>
      <x:c r="E10" s="117" t="n">
        <x:f>LN(ABS(D10))/LN(10)</x:f>
        <x:v>-11.937045811975027</x:v>
      </x:c>
      <x:c r="F10" s="117" t="n">
        <x:f>B10</x:f>
        <x:v>-0.185</x:v>
      </x:c>
      <x:c r="G10" s="117" t="n">
        <x:f>B30</x:f>
        <x:v>-0.08499999999999991</x:v>
      </x:c>
      <x:c r="H10" s="117" t="n">
        <x:f>MAX(E10:E30)-MIN(E10:E30)</x:f>
        <x:v>0.42718697613794454</x:v>
      </x:c>
      <x:c r="I10" s="117" t="n">
        <x:f>SLOPE(E10:E30,B10:B30)</x:f>
        <x:v>4.210163309155072</x:v>
      </x:c>
      <x:c r="J10" s="123" t="n">
        <x:f>RSQ(E10:E30,B10:B30)</x:f>
        <x:v>0.9551098569426686</x:v>
      </x:c>
      <x:c r="K10" s="117" t="n">
        <x:f>IF(I10&gt;0,'Config'!$B$17/I10,"")</x:f>
        <x:v>237.52047760842981</x:v>
      </x:c>
      <x:c r="L10" s="120" t="n">
        <x:f>MAX(D10:D30)</x:f>
        <x:v>3.091300073124645e-12</x:v>
      </x:c>
      <x:c r="M10" s="120" t="str">
        <x:f>IF(AND(H10&gt;='Config'!$B$14,J10&gt;='Config'!$B$15,L10&lt;=$E$4,I10&gt;0),K10,"")</x:f>
      </x:c>
      <x:c r="N10" s="17" t="str">
        <x:f>IF(AND(M10&lt;&gt;"",ABS(M10-$G$4)&lt;='Config'!$B$22),"SELECTED","")</x:f>
      </x:c>
    </x:row>
    <x:row r="11">
      <x:c r="A11" s="15" t="n">
        <x:v>1010</x:v>
      </x:c>
      <x:c r="B11" s="117" t="n">
        <x:f>VALUE('Raw_Data'!I1010)</x:f>
        <x:v>-0.18</x:v>
      </x:c>
      <x:c r="C11" s="117" t="n">
        <x:f>ROUND(B11,'Config'!$B$25)</x:f>
        <x:v>-0.18</x:v>
      </x:c>
      <x:c r="D11" s="120" t="n">
        <x:f>VALUE('Raw_Data'!J1010)</x:f>
        <x:v>1.175859685930556e-12</x:v>
      </x:c>
      <x:c r="E11" s="117" t="n">
        <x:f>LN(ABS(D11))/LN(10)</x:f>
        <x:v>-11.929644499060695</x:v>
      </x:c>
      <x:c r="F11" s="117" t="n">
        <x:f>B11</x:f>
        <x:v>-0.18</x:v>
      </x:c>
      <x:c r="G11" s="117" t="n">
        <x:f>B31</x:f>
        <x:v>-0.0799999999999999</x:v>
      </x:c>
      <x:c r="H11" s="117" t="n">
        <x:f>MAX(E11:E31)-MIN(E11:E31)</x:f>
        <x:v>0.45967599263104475</x:v>
      </x:c>
      <x:c r="I11" s="117" t="n">
        <x:f>SLOPE(E11:E31,B11:B31)</x:f>
        <x:v>4.5462748970041895</x:v>
      </x:c>
      <x:c r="J11" s="123" t="n">
        <x:f>RSQ(E11:E31,B11:B31)</x:f>
        <x:v>0.9591512431420618</x:v>
      </x:c>
      <x:c r="K11" s="117" t="n">
        <x:f>IF(I11&gt;0,'Config'!$B$17/I11,"")</x:f>
        <x:v>219.9603021495597</x:v>
      </x:c>
      <x:c r="L11" s="120" t="n">
        <x:f>MAX(D11:D31)</x:f>
        <x:v>3.388687288649685e-12</x:v>
      </x:c>
      <x:c r="M11" s="120" t="str">
        <x:f>IF(AND(H11&gt;='Config'!$B$14,J11&gt;='Config'!$B$15,L11&lt;=$E$4,I11&gt;0),K11,"")</x:f>
      </x:c>
      <x:c r="N11" s="17" t="str">
        <x:f>IF(AND(M11&lt;&gt;"",ABS(M11-$G$4)&lt;='Config'!$B$22),"SELECTED","")</x:f>
      </x:c>
    </x:row>
    <x:row r="12">
      <x:c r="A12" s="15" t="n">
        <x:v>1011</x:v>
      </x:c>
      <x:c r="B12" s="117" t="n">
        <x:f>VALUE('Raw_Data'!I1011)</x:f>
        <x:v>-0.175</x:v>
      </x:c>
      <x:c r="C12" s="117" t="n">
        <x:f>ROUND(B12,'Config'!$B$25)</x:f>
        <x:v>-0.175</x:v>
      </x:c>
      <x:c r="D12" s="120" t="n">
        <x:f>VALUE('Raw_Data'!J1011)</x:f>
        <x:v>1.198891947305063e-12</x:v>
      </x:c>
      <x:c r="E12" s="117" t="n">
        <x:f>LN(ABS(D12))/LN(10)</x:f>
        <x:v>-11.921219956854268</x:v>
      </x:c>
      <x:c r="F12" s="117" t="n">
        <x:f>B12</x:f>
        <x:v>-0.175</x:v>
      </x:c>
      <x:c r="G12" s="117" t="n">
        <x:f>B32</x:f>
        <x:v>-0.0749999999999999</x:v>
      </x:c>
      <x:c r="H12" s="117" t="n">
        <x:f>MAX(E12:E32)-MIN(E12:E32)</x:f>
        <x:v>0.4927607116146113</x:v>
      </x:c>
      <x:c r="I12" s="117" t="n">
        <x:f>SLOPE(E12:E32,B12:B32)</x:f>
        <x:v>4.890030575349983</x:v>
      </x:c>
      <x:c r="J12" s="123" t="n">
        <x:f>RSQ(E12:E32,B12:B32)</x:f>
        <x:v>0.9630258974263973</x:v>
      </x:c>
      <x:c r="K12" s="117" t="n">
        <x:f>IF(I12&gt;0,'Config'!$B$17/I12,"")</x:f>
        <x:v>204.49769885711385</x:v>
      </x:c>
      <x:c r="L12" s="120" t="n">
        <x:f>MAX(D12:D32)</x:f>
        <x:v>3.728556725636688e-12</x:v>
      </x:c>
      <x:c r="M12" s="120" t="str">
        <x:f>IF(AND(H12&gt;='Config'!$B$14,J12&gt;='Config'!$B$15,L12&lt;=$E$4,I12&gt;0),K12,"")</x:f>
      </x:c>
      <x:c r="N12" s="17" t="str">
        <x:f>IF(AND(M12&lt;&gt;"",ABS(M12-$G$4)&lt;='Config'!$B$22),"SELECTED","")</x:f>
      </x:c>
    </x:row>
    <x:row r="13">
      <x:c r="A13" s="15" t="n">
        <x:v>1012</x:v>
      </x:c>
      <x:c r="B13" s="117" t="n">
        <x:f>VALUE('Raw_Data'!I1012)</x:f>
        <x:v>-0.17</x:v>
      </x:c>
      <x:c r="C13" s="117" t="n">
        <x:f>ROUND(B13,'Config'!$B$25)</x:f>
        <x:v>-0.17</x:v>
      </x:c>
      <x:c r="D13" s="120" t="n">
        <x:f>VALUE('Raw_Data'!J1012)</x:f>
        <x:v>1.225439278370611e-12</x:v>
      </x:c>
      <x:c r="E13" s="117" t="n">
        <x:f>LN(ABS(D13))/LN(10)</x:f>
        <x:v>-11.911708203564835</x:v>
      </x:c>
      <x:c r="F13" s="117" t="n">
        <x:f>B13</x:f>
        <x:v>-0.17</x:v>
      </x:c>
      <x:c r="G13" s="117" t="n">
        <x:f>B33</x:f>
        <x:v>-0.0699999999999999</x:v>
      </x:c>
      <x:c r="H13" s="117" t="n">
        <x:f>MAX(E13:E33)-MIN(E13:E33)</x:f>
        <x:v>0.5262864140944643</x:v>
      </x:c>
      <x:c r="I13" s="117" t="n">
        <x:f>SLOPE(E13:E33,B13:B33)</x:f>
        <x:v>5.239463985680847</x:v>
      </x:c>
      <x:c r="J13" s="123" t="n">
        <x:f>RSQ(E13:E33,B13:B33)</x:f>
        <x:v>0.9667318126078757</x:v>
      </x:c>
      <x:c r="K13" s="117" t="n">
        <x:f>IF(I13&gt;0,'Config'!$B$17/I13,"")</x:f>
        <x:v>190.85921818203968</x:v>
      </x:c>
      <x:c r="L13" s="120" t="n">
        <x:f>MAX(D13:D33)</x:f>
        <x:v>4.116974817444895e-12</x:v>
      </x:c>
      <x:c r="M13" s="120" t="str">
        <x:f>IF(AND(H13&gt;='Config'!$B$14,J13&gt;='Config'!$B$15,L13&lt;=$E$4,I13&gt;0),K13,"")</x:f>
      </x:c>
      <x:c r="N13" s="17" t="str">
        <x:f>IF(AND(M13&lt;&gt;"",ABS(M13-$G$4)&lt;='Config'!$B$22),"SELECTED","")</x:f>
      </x:c>
    </x:row>
    <x:row r="14">
      <x:c r="A14" s="15" t="n">
        <x:v>1013</x:v>
      </x:c>
      <x:c r="B14" s="117" t="n">
        <x:f>VALUE('Raw_Data'!I1013)</x:f>
        <x:v>-0.165</x:v>
      </x:c>
      <x:c r="C14" s="117" t="n">
        <x:f>ROUND(B14,'Config'!$B$25)</x:f>
        <x:v>-0.165</x:v>
      </x:c>
      <x:c r="D14" s="120" t="n">
        <x:f>VALUE('Raw_Data'!J1013)</x:f>
        <x:v>1.255933406559433e-12</x:v>
      </x:c>
      <x:c r="E14" s="117" t="n">
        <x:f>LN(ABS(D14))/LN(10)</x:f>
        <x:v>-11.90103338761355</x:v>
      </x:c>
      <x:c r="F14" s="117" t="n">
        <x:f>B14</x:f>
        <x:v>-0.165</x:v>
      </x:c>
      <x:c r="G14" s="117" t="n">
        <x:f>B34</x:f>
        <x:v>-0.06499999999999989</x:v>
      </x:c>
      <x:c r="H14" s="117" t="n">
        <x:f>MAX(E14:E34)-MIN(E14:E34)</x:f>
        <x:v>0.5600814429790457</x:v>
      </x:c>
      <x:c r="I14" s="117" t="n">
        <x:f>SLOPE(E14:E34,B14:B34)</x:f>
        <x:v>5.592411569299638</x:v>
      </x:c>
      <x:c r="J14" s="123" t="n">
        <x:f>RSQ(E14:E34,B14:B34)</x:f>
        <x:v>0.9702576389067025</x:v>
      </x:c>
      <x:c r="K14" s="117" t="n">
        <x:f>IF(I14&gt;0,'Config'!$B$17/I14,"")</x:f>
        <x:v>178.8137349349691</x:v>
      </x:c>
      <x:c r="L14" s="120" t="n">
        <x:f>MAX(D14:D34)</x:f>
        <x:v>4.56087379943123e-12</x:v>
      </x:c>
      <x:c r="M14" s="120" t="str">
        <x:f>IF(AND(H14&gt;='Config'!$B$14,J14&gt;='Config'!$B$15,L14&lt;=$E$4,I14&gt;0),K14,"")</x:f>
      </x:c>
      <x:c r="N14" s="17" t="str">
        <x:f>IF(AND(M14&lt;&gt;"",ABS(M14-$G$4)&lt;='Config'!$B$22),"SELECTED","")</x:f>
      </x:c>
    </x:row>
    <x:row r="15">
      <x:c r="A15" s="15" t="n">
        <x:v>1014</x:v>
      </x:c>
      <x:c r="B15" s="117" t="n">
        <x:f>VALUE('Raw_Data'!I1014)</x:f>
        <x:v>-0.16</x:v>
      </x:c>
      <x:c r="C15" s="117" t="n">
        <x:f>ROUND(B15,'Config'!$B$25)</x:f>
        <x:v>-0.16</x:v>
      </x:c>
      <x:c r="D15" s="120" t="n">
        <x:f>VALUE('Raw_Data'!J1014)</x:f>
        <x:v>1.290888916606739e-12</x:v>
      </x:c>
      <x:c r="E15" s="117" t="n">
        <x:f>LN(ABS(D15))/LN(10)</x:f>
        <x:v>-11.889111127973981</x:v>
      </x:c>
      <x:c r="F15" s="117" t="n">
        <x:f>B15</x:f>
        <x:v>-0.16</x:v>
      </x:c>
      <x:c r="G15" s="117" t="n">
        <x:f>B35</x:f>
        <x:v>-0.05999999999999989</x:v>
      </x:c>
      <x:c r="H15" s="117" t="n">
        <x:f>MAX(E15:E35)-MIN(E15:E35)</x:f>
        <x:v>0.5939627446642248</x:v>
      </x:c>
      <x:c r="I15" s="117" t="n">
        <x:f>SLOPE(E15:E35,B15:B35)</x:f>
        <x:v>5.946580537277206</x:v>
      </x:c>
      <x:c r="J15" s="123" t="n">
        <x:f>RSQ(E15:E35,B15:B35)</x:f>
        <x:v>0.9735883239016797</x:v>
      </x:c>
      <x:c r="K15" s="117" t="n">
        <x:f>IF(I15&gt;0,'Config'!$B$17/I15,"")</x:f>
        <x:v>168.16387060283145</x:v>
      </x:c>
      <x:c r="L15" s="120" t="n">
        <x:f>MAX(D15:D35)</x:f>
        <x:v>5.06817516782873e-12</x:v>
      </x:c>
      <x:c r="M15" s="120" t="str">
        <x:f>IF(AND(H15&gt;='Config'!$B$14,J15&gt;='Config'!$B$15,L15&lt;=$E$4,I15&gt;0),K15,"")</x:f>
      </x:c>
      <x:c r="N15" s="17" t="str">
        <x:f>IF(AND(M15&lt;&gt;"",ABS(M15-$G$4)&lt;='Config'!$B$22),"SELECTED","")</x:f>
      </x:c>
    </x:row>
    <x:row r="16">
      <x:c r="A16" s="15" t="n">
        <x:v>1015</x:v>
      </x:c>
      <x:c r="B16" s="117" t="n">
        <x:f>VALUE('Raw_Data'!I1015)</x:f>
        <x:v>-0.155</x:v>
      </x:c>
      <x:c r="C16" s="117" t="n">
        <x:f>ROUND(B16,'Config'!$B$25)</x:f>
        <x:v>-0.155</x:v>
      </x:c>
      <x:c r="D16" s="120" t="n">
        <x:f>VALUE('Raw_Data'!J1015)</x:f>
        <x:v>1.330909109242401e-12</x:v>
      </x:c>
      <x:c r="E16" s="117" t="n">
        <x:f>LN(ABS(D16))/LN(10)</x:f>
        <x:v>-11.875851602453432</x:v>
      </x:c>
      <x:c r="F16" s="117" t="n">
        <x:f>B16</x:f>
        <x:v>-0.155</x:v>
      </x:c>
      <x:c r="G16" s="117" t="n">
        <x:f>B36</x:f>
        <x:v>-0.0549999999999999</x:v>
      </x:c>
      <x:c r="H16" s="117" t="n">
        <x:f>MAX(E16:E36)-MIN(E16:E36)</x:f>
        <x:v>0.6277409633475397</x:v>
      </x:c>
      <x:c r="I16" s="117" t="n">
        <x:f>SLOPE(E16:E36,B16:B36)</x:f>
        <x:v>6.2996163348054495</x:v>
      </x:c>
      <x:c r="J16" s="123" t="n">
        <x:f>RSQ(E16:E36,B16:B36)</x:f>
        <x:v>0.9767087720727567</x:v>
      </x:c>
      <x:c r="K16" s="117" t="n">
        <x:f>IF(I16&gt;0,'Config'!$B$17/I16,"")</x:f>
        <x:v>158.73982586447192</x:v>
      </x:c>
      <x:c r="L16" s="120" t="n">
        <x:f>MAX(D16:D36)</x:f>
        <x:v>5.647930720840611e-12</x:v>
      </x:c>
      <x:c r="M16" s="120" t="str">
        <x:f>IF(AND(H16&gt;='Config'!$B$14,J16&gt;='Config'!$B$15,L16&lt;=$E$4,I16&gt;0),K16,"")</x:f>
      </x:c>
      <x:c r="N16" s="17" t="str">
        <x:f>IF(AND(M16&lt;&gt;"",ABS(M16-$G$4)&lt;='Config'!$B$22),"SELECTED","")</x:f>
      </x:c>
    </x:row>
    <x:row r="17">
      <x:c r="A17" s="15" t="n">
        <x:v>1016</x:v>
      </x:c>
      <x:c r="B17" s="117" t="n">
        <x:f>VALUE('Raw_Data'!I1016)</x:f>
        <x:v>-0.15</x:v>
      </x:c>
      <x:c r="C17" s="117" t="n">
        <x:f>ROUND(B17,'Config'!$B$25)</x:f>
        <x:v>-0.15</x:v>
      </x:c>
      <x:c r="D17" s="120" t="n">
        <x:f>VALUE('Raw_Data'!J1016)</x:f>
        <x:v>1.376694269019026e-12</x:v>
      </x:c>
      <x:c r="E17" s="117" t="n">
        <x:f>LN(ABS(D17))/LN(10)</x:f>
        <x:v>-11.86116249548761</x:v>
      </x:c>
      <x:c r="F17" s="117" t="n">
        <x:f>B17</x:f>
        <x:v>-0.15</x:v>
      </x:c>
      <x:c r="G17" s="117" t="n">
        <x:f>B37</x:f>
        <x:v>-0.0499999999999999</x:v>
      </x:c>
      <x:c r="H17" s="117" t="n">
        <x:f>MAX(E17:E37)-MIN(E17:E37)</x:f>
        <x:v>0.6612251434240459</x:v>
      </x:c>
      <x:c r="I17" s="117" t="n">
        <x:f>SLOPE(E17:E37,B17:B37)</x:f>
        <x:v>6.6491682783807695</x:v>
      </x:c>
      <x:c r="J17" s="123" t="n">
        <x:f>RSQ(E17:E37,B17:B37)</x:f>
        <x:v>0.9796061601049393</x:v>
      </x:c>
      <x:c r="K17" s="117" t="n">
        <x:f>IF(I17&gt;0,'Config'!$B$17/I17,"")</x:f>
        <x:v>150.39474985937997</x:v>
      </x:c>
      <x:c r="L17" s="120" t="n">
        <x:f>MAX(D17:D37)</x:f>
        <x:v>6.310483680331215e-12</x:v>
      </x:c>
      <x:c r="M17" s="120" t="str">
        <x:f>IF(AND(H17&gt;='Config'!$B$14,J17&gt;='Config'!$B$15,L17&lt;=$E$4,I17&gt;0),K17,"")</x:f>
      </x:c>
      <x:c r="N17" s="17" t="str">
        <x:f>IF(AND(M17&lt;&gt;"",ABS(M17-$G$4)&lt;='Config'!$B$22),"SELECTED","")</x:f>
      </x:c>
    </x:row>
    <x:row r="18">
      <x:c r="A18" s="15" t="n">
        <x:v>1017</x:v>
      </x:c>
      <x:c r="B18" s="117" t="n">
        <x:f>VALUE('Raw_Data'!I1017)</x:f>
        <x:v>-0.145</x:v>
      </x:c>
      <x:c r="C18" s="117" t="n">
        <x:f>ROUND(B18,'Config'!$B$25)</x:f>
        <x:v>-0.145</x:v>
      </x:c>
      <x:c r="D18" s="120" t="n">
        <x:f>VALUE('Raw_Data'!J1017)</x:f>
        <x:v>1.429052304852317e-12</x:v>
      </x:c>
      <x:c r="E18" s="117" t="n">
        <x:f>LN(ABS(D18))/LN(10)</x:f>
        <x:v>-11.844951875272692</x:v>
      </x:c>
      <x:c r="F18" s="117" t="n">
        <x:f>B18</x:f>
        <x:v>-0.145</x:v>
      </x:c>
      <x:c r="G18" s="117" t="n">
        <x:f>B38</x:f>
        <x:v>-0.0449999999999999</x:v>
      </x:c>
      <x:c r="H18" s="117" t="n">
        <x:f>MAX(E18:E38)-MIN(E18:E38)</x:f>
        <x:v>0.6942270785406315</x:v>
      </x:c>
      <x:c r="I18" s="117" t="n">
        <x:f>SLOPE(E18:E38,B18:B38)</x:f>
        <x:v>6.992951775085752</x:v>
      </x:c>
      <x:c r="J18" s="123" t="n">
        <x:f>RSQ(E18:E38,B18:B38)</x:f>
        <x:v>0.982271310890021</x:v>
      </x:c>
      <x:c r="K18" s="117" t="n">
        <x:f>IF(I18&gt;0,'Config'!$B$17/I18,"")</x:f>
        <x:v>143.0011291601875</x:v>
      </x:c>
      <x:c r="L18" s="120" t="n">
        <x:f>MAX(D18:D38)</x:f>
        <x:v>7.067652746641881e-12</x:v>
      </x:c>
      <x:c r="M18" s="120" t="str">
        <x:f>IF(AND(H18&gt;='Config'!$B$14,J18&gt;='Config'!$B$15,L18&lt;=$E$4,I18&gt;0),K18,"")</x:f>
      </x:c>
      <x:c r="N18" s="17" t="str">
        <x:f>IF(AND(M18&lt;&gt;"",ABS(M18-$G$4)&lt;='Config'!$B$22),"SELECTED","")</x:f>
      </x:c>
    </x:row>
    <x:row r="19">
      <x:c r="A19" s="15" t="n">
        <x:v>1018</x:v>
      </x:c>
      <x:c r="B19" s="117" t="n">
        <x:f>VALUE('Raw_Data'!I1018)</x:f>
        <x:v>-0.14</x:v>
      </x:c>
      <x:c r="C19" s="117" t="n">
        <x:f>ROUND(B19,'Config'!$B$25)</x:f>
        <x:v>-0.14</x:v>
      </x:c>
      <x:c r="D19" s="120" t="n">
        <x:f>VALUE('Raw_Data'!J1018)</x:f>
        <x:v>1.488911804458349e-12</x:v>
      </x:c>
      <x:c r="E19" s="117" t="n">
        <x:f>LN(ABS(D19))/LN(10)</x:f>
        <x:v>-11.827131026876081</x:v>
      </x:c>
      <x:c r="F19" s="117" t="n">
        <x:f>B19</x:f>
        <x:v>-0.14</x:v>
      </x:c>
      <x:c r="G19" s="117" t="n">
        <x:f>B39</x:f>
        <x:v>-0.0399999999999999</x:v>
      </x:c>
      <x:c r="H19" s="117" t="n">
        <x:f>MAX(E19:E39)-MIN(E19:E39)</x:f>
        <x:v>0.7265653246950059</x:v>
      </x:c>
      <x:c r="I19" s="117" t="n">
        <x:f>SLOPE(E19:E39,B19:B39)</x:f>
        <x:v>7.328805419613699</x:v>
      </x:c>
      <x:c r="J19" s="123" t="n">
        <x:f>RSQ(E19:E39,B19:B39)</x:f>
        <x:v>0.9846993898902016</x:v>
      </x:c>
      <x:c r="K19" s="117" t="n">
        <x:f>IF(I19&gt;0,'Config'!$B$17/I19,"")</x:f>
        <x:v>136.44788512514634</x:v>
      </x:c>
      <x:c r="L19" s="120" t="n">
        <x:f>MAX(D19:D39)</x:f>
        <x:v>7.932942342892279e-12</x:v>
      </x:c>
      <x:c r="M19" s="120" t="str">
        <x:f>IF(AND(H19&gt;='Config'!$B$14,J19&gt;='Config'!$B$15,L19&lt;=$E$4,I19&gt;0),K19,"")</x:f>
      </x:c>
      <x:c r="N19" s="17" t="str">
        <x:f>IF(AND(M19&lt;&gt;"",ABS(M19-$G$4)&lt;='Config'!$B$22),"SELECTED","")</x:f>
      </x:c>
    </x:row>
    <x:row r="20">
      <x:c r="A20" s="15" t="n">
        <x:v>1019</x:v>
      </x:c>
      <x:c r="B20" s="117" t="n">
        <x:f>VALUE('Raw_Data'!I1019)</x:f>
        <x:v>-0.135</x:v>
      </x:c>
      <x:c r="C20" s="117" t="n">
        <x:f>ROUND(B20,'Config'!$B$25)</x:f>
        <x:v>-0.135</x:v>
      </x:c>
      <x:c r="D20" s="120" t="n">
        <x:f>VALUE('Raw_Data'!J1019)</x:f>
        <x:v>1.557337616727506e-12</x:v>
      </x:c>
      <x:c r="E20" s="117" t="n">
        <x:f>LN(ABS(D20))/LN(10)</x:f>
        <x:v>-11.807617226104256</x:v>
      </x:c>
      <x:c r="F20" s="117" t="n">
        <x:f>B20</x:f>
        <x:v>-0.135</x:v>
      </x:c>
      <x:c r="G20" s="117" t="n">
        <x:f>B40</x:f>
        <x:v>-0.03499999999999991</x:v>
      </x:c>
      <x:c r="H20" s="117" t="n">
        <x:f>MAX(E20:E40)-MIN(E20:E40)</x:f>
        <x:v>0.7580688706218801</x:v>
      </x:c>
      <x:c r="I20" s="117" t="n">
        <x:f>SLOPE(E20:E40,B20:B40)</x:f>
        <x:v>7.654741304728162</x:v>
      </x:c>
      <x:c r="J20" s="123" t="n">
        <x:f>RSQ(E20:E40,B20:B40)</x:f>
        <x:v>0.9868901045958689</x:v>
      </x:c>
      <x:c r="K20" s="117" t="n">
        <x:f>IF(I20&gt;0,'Config'!$B$17/I20,"")</x:f>
        <x:v>130.63798764594728</x:v>
      </x:c>
      <x:c r="L20" s="120" t="n">
        <x:f>MAX(D20:D40)</x:f>
        <x:v>8.921782765968998e-12</x:v>
      </x:c>
      <x:c r="M20" s="120" t="str">
        <x:f>IF(AND(H20&gt;='Config'!$B$14,J20&gt;='Config'!$B$15,L20&lt;=$E$4,I20&gt;0),K20,"")</x:f>
      </x:c>
      <x:c r="N20" s="17" t="str">
        <x:f>IF(AND(M20&lt;&gt;"",ABS(M20-$G$4)&lt;='Config'!$B$22),"SELECTED","")</x:f>
      </x:c>
    </x:row>
    <x:row r="21">
      <x:c r="A21" s="15" t="n">
        <x:v>1020</x:v>
      </x:c>
      <x:c r="B21" s="117" t="n">
        <x:f>VALUE('Raw_Data'!I1020)</x:f>
        <x:v>-0.1299999999999999</x:v>
      </x:c>
      <x:c r="C21" s="117" t="n">
        <x:f>ROUND(B21,'Config'!$B$25)</x:f>
        <x:v>-0.13</x:v>
      </x:c>
      <x:c r="D21" s="120" t="n">
        <x:f>VALUE('Raw_Data'!J1020)</x:f>
        <x:v>1.635549146188096e-12</x:v>
      </x:c>
      <x:c r="E21" s="117" t="n">
        <x:f>LN(ABS(D21))/LN(10)</x:f>
        <x:v>-11.78633640134174</x:v>
      </x:c>
      <x:c r="F21" s="117" t="n">
        <x:f>B21</x:f>
        <x:v>-0.1299999999999999</x:v>
      </x:c>
      <x:c r="G21" s="117" t="n">
        <x:f>B41</x:f>
        <x:v>-0.02999999999999991</x:v>
      </x:c>
      <x:c r="H21" s="117" t="n">
        <x:f>MAX(E21:E41)-MIN(E21:E41)</x:f>
        <x:v>0.7885804340886562</x:v>
      </x:c>
      <x:c r="I21" s="117" t="n">
        <x:f>SLOPE(E21:E41,B21:B41)</x:f>
        <x:v>7.968987065008678</x:v>
      </x:c>
      <x:c r="J21" s="123" t="n">
        <x:f>RSQ(E21:E41,B21:B41)</x:f>
        <x:v>0.9888475388803988</x:v>
      </x:c>
      <x:c r="K21" s="117" t="n">
        <x:f>IF(I21&gt;0,'Config'!$B$17/I21,"")</x:f>
        <x:v>125.48646293967991</x:v>
      </x:c>
      <x:c r="L21" s="120" t="n">
        <x:f>MAX(D21:D41)</x:f>
        <x:v>1.005180448712331e-11</x:v>
      </x:c>
      <x:c r="M21" s="120" t="str">
        <x:f>IF(AND(H21&gt;='Config'!$B$14,J21&gt;='Config'!$B$15,L21&lt;=$E$4,I21&gt;0),K21,"")</x:f>
      </x:c>
      <x:c r="N21" s="17" t="str">
        <x:f>IF(AND(M21&lt;&gt;"",ABS(M21-$G$4)&lt;='Config'!$B$22),"SELECTED","")</x:f>
      </x:c>
    </x:row>
    <x:row r="22">
      <x:c r="A22" s="15" t="n">
        <x:v>1021</x:v>
      </x:c>
      <x:c r="B22" s="117" t="n">
        <x:f>VALUE('Raw_Data'!I1021)</x:f>
        <x:v>-0.1249999999999999</x:v>
      </x:c>
      <x:c r="C22" s="117" t="n">
        <x:f>ROUND(B22,'Config'!$B$25)</x:f>
        <x:v>-0.125</x:v>
      </x:c>
      <x:c r="D22" s="120" t="n">
        <x:f>VALUE('Raw_Data'!J1021)</x:f>
        <x:v>1.724941612654433e-12</x:v>
      </x:c>
      <x:c r="E22" s="117" t="n">
        <x:f>LN(ABS(D22))/LN(10)</x:f>
        <x:v>-11.763225600724704</x:v>
      </x:c>
      <x:c r="F22" s="117" t="n">
        <x:f>B22</x:f>
        <x:v>-0.1249999999999999</x:v>
      </x:c>
      <x:c r="G22" s="117" t="n">
        <x:f>B42</x:f>
        <x:v>-0.0249999999999999</x:v>
      </x:c>
      <x:c r="H22" s="117" t="n">
        <x:f>MAX(E22:E42)-MIN(E22:E42)</x:f>
        <x:v>0.8179593311838644</x:v>
      </x:c>
      <x:c r="I22" s="117" t="n">
        <x:f>SLOPE(E22:E42,B22:B42)</x:f>
        <x:v>8.270018485200604</x:v>
      </x:c>
      <x:c r="J22" s="123" t="n">
        <x:f>RSQ(E22:E42,B22:B42)</x:f>
        <x:v>0.9905797252381544</x:v>
      </x:c>
      <x:c r="K22" s="117" t="n">
        <x:f>IF(I22&gt;0,'Config'!$B$17/I22,"")</x:f>
        <x:v>120.91871400161003</x:v>
      </x:c>
      <x:c r="L22" s="120" t="n">
        <x:f>MAX(D22:D42)</x:f>
        <x:v>1.134315144431181e-11</x:v>
      </x:c>
      <x:c r="M22" s="120" t="str">
        <x:f>IF(AND(H22&gt;='Config'!$B$14,J22&gt;='Config'!$B$15,L22&lt;=$E$4,I22&gt;0),K22,"")</x:f>
      </x:c>
      <x:c r="N22" s="17" t="str">
        <x:f>IF(AND(M22&lt;&gt;"",ABS(M22-$G$4)&lt;='Config'!$B$22),"SELECTED","")</x:f>
      </x:c>
    </x:row>
    <x:row r="23">
      <x:c r="A23" s="15" t="n">
        <x:v>1022</x:v>
      </x:c>
      <x:c r="B23" s="117" t="n">
        <x:f>VALUE('Raw_Data'!I1022)</x:f>
        <x:v>-0.1199999999999999</x:v>
      </x:c>
      <x:c r="C23" s="117" t="n">
        <x:f>ROUND(B23,'Config'!$B$25)</x:f>
        <x:v>-0.12</x:v>
      </x:c>
      <x:c r="D23" s="120" t="n">
        <x:f>VALUE('Raw_Data'!J1022)</x:f>
        <x:v>1.827110598673053e-12</x:v>
      </x:c>
      <x:c r="E23" s="117" t="n">
        <x:f>LN(ABS(D23))/LN(10)</x:f>
        <x:v>-11.738235163134798</x:v>
      </x:c>
      <x:c r="F23" s="117" t="n">
        <x:f>B23</x:f>
        <x:v>-0.1199999999999999</x:v>
      </x:c>
      <x:c r="G23" s="117" t="n">
        <x:f>B43</x:f>
        <x:v>-0.0199999999999999</x:v>
      </x:c>
      <x:c r="H23" s="117" t="n">
        <x:f>MAX(E23:E43)-MIN(E23:E43)</x:f>
        <x:v>0.8460838511225734</x:v>
      </x:c>
      <x:c r="I23" s="117" t="n">
        <x:f>SLOPE(E23:E43,B23:B43)</x:f>
        <x:v>8.556581918450362</x:v>
      </x:c>
      <x:c r="J23" s="123" t="n">
        <x:f>RSQ(E23:E43,B23:B43)</x:f>
        <x:v>0.9920980402874148</x:v>
      </x:c>
      <x:c r="K23" s="117" t="n">
        <x:f>IF(I23&gt;0,'Config'!$B$17/I23,"")</x:f>
        <x:v>116.86909674103894</x:v>
      </x:c>
      <x:c r="L23" s="120" t="n">
        <x:f>MAX(D23:D43)</x:f>
        <x:v>1.281883885238538e-11</x:v>
      </x:c>
      <x:c r="M23" s="120" t="str">
        <x:f>IF(AND(H23&gt;='Config'!$B$14,J23&gt;='Config'!$B$15,L23&lt;=$E$4,I23&gt;0),K23,"")</x:f>
      </x:c>
      <x:c r="N23" s="17" t="str">
        <x:f>IF(AND(M23&lt;&gt;"",ABS(M23-$G$4)&lt;='Config'!$B$22),"SELECTED","")</x:f>
      </x:c>
    </x:row>
    <x:row r="24">
      <x:c r="A24" s="15" t="n">
        <x:v>1023</x:v>
      </x:c>
      <x:c r="B24" s="117" t="n">
        <x:f>VALUE('Raw_Data'!I1023)</x:f>
        <x:v>-0.1149999999999999</x:v>
      </x:c>
      <x:c r="C24" s="117" t="n">
        <x:f>ROUND(B24,'Config'!$B$25)</x:f>
        <x:v>-0.115</x:v>
      </x:c>
      <x:c r="D24" s="120" t="n">
        <x:f>VALUE('Raw_Data'!J1023)</x:f>
        <x:v>1.943880279456145e-12</x:v>
      </x:c>
      <x:c r="E24" s="117" t="n">
        <x:f>LN(ABS(D24))/LN(10)</x:f>
        <x:v>-11.711330486103492</x:v>
      </x:c>
      <x:c r="F24" s="117" t="n">
        <x:f>B24</x:f>
        <x:v>-0.1149999999999999</x:v>
      </x:c>
      <x:c r="G24" s="117" t="n">
        <x:f>B44</x:f>
        <x:v>-0.0149999999999999</x:v>
      </x:c>
      <x:c r="H24" s="117" t="n">
        <x:f>MAX(E24:E44)-MIN(E24:E44)</x:f>
        <x:v>0.8728530647593971</x:v>
      </x:c>
      <x:c r="I24" s="117" t="n">
        <x:f>SLOPE(E24:E44,B24:B44)</x:f>
        <x:v>8.827706242987858</x:v>
      </x:c>
      <x:c r="J24" s="123" t="n">
        <x:f>RSQ(E24:E44,B24:B44)</x:f>
        <x:v>0.9934164968298748</x:v>
      </x:c>
      <x:c r="K24" s="117" t="n">
        <x:f>IF(I24&gt;0,'Config'!$B$17/I24,"")</x:f>
        <x:v>113.27970964080656</x:v>
      </x:c>
      <x:c r="L24" s="120" t="n">
        <x:f>MAX(D24:D44)</x:f>
        <x:v>1.450516183631683e-11</x:v>
      </x:c>
      <x:c r="M24" s="120" t="str">
        <x:f>IF(AND(H24&gt;='Config'!$B$14,J24&gt;='Config'!$B$15,L24&lt;=$E$4,I24&gt;0),K24,"")</x:f>
      </x:c>
      <x:c r="N24" s="17" t="str">
        <x:f>IF(AND(M24&lt;&gt;"",ABS(M24-$G$4)&lt;='Config'!$B$22),"SELECTED","")</x:f>
      </x:c>
    </x:row>
    <x:row r="25">
      <x:c r="A25" s="15" t="n">
        <x:v>1024</x:v>
      </x:c>
      <x:c r="B25" s="117" t="n">
        <x:f>VALUE('Raw_Data'!I1024)</x:f>
        <x:v>-0.1099999999999999</x:v>
      </x:c>
      <x:c r="C25" s="117" t="n">
        <x:f>ROUND(B25,'Config'!$B$25)</x:f>
        <x:v>-0.11</x:v>
      </x:c>
      <x:c r="D25" s="120" t="n">
        <x:f>VALUE('Raw_Data'!J1024)</x:f>
        <x:v>2.077335806080723e-12</x:v>
      </x:c>
      <x:c r="E25" s="117" t="n">
        <x:f>LN(ABS(D25))/LN(10)</x:f>
        <x:v>-11.682493293094351</x:v>
      </x:c>
      <x:c r="F25" s="117" t="n">
        <x:f>B25</x:f>
        <x:v>-0.1099999999999999</x:v>
      </x:c>
      <x:c r="G25" s="117" t="n">
        <x:f>B45</x:f>
        <x:v>-0.009999999999999901</x:v>
      </x:c>
      <x:c r="H25" s="117" t="n">
        <x:f>MAX(E25:E45)-MIN(E25:E45)</x:f>
        <x:v>0.8981880031106666</x:v>
      </x:c>
      <x:c r="I25" s="117" t="n">
        <x:f>SLOPE(E25:E45,B25:B45)</x:f>
        <x:v>9.082704598475418</x:v>
      </x:c>
      <x:c r="J25" s="123" t="n">
        <x:f>RSQ(E25:E45,B25:B45)</x:f>
        <x:v>0.9945509956664186</x:v>
      </x:c>
      <x:c r="K25" s="117" t="n">
        <x:f>IF(I25&gt;0,'Config'!$B$17/I25,"")</x:f>
        <x:v>110.09936403390851</x:v>
      </x:c>
      <x:c r="L25" s="120" t="n">
        <x:f>MAX(D25:D45)</x:f>
        <x:v>1.643216208159562e-11</x:v>
      </x:c>
      <x:c r="M25" s="120" t="str">
        <x:f>IF(AND(H25&gt;='Config'!$B$14,J25&gt;='Config'!$B$15,L25&lt;=$E$4,I25&gt;0),K25,"")</x:f>
      </x:c>
      <x:c r="N25" s="17" t="str">
        <x:f>IF(AND(M25&lt;&gt;"",ABS(M25-$G$4)&lt;='Config'!$B$22),"SELECTED","")</x:f>
      </x:c>
    </x:row>
    <x:row r="26">
      <x:c r="A26" s="15" t="n">
        <x:v>1025</x:v>
      </x:c>
      <x:c r="B26" s="117" t="n">
        <x:f>VALUE('Raw_Data'!I1025)</x:f>
        <x:v>-0.1049999999999999</x:v>
      </x:c>
      <x:c r="C26" s="117" t="n">
        <x:f>ROUND(B26,'Config'!$B$25)</x:f>
        <x:v>-0.105</x:v>
      </x:c>
      <x:c r="D26" s="120" t="n">
        <x:f>VALUE('Raw_Data'!J1025)</x:f>
        <x:v>2.229860394880488e-12</x:v>
      </x:c>
      <x:c r="E26" s="117" t="n">
        <x:f>LN(ABS(D26))/LN(10)</x:f>
        <x:v>-11.651722326024007</x:v>
      </x:c>
      <x:c r="F26" s="117" t="n">
        <x:f>B26</x:f>
        <x:v>-0.1049999999999999</x:v>
      </x:c>
      <x:c r="G26" s="117" t="n">
        <x:f>B46</x:f>
        <x:v>-0.004999999999999901</x:v>
      </x:c>
      <x:c r="H26" s="117" t="n">
        <x:f>MAX(E26:E46)-MIN(E26:E46)</x:f>
        <x:v>0.9220321627262393</x:v>
      </x:c>
      <x:c r="I26" s="117" t="n">
        <x:f>SLOPE(E26:E46,B26:B46)</x:f>
        <x:v>9.321166640674646</x:v>
      </x:c>
      <x:c r="J26" s="123" t="n">
        <x:f>RSQ(E26:E46,B26:B46)</x:f>
        <x:v>0.9955185903266799</x:v>
      </x:c>
      <x:c r="K26" s="117" t="n">
        <x:f>IF(I26&gt;0,'Config'!$B$17/I26,"")</x:f>
        <x:v>107.2827081147025</x:v>
      </x:c>
      <x:c r="L26" s="120" t="n">
        <x:f>MAX(D26:D46)</x:f>
        <x:v>1.863416070862027e-11</x:v>
      </x:c>
      <x:c r="M26" s="120" t="n">
        <x:f>IF(AND(H26&gt;='Config'!$B$14,J26&gt;='Config'!$B$15,L26&lt;=$E$4,I26&gt;0),K26,"")</x:f>
        <x:v>107.2827081147025</x:v>
      </x:c>
      <x:c r="N26" s="17" t="str">
        <x:f>IF(AND(M26&lt;&gt;"",ABS(M26-$G$4)&lt;='Config'!$B$22),"SELECTED","")</x:f>
      </x:c>
    </x:row>
    <x:row r="27">
      <x:c r="A27" s="15" t="n">
        <x:v>1026</x:v>
      </x:c>
      <x:c r="B27" s="117" t="n">
        <x:f>VALUE('Raw_Data'!I1026)</x:f>
        <x:v>-0.09999999999999992</x:v>
      </x:c>
      <x:c r="C27" s="117" t="n">
        <x:f>ROUND(B27,'Config'!$B$25)</x:f>
        <x:v>-0.1</x:v>
      </x:c>
      <x:c r="D27" s="120" t="n">
        <x:f>VALUE('Raw_Data'!J1026)</x:f>
        <x:v>2.404177765986292e-12</x:v>
      </x:c>
      <x:c r="E27" s="117" t="n">
        <x:f>LN(ABS(D27))/LN(10)</x:f>
        <x:v>-11.619033423552558</x:v>
      </x:c>
      <x:c r="F27" s="117" t="n">
        <x:f>B27</x:f>
        <x:v>-0.09999999999999992</x:v>
      </x:c>
      <x:c r="G27" s="117" t="n">
        <x:f>B47</x:f>
        <x:v>9.8879238130678e-17</x:v>
      </x:c>
      <x:c r="H27" s="117" t="n">
        <x:f>MAX(E27:E47)-MIN(E27:E47)</x:f>
        <x:v>0.9443513256833462</x:v>
      </x:c>
      <x:c r="I27" s="117" t="n">
        <x:f>SLOPE(E27:E47,B27:B47)</x:f>
        <x:v>9.542942491253811</x:v>
      </x:c>
      <x:c r="J27" s="123" t="n">
        <x:f>RSQ(E27:E47,B27:B47)</x:f>
        <x:v>0.9963368070911305</x:v>
      </x:c>
      <x:c r="K27" s="117" t="n">
        <x:f>IF(I27&gt;0,'Config'!$B$17/I27,"")</x:f>
        <x:v>104.78948195658819</x:v>
      </x:c>
      <x:c r="L27" s="120" t="n">
        <x:f>MAX(D27:D47)</x:f>
        <x:v>2.115036673217059e-11</x:v>
      </x:c>
      <x:c r="M27" s="120" t="n">
        <x:f>IF(AND(H27&gt;='Config'!$B$14,J27&gt;='Config'!$B$15,L27&lt;=$E$4,I27&gt;0),K27,"")</x:f>
        <x:v>104.78948195658819</x:v>
      </x:c>
      <x:c r="N27" s="17" t="str">
        <x:f>IF(AND(M27&lt;&gt;"",ABS(M27-$G$4)&lt;='Config'!$B$22),"SELECTED","")</x:f>
      </x:c>
    </x:row>
    <x:row r="28">
      <x:c r="A28" s="15" t="n">
        <x:v>1027</x:v>
      </x:c>
      <x:c r="B28" s="117" t="n">
        <x:f>VALUE('Raw_Data'!I1027)</x:f>
        <x:v>-0.09499999999999992</x:v>
      </x:c>
      <x:c r="C28" s="117" t="n">
        <x:f>ROUND(B28,'Config'!$B$25)</x:f>
        <x:v>-0.095</x:v>
      </x:c>
      <x:c r="D28" s="120" t="n">
        <x:f>VALUE('Raw_Data'!J1027)</x:f>
        <x:v>2.60340067369274e-12</x:v>
      </x:c>
      <x:c r="E28" s="117" t="n">
        <x:f>LN(ABS(D28))/LN(10)</x:f>
        <x:v>-11.584458987102954</x:v>
      </x:c>
      <x:c r="F28" s="117" t="n">
        <x:f>B28</x:f>
        <x:v>-0.09499999999999992</x:v>
      </x:c>
      <x:c r="G28" s="117" t="n">
        <x:f>B48</x:f>
        <x:v>0.005000000000000099</x:v>
      </x:c>
      <x:c r="H28" s="117" t="n">
        <x:f>MAX(E28:E48)-MIN(E28:E48)</x:f>
        <x:v>0.9651327193000068</x:v>
      </x:c>
      <x:c r="I28" s="117" t="n">
        <x:f>SLOPE(E28:E48,B28:B48)</x:f>
        <x:v>9.748119900195</x:v>
      </x:c>
      <x:c r="J28" s="123" t="n">
        <x:f>RSQ(E28:E48,B28:B48)</x:f>
        <x:v>0.997023051203941</x:v>
      </x:c>
      <x:c r="K28" s="117" t="n">
        <x:f>IF(I28&gt;0,'Config'!$B$17/I28,"")</x:f>
        <x:v>102.58388389129232</x:v>
      </x:c>
      <x:c r="L28" s="120" t="n">
        <x:f>MAX(D28:D48)</x:f>
        <x:v>2.402557178232038e-11</x:v>
      </x:c>
      <x:c r="M28" s="120" t="n">
        <x:f>IF(AND(H28&gt;='Config'!$B$14,J28&gt;='Config'!$B$15,L28&lt;=$E$4,I28&gt;0),K28,"")</x:f>
        <x:v>102.58388389129232</x:v>
      </x:c>
      <x:c r="N28" s="17" t="str">
        <x:f>IF(AND(M28&lt;&gt;"",ABS(M28-$G$4)&lt;='Config'!$B$22),"SELECTED","")</x:f>
      </x:c>
    </x:row>
    <x:row r="29">
      <x:c r="A29" s="15" t="n">
        <x:v>1028</x:v>
      </x:c>
      <x:c r="B29" s="117" t="n">
        <x:f>VALUE('Raw_Data'!I1028)</x:f>
        <x:v>-0.08999999999999991</x:v>
      </x:c>
      <x:c r="C29" s="117" t="n">
        <x:f>ROUND(B29,'Config'!$B$25)</x:f>
        <x:v>-0.09</x:v>
      </x:c>
      <x:c r="D29" s="120" t="n">
        <x:f>VALUE('Raw_Data'!J1028)</x:f>
        <x:v>2.831086383090201e-12</x:v>
      </x:c>
      <x:c r="E29" s="117" t="n">
        <x:f>LN(ABS(D29))/LN(10)</x:f>
        <x:v>-11.54804687908878</x:v>
      </x:c>
      <x:c r="F29" s="117" t="n">
        <x:f>B29</x:f>
        <x:v>-0.08999999999999991</x:v>
      </x:c>
      <x:c r="G29" s="117" t="n">
        <x:f>B49</x:f>
        <x:v>0.0100000000000001</x:v>
      </x:c>
      <x:c r="H29" s="117" t="n">
        <x:f>MAX(E29:E49)-MIN(E29:E49)</x:f>
        <x:v>0.9843835790865043</x:v>
      </x:c>
      <x:c r="I29" s="117" t="n">
        <x:f>SLOPE(E29:E49,B29:B49)</x:f>
        <x:v>9.93699635412392</x:v>
      </x:c>
      <x:c r="J29" s="123" t="n">
        <x:f>RSQ(E29:E49,B29:B49)</x:f>
        <x:v>0.9975941185463841</x:v>
      </x:c>
      <x:c r="K29" s="117" t="n">
        <x:f>IF(I29&gt;0,'Config'!$B$17/I29,"")</x:f>
        <x:v>100.63403108576097</x:v>
      </x:c>
      <x:c r="L29" s="120" t="n">
        <x:f>MAX(D29:D49)</x:f>
        <x:v>2.731094326134264e-11</x:v>
      </x:c>
      <x:c r="M29" s="120" t="n">
        <x:f>IF(AND(H29&gt;='Config'!$B$14,J29&gt;='Config'!$B$15,L29&lt;=$E$4,I29&gt;0),K29,"")</x:f>
        <x:v>100.63403108576097</x:v>
      </x:c>
      <x:c r="N29" s="17" t="str">
        <x:f>IF(AND(M29&lt;&gt;"",ABS(M29-$G$4)&lt;='Config'!$B$22),"SELECTED","")</x:f>
      </x:c>
    </x:row>
    <x:row r="30">
      <x:c r="A30" s="15" t="n">
        <x:v>1029</x:v>
      </x:c>
      <x:c r="B30" s="117" t="n">
        <x:f>VALUE('Raw_Data'!I1029)</x:f>
        <x:v>-0.08499999999999991</x:v>
      </x:c>
      <x:c r="C30" s="117" t="n">
        <x:f>ROUND(B30,'Config'!$B$25)</x:f>
        <x:v>-0.085</x:v>
      </x:c>
      <x:c r="D30" s="120" t="n">
        <x:f>VALUE('Raw_Data'!J1029)</x:f>
        <x:v>3.091300073124645e-12</x:v>
      </x:c>
      <x:c r="E30" s="117" t="n">
        <x:f>LN(ABS(D30))/LN(10)</x:f>
        <x:v>-11.509858835837083</x:v>
      </x:c>
      <x:c r="F30" s="117" t="n">
        <x:f>B30</x:f>
        <x:v>-0.08499999999999991</x:v>
      </x:c>
      <x:c r="G30" s="117" t="n">
        <x:f>B50</x:f>
        <x:v>0.0150000000000001</x:v>
      </x:c>
      <x:c r="H30" s="117" t="n">
        <x:f>MAX(E30:E50)-MIN(E30:E50)</x:f>
        <x:v>1.0021292126177173</x:v>
      </x:c>
      <x:c r="I30" s="117" t="n">
        <x:f>SLOPE(E30:E50,B30:B50)</x:f>
        <x:v>10.110047942827988</x:v>
      </x:c>
      <x:c r="J30" s="123" t="n">
        <x:f>RSQ(E30:E50,B30:B50)</x:f>
        <x:v>0.9980658210595541</x:v>
      </x:c>
      <x:c r="K30" s="117" t="n">
        <x:f>IF(I30&gt;0,'Config'!$B$17/I30,"")</x:f>
        <x:v>98.91149929802206</x:v>
      </x:c>
      <x:c r="L30" s="120" t="n">
        <x:f>MAX(D30:D50)</x:f>
        <x:v>3.106492981728692e-11</x:v>
      </x:c>
      <x:c r="M30" s="120" t="n">
        <x:f>IF(AND(H30&gt;='Config'!$B$14,J30&gt;='Config'!$B$15,L30&lt;=$E$4,I30&gt;0),K30,"")</x:f>
        <x:v>98.91149929802206</x:v>
      </x:c>
      <x:c r="N30" s="17" t="str">
        <x:f>IF(AND(M30&lt;&gt;"",ABS(M30-$G$4)&lt;='Config'!$B$22),"SELECTED","")</x:f>
      </x:c>
    </x:row>
    <x:row r="31">
      <x:c r="A31" s="15" t="n">
        <x:v>1030</x:v>
      </x:c>
      <x:c r="B31" s="117" t="n">
        <x:f>VALUE('Raw_Data'!I1030)</x:f>
        <x:v>-0.0799999999999999</x:v>
      </x:c>
      <x:c r="C31" s="117" t="n">
        <x:f>ROUND(B31,'Config'!$B$25)</x:f>
        <x:v>-0.08</x:v>
      </x:c>
      <x:c r="D31" s="120" t="n">
        <x:f>VALUE('Raw_Data'!J1030)</x:f>
        <x:v>3.388687288649685e-12</x:v>
      </x:c>
      <x:c r="E31" s="117" t="n">
        <x:f>LN(ABS(D31))/LN(10)</x:f>
        <x:v>-11.46996850642965</x:v>
      </x:c>
      <x:c r="F31" s="117" t="n">
        <x:f>B31</x:f>
        <x:v>-0.0799999999999999</x:v>
      </x:c>
      <x:c r="G31" s="117" t="n">
        <x:f>B51</x:f>
        <x:v>0.0200000000000001</x:v>
      </x:c>
      <x:c r="H31" s="117" t="n">
        <x:f>MAX(E31:E51)-MIN(E31:E51)</x:f>
        <x:v>1.0184106873136134</x:v>
      </x:c>
      <x:c r="I31" s="117" t="n">
        <x:f>SLOPE(E31:E51,B31:B51)</x:f>
        <x:v>10.267896742163886</x:v>
      </x:c>
      <x:c r="J31" s="123" t="n">
        <x:f>RSQ(E31:E51,B31:B51)</x:f>
        <x:v>0.9984527246562351</x:v>
      </x:c>
      <x:c r="K31" s="117" t="n">
        <x:f>IF(I31&gt;0,'Config'!$B$17/I31,"")</x:f>
        <x:v>97.39092874723019</x:v>
      </x:c>
      <x:c r="L31" s="120" t="n">
        <x:f>MAX(D31:D51)</x:f>
        <x:v>3.535429495798751e-11</x:v>
      </x:c>
      <x:c r="M31" s="120" t="n">
        <x:f>IF(AND(H31&gt;='Config'!$B$14,J31&gt;='Config'!$B$15,L31&lt;=$E$4,I31&gt;0),K31,"")</x:f>
        <x:v>97.39092874723019</x:v>
      </x:c>
      <x:c r="N31" s="17" t="str">
        <x:f>IF(AND(M31&lt;&gt;"",ABS(M31-$G$4)&lt;='Config'!$B$22),"SELECTED","")</x:f>
      </x:c>
    </x:row>
    <x:row r="32">
      <x:c r="A32" s="15" t="n">
        <x:v>1031</x:v>
      </x:c>
      <x:c r="B32" s="117" t="n">
        <x:f>VALUE('Raw_Data'!I1031)</x:f>
        <x:v>-0.0749999999999999</x:v>
      </x:c>
      <x:c r="C32" s="117" t="n">
        <x:f>ROUND(B32,'Config'!$B$25)</x:f>
        <x:v>-0.075</x:v>
      </x:c>
      <x:c r="D32" s="120" t="n">
        <x:f>VALUE('Raw_Data'!J1031)</x:f>
        <x:v>3.728556725636688e-12</x:v>
      </x:c>
      <x:c r="E32" s="117" t="n">
        <x:f>LN(ABS(D32))/LN(10)</x:f>
        <x:v>-11.428459245239656</x:v>
      </x:c>
      <x:c r="F32" s="117" t="n">
        <x:f>B32</x:f>
        <x:v>-0.0749999999999999</x:v>
      </x:c>
      <x:c r="G32" s="117" t="n">
        <x:f>B52</x:f>
        <x:v>0.0250000000000001</x:v>
      </x:c>
      <x:c r="H32" s="117" t="n">
        <x:f>MAX(E32:E52)-MIN(E32:E52)</x:f>
        <x:v>1.0332822786972589</x:v>
      </x:c>
      <x:c r="I32" s="117" t="n">
        <x:f>SLOPE(E32:E52,B32:B52)</x:f>
        <x:v>10.411278303187341</x:v>
      </x:c>
      <x:c r="J32" s="123" t="n">
        <x:f>RSQ(E32:E52,B32:B52)</x:f>
        <x:v>0.9987679908441174</x:v>
      </x:c>
      <x:c r="K32" s="117" t="n">
        <x:f>IF(I32&gt;0,'Config'!$B$17/I32,"")</x:f>
        <x:v>96.04968485895309</x:v>
      </x:c>
      <x:c r="L32" s="120" t="n">
        <x:f>MAX(D32:D52)</x:f>
        <x:v>4.02552968407003e-11</x:v>
      </x:c>
      <x:c r="M32" s="120" t="n">
        <x:f>IF(AND(H32&gt;='Config'!$B$14,J32&gt;='Config'!$B$15,L32&lt;=$E$4,I32&gt;0),K32,"")</x:f>
        <x:v>96.04968485895309</x:v>
      </x:c>
      <x:c r="N32" s="17" t="str">
        <x:f>IF(AND(M32&lt;&gt;"",ABS(M32-$G$4)&lt;='Config'!$B$22),"SELECTED","")</x:f>
      </x:c>
    </x:row>
    <x:row r="33">
      <x:c r="A33" s="15" t="n">
        <x:v>1032</x:v>
      </x:c>
      <x:c r="B33" s="117" t="n">
        <x:f>VALUE('Raw_Data'!I1032)</x:f>
        <x:v>-0.0699999999999999</x:v>
      </x:c>
      <x:c r="C33" s="117" t="n">
        <x:f>ROUND(B33,'Config'!$B$25)</x:f>
        <x:v>-0.07</x:v>
      </x:c>
      <x:c r="D33" s="120" t="n">
        <x:f>VALUE('Raw_Data'!J1032)</x:f>
        <x:v>4.116974817444895e-12</x:v>
      </x:c>
      <x:c r="E33" s="117" t="n">
        <x:f>LN(ABS(D33))/LN(10)</x:f>
        <x:v>-11.38542178947037</x:v>
      </x:c>
      <x:c r="F33" s="117" t="n">
        <x:f>B33</x:f>
        <x:v>-0.0699999999999999</x:v>
      </x:c>
      <x:c r="G33" s="117" t="n">
        <x:f>B53</x:f>
        <x:v>0.0300000000000001</x:v>
      </x:c>
      <x:c r="H33" s="117" t="n">
        <x:f>MAX(E33:E53)-MIN(E33:E53)</x:f>
        <x:v>1.0468088167419936</x:v>
      </x:c>
      <x:c r="I33" s="117" t="n">
        <x:f>SLOPE(E33:E53,B33:B53)</x:f>
        <x:v>10.54101058404012</x:v>
      </x:c>
      <x:c r="J33" s="123" t="n">
        <x:f>RSQ(E33:E53,B33:B53)</x:f>
        <x:v>0.9990233081016361</x:v>
      </x:c>
      <x:c r="K33" s="117" t="n">
        <x:f>IF(I33&gt;0,'Config'!$B$17/I33,"")</x:f>
        <x:v>94.86756435991774</x:v>
      </x:c>
      <x:c r="L33" s="120" t="n">
        <x:f>MAX(D33:D53)</x:f>
        <x:v>4.585503478921209e-11</x:v>
      </x:c>
      <x:c r="M33" s="120" t="n">
        <x:f>IF(AND(H33&gt;='Config'!$B$14,J33&gt;='Config'!$B$15,L33&lt;=$E$4,I33&gt;0),K33,"")</x:f>
        <x:v>94.86756435991774</x:v>
      </x:c>
      <x:c r="N33" s="17" t="str">
        <x:f>IF(AND(M33&lt;&gt;"",ABS(M33-$G$4)&lt;='Config'!$B$22),"SELECTED","")</x:f>
      </x:c>
    </x:row>
    <x:row r="34">
      <x:c r="A34" s="15" t="n">
        <x:v>1033</x:v>
      </x:c>
      <x:c r="B34" s="117" t="n">
        <x:f>VALUE('Raw_Data'!I1033)</x:f>
        <x:v>-0.06499999999999989</x:v>
      </x:c>
      <x:c r="C34" s="117" t="n">
        <x:f>ROUND(B34,'Config'!$B$25)</x:f>
        <x:v>-0.065</x:v>
      </x:c>
      <x:c r="D34" s="120" t="n">
        <x:f>VALUE('Raw_Data'!J1033)</x:f>
        <x:v>4.56087379943123e-12</x:v>
      </x:c>
      <x:c r="E34" s="117" t="n">
        <x:f>LN(ABS(D34))/LN(10)</x:f>
        <x:v>-11.340951944634504</x:v>
      </x:c>
      <x:c r="F34" s="117" t="n">
        <x:f>B34</x:f>
        <x:v>-0.06499999999999989</x:v>
      </x:c>
      <x:c r="G34" s="117" t="n">
        <x:f>B54</x:f>
        <x:v>0.0350000000000001</x:v>
      </x:c>
      <x:c r="H34" s="117" t="n">
        <x:f>MAX(E34:E54)-MIN(E34:E54)</x:f>
        <x:v>1.0590630575284887</x:v>
      </x:c>
      <x:c r="I34" s="117" t="n">
        <x:f>SLOPE(E34:E54,B34:B54)</x:f>
        <x:v>10.657965357665491</x:v>
      </x:c>
      <x:c r="J34" s="123" t="n">
        <x:f>RSQ(E34:E54,B34:B54)</x:f>
        <x:v>0.9992288961981003</x:v>
      </x:c>
      <x:c r="K34" s="117" t="n">
        <x:f>IF(I34&gt;0,'Config'!$B$17/I34,"")</x:f>
        <x:v>93.8265387849824</x:v>
      </x:c>
      <x:c r="L34" s="120" t="n">
        <x:f>MAX(D34:D54)</x:f>
        <x:v>5.225298595400275e-11</x:v>
      </x:c>
      <x:c r="M34" s="120" t="n">
        <x:f>IF(AND(H34&gt;='Config'!$B$14,J34&gt;='Config'!$B$15,L34&lt;=$E$4,I34&gt;0),K34,"")</x:f>
        <x:v>93.8265387849824</x:v>
      </x:c>
      <x:c r="N34" s="17" t="str">
        <x:f>IF(AND(M34&lt;&gt;"",ABS(M34-$G$4)&lt;='Config'!$B$22),"SELECTED","")</x:f>
      </x:c>
    </x:row>
    <x:row r="35">
      <x:c r="A35" s="15" t="n">
        <x:v>1034</x:v>
      </x:c>
      <x:c r="B35" s="117" t="n">
        <x:f>VALUE('Raw_Data'!I1034)</x:f>
        <x:v>-0.05999999999999989</x:v>
      </x:c>
      <x:c r="C35" s="117" t="n">
        <x:f>ROUND(B35,'Config'!$B$25)</x:f>
        <x:v>-0.06</x:v>
      </x:c>
      <x:c r="D35" s="120" t="n">
        <x:f>VALUE('Raw_Data'!J1034)</x:f>
        <x:v>5.06817516782873e-12</x:v>
      </x:c>
      <x:c r="E35" s="117" t="n">
        <x:f>LN(ABS(D35))/LN(10)</x:f>
        <x:v>-11.295148383309757</x:v>
      </x:c>
      <x:c r="F35" s="117" t="n">
        <x:f>B35</x:f>
        <x:v>-0.05999999999999989</x:v>
      </x:c>
      <x:c r="G35" s="117" t="n">
        <x:f>B55</x:f>
        <x:v>0.0400000000000001</x:v>
      </x:c>
      <x:c r="H35" s="117" t="n">
        <x:f>MAX(E35:E55)-MIN(E35:E55)</x:f>
        <x:v>1.0701231882126354</x:v>
      </x:c>
      <x:c r="I35" s="117" t="n">
        <x:f>SLOPE(E35:E55,B35:B55)</x:f>
        <x:v>10.76304280945167</x:v>
      </x:c>
      <x:c r="J35" s="123" t="n">
        <x:f>RSQ(E35:E55,B35:B55)</x:f>
        <x:v>0.9993935658649209</x:v>
      </x:c>
      <x:c r="K35" s="117" t="n">
        <x:f>IF(I35&gt;0,'Config'!$B$17/I35,"")</x:f>
        <x:v>92.91052890004677</x:v>
      </x:c>
      <x:c r="L35" s="120" t="n">
        <x:f>MAX(D35:D55)</x:f>
        <x:v>5.956275878741194e-11</x:v>
      </x:c>
      <x:c r="M35" s="120" t="n">
        <x:f>IF(AND(H35&gt;='Config'!$B$14,J35&gt;='Config'!$B$15,L35&lt;=$E$4,I35&gt;0),K35,"")</x:f>
        <x:v>92.91052890004677</x:v>
      </x:c>
      <x:c r="N35" s="17" t="str">
        <x:f>IF(AND(M35&lt;&gt;"",ABS(M35-$G$4)&lt;='Config'!$B$22),"SELECTED","")</x:f>
      </x:c>
    </x:row>
    <x:row r="36">
      <x:c r="A36" s="15" t="n">
        <x:v>1035</x:v>
      </x:c>
      <x:c r="B36" s="117" t="n">
        <x:f>VALUE('Raw_Data'!I1035)</x:f>
        <x:v>-0.0549999999999999</x:v>
      </x:c>
      <x:c r="C36" s="117" t="n">
        <x:f>ROUND(B36,'Config'!$B$25)</x:f>
        <x:v>-0.055</x:v>
      </x:c>
      <x:c r="D36" s="120" t="n">
        <x:f>VALUE('Raw_Data'!J1035)</x:f>
        <x:v>5.647930720840611e-12</x:v>
      </x:c>
      <x:c r="E36" s="117" t="n">
        <x:f>LN(ABS(D36))/LN(10)</x:f>
        <x:v>-11.248110639105892</x:v>
      </x:c>
      <x:c r="F36" s="117" t="n">
        <x:f>B36</x:f>
        <x:v>-0.0549999999999999</x:v>
      </x:c>
      <x:c r="G36" s="117" t="n">
        <x:f>B56</x:f>
        <x:v>0.0450000000000001</x:v>
      </x:c>
      <x:c r="H36" s="117" t="n">
        <x:f>MAX(E36:E56)-MIN(E36:E56)</x:f>
        <x:v>1.080070548651836</x:v>
      </x:c>
      <x:c r="I36" s="117" t="n">
        <x:f>SLOPE(E36:E56,B36:B56)</x:f>
        <x:v>10.85714973434577</x:v>
      </x:c>
      <x:c r="J36" s="123" t="n">
        <x:f>RSQ(E36:E56,B36:B56)</x:f>
        <x:v>0.9995248170632564</x:v>
      </x:c>
      <x:c r="K36" s="117" t="n">
        <x:f>IF(I36&gt;0,'Config'!$B$17/I36,"")</x:f>
        <x:v>92.10520481600948</x:v>
      </x:c>
      <x:c r="L36" s="120" t="n">
        <x:f>MAX(D36:D56)</x:f>
        <x:v>6.791409370813256e-11</x:v>
      </x:c>
      <x:c r="M36" s="120" t="n">
        <x:f>IF(AND(H36&gt;='Config'!$B$14,J36&gt;='Config'!$B$15,L36&lt;=$E$4,I36&gt;0),K36,"")</x:f>
        <x:v>92.10520481600948</x:v>
      </x:c>
      <x:c r="N36" s="17" t="str">
        <x:f>IF(AND(M36&lt;&gt;"",ABS(M36-$G$4)&lt;='Config'!$B$22),"SELECTED","")</x:f>
      </x:c>
    </x:row>
    <x:row r="37">
      <x:c r="A37" s="15" t="n">
        <x:v>1036</x:v>
      </x:c>
      <x:c r="B37" s="117" t="n">
        <x:f>VALUE('Raw_Data'!I1036)</x:f>
        <x:v>-0.0499999999999999</x:v>
      </x:c>
      <x:c r="C37" s="117" t="n">
        <x:f>ROUND(B37,'Config'!$B$25)</x:f>
        <x:v>-0.05</x:v>
      </x:c>
      <x:c r="D37" s="120" t="n">
        <x:f>VALUE('Raw_Data'!J1036)</x:f>
        <x:v>6.310483680331215e-12</x:v>
      </x:c>
      <x:c r="E37" s="117" t="n">
        <x:f>LN(ABS(D37))/LN(10)</x:f>
        <x:v>-11.199937352063564</x:v>
      </x:c>
      <x:c r="F37" s="117" t="n">
        <x:f>B37</x:f>
        <x:v>-0.0499999999999999</x:v>
      </x:c>
      <x:c r="G37" s="117" t="n">
        <x:f>B57</x:f>
        <x:v>0.05000000000000009</x:v>
      </x:c>
      <x:c r="H37" s="117" t="n">
        <x:f>MAX(E37:E57)-MIN(E37:E57)</x:f>
        <x:v>1.0889876263796747</x:v>
      </x:c>
      <x:c r="I37" s="117" t="n">
        <x:f>SLOPE(E37:E57,B37:B57)</x:f>
        <x:v>10.941181475107006</x:v>
      </x:c>
      <x:c r="J37" s="123" t="n">
        <x:f>RSQ(E37:E57,B37:B57)</x:f>
        <x:v>0.9996289610419477</x:v>
      </x:c>
      <x:c r="K37" s="117" t="n">
        <x:f>IF(I37&gt;0,'Config'!$B$17/I37,"")</x:f>
        <x:v>91.39780765680243</x:v>
      </x:c>
      <x:c r="L37" s="120" t="n">
        <x:f>MAX(D37:D57)</x:f>
        <x:v>7.745514553794716e-11</x:v>
      </x:c>
      <x:c r="M37" s="120" t="n">
        <x:f>IF(AND(H37&gt;='Config'!$B$14,J37&gt;='Config'!$B$15,L37&lt;=$E$4,I37&gt;0),K37,"")</x:f>
        <x:v>91.39780765680243</x:v>
      </x:c>
      <x:c r="N37" s="17" t="str">
        <x:f>IF(AND(M37&lt;&gt;"",ABS(M37-$G$4)&lt;='Config'!$B$22),"SELECTED","")</x:f>
      </x:c>
    </x:row>
    <x:row r="38">
      <x:c r="A38" s="15" t="n">
        <x:v>1037</x:v>
      </x:c>
      <x:c r="B38" s="117" t="n">
        <x:f>VALUE('Raw_Data'!I1037)</x:f>
        <x:v>-0.0449999999999999</x:v>
      </x:c>
      <x:c r="C38" s="117" t="n">
        <x:f>ROUND(B38,'Config'!$B$25)</x:f>
        <x:v>-0.045</x:v>
      </x:c>
      <x:c r="D38" s="120" t="n">
        <x:f>VALUE('Raw_Data'!J1037)</x:f>
        <x:v>7.067652746641881e-12</x:v>
      </x:c>
      <x:c r="E38" s="117" t="n">
        <x:f>LN(ABS(D38))/LN(10)</x:f>
        <x:v>-11.15072479673206</x:v>
      </x:c>
      <x:c r="F38" s="117" t="n">
        <x:f>B38</x:f>
        <x:v>-0.0449999999999999</x:v>
      </x:c>
      <x:c r="G38" s="117" t="n">
        <x:f>B58</x:f>
        <x:v>0.05500000000000009</x:v>
      </x:c>
      <x:c r="H38" s="117" t="n">
        <x:f>MAX(E38:E58)-MIN(E38:E58)</x:f>
        <x:v>1.0969563559468334</x:v>
      </x:c>
      <x:c r="I38" s="117" t="n">
        <x:f>SLOPE(E38:E58,B38:B58)</x:f>
        <x:v>11.016007525746225</x:v>
      </x:c>
      <x:c r="J38" s="123" t="n">
        <x:f>RSQ(E38:E58,B38:B58)</x:f>
        <x:v>0.9997112539416311</x:v>
      </x:c>
      <x:c r="K38" s="117" t="n">
        <x:f>IF(I38&gt;0,'Config'!$B$17/I38,"")</x:f>
        <x:v>90.7769895456984</x:v>
      </x:c>
      <x:c r="L38" s="120" t="n">
        <x:f>MAX(D38:D58)</x:f>
        <x:v>8.835508707411417e-11</x:v>
      </x:c>
      <x:c r="M38" s="120" t="n">
        <x:f>IF(AND(H38&gt;='Config'!$B$14,J38&gt;='Config'!$B$15,L38&lt;=$E$4,I38&gt;0),K38,"")</x:f>
        <x:v>90.7769895456984</x:v>
      </x:c>
      <x:c r="N38" s="17" t="str">
        <x:f>IF(AND(M38&lt;&gt;"",ABS(M38-$G$4)&lt;='Config'!$B$22),"SELECTED","")</x:f>
      </x:c>
    </x:row>
    <x:row r="39">
      <x:c r="A39" s="15" t="n">
        <x:v>1038</x:v>
      </x:c>
      <x:c r="B39" s="117" t="n">
        <x:f>VALUE('Raw_Data'!I1038)</x:f>
        <x:v>-0.0399999999999999</x:v>
      </x:c>
      <x:c r="C39" s="117" t="n">
        <x:f>ROUND(B39,'Config'!$B$25)</x:f>
        <x:v>-0.04</x:v>
      </x:c>
      <x:c r="D39" s="120" t="n">
        <x:f>VALUE('Raw_Data'!J1038)</x:f>
        <x:v>7.932942342892279e-12</x:v>
      </x:c>
      <x:c r="E39" s="117" t="n">
        <x:f>LN(ABS(D39))/LN(10)</x:f>
        <x:v>-11.100565702181076</x:v>
      </x:c>
      <x:c r="F39" s="117" t="n">
        <x:f>B39</x:f>
        <x:v>-0.0399999999999999</x:v>
      </x:c>
      <x:c r="G39" s="117" t="n">
        <x:f>B59</x:f>
        <x:v>0.06000000000000009</x:v>
      </x:c>
      <x:c r="H39" s="117" t="n">
        <x:f>MAX(E39:E59)-MIN(E39:E59)</x:f>
        <x:v>1.1040567311633964</x:v>
      </x:c>
      <x:c r="I39" s="117" t="n">
        <x:f>SLOPE(E39:E59,B39:B59)</x:f>
        <x:v>11.082460562111075</x:v>
      </x:c>
      <x:c r="J39" s="123" t="n">
        <x:f>RSQ(E39:E59,B39:B59)</x:f>
        <x:v>0.999776032456668</x:v>
      </x:c>
      <x:c r="K39" s="117" t="n">
        <x:f>IF(I39&gt;0,'Config'!$B$17/I39,"")</x:f>
        <x:v>90.2326693964352</x:v>
      </x:c>
      <x:c r="L39" s="120" t="n">
        <x:f>MAX(D39:D59)</x:f>
        <x:v>1.008070785903204e-10</x:v>
      </x:c>
      <x:c r="M39" s="120" t="n">
        <x:f>IF(AND(H39&gt;='Config'!$B$14,J39&gt;='Config'!$B$15,L39&lt;=$E$4,I39&gt;0),K39,"")</x:f>
        <x:v>90.2326693964352</x:v>
      </x:c>
      <x:c r="N39" s="17" t="str">
        <x:f>IF(AND(M39&lt;&gt;"",ABS(M39-$G$4)&lt;='Config'!$B$22),"SELECTED","")</x:f>
      </x:c>
    </x:row>
    <x:row r="40">
      <x:c r="A40" s="15" t="n">
        <x:v>1039</x:v>
      </x:c>
      <x:c r="B40" s="117" t="n">
        <x:f>VALUE('Raw_Data'!I1039)</x:f>
        <x:v>-0.03499999999999991</x:v>
      </x:c>
      <x:c r="C40" s="117" t="n">
        <x:f>ROUND(B40,'Config'!$B$25)</x:f>
        <x:v>-0.035</x:v>
      </x:c>
      <x:c r="D40" s="120" t="n">
        <x:f>VALUE('Raw_Data'!J1039)</x:f>
        <x:v>8.921782765968998e-12</x:v>
      </x:c>
      <x:c r="E40" s="117" t="n">
        <x:f>LN(ABS(D40))/LN(10)</x:f>
        <x:v>-11.049548355482376</x:v>
      </x:c>
      <x:c r="F40" s="117" t="n">
        <x:f>B40</x:f>
        <x:v>-0.03499999999999991</x:v>
      </x:c>
      <x:c r="G40" s="117" t="n">
        <x:f>B60</x:f>
        <x:v>0.06500000000000009</x:v>
      </x:c>
      <x:c r="H40" s="117" t="n">
        <x:f>MAX(E40:E60)-MIN(E40:E60)</x:f>
        <x:v>1.110365720728245</x:v>
      </x:c>
      <x:c r="I40" s="117" t="n">
        <x:f>SLOPE(E40:E60,B40:B60)</x:f>
        <x:v>11.14132855353617</x:v>
      </x:c>
      <x:c r="J40" s="123" t="n">
        <x:f>RSQ(E40:E60,B40:B60)</x:f>
        <x:v>0.9998268447045241</x:v>
      </x:c>
      <x:c r="K40" s="117" t="n">
        <x:f>IF(I40&gt;0,'Config'!$B$17/I40,"")</x:f>
        <x:v>89.75590255639736</x:v>
      </x:c>
      <x:c r="L40" s="120" t="n">
        <x:f>MAX(D40:D60)</x:f>
        <x:v>1.150316542227206e-10</x:v>
      </x:c>
      <x:c r="M40" s="120" t="n">
        <x:f>IF(AND(H40&gt;='Config'!$B$14,J40&gt;='Config'!$B$15,L40&lt;=$E$4,I40&gt;0),K40,"")</x:f>
        <x:v>89.75590255639736</x:v>
      </x:c>
      <x:c r="N40" s="17" t="str">
        <x:f>IF(AND(M40&lt;&gt;"",ABS(M40-$G$4)&lt;='Config'!$B$22),"SELECTED","")</x:f>
      </x:c>
    </x:row>
    <x:row r="41">
      <x:c r="A41" s="15" t="n">
        <x:v>1040</x:v>
      </x:c>
      <x:c r="B41" s="117" t="n">
        <x:f>VALUE('Raw_Data'!I1040)</x:f>
        <x:v>-0.02999999999999991</x:v>
      </x:c>
      <x:c r="C41" s="117" t="n">
        <x:f>ROUND(B41,'Config'!$B$25)</x:f>
        <x:v>-0.03</x:v>
      </x:c>
      <x:c r="D41" s="120" t="n">
        <x:f>VALUE('Raw_Data'!J1040)</x:f>
        <x:v>1.005180448712331e-11</x:v>
      </x:c>
      <x:c r="E41" s="117" t="n">
        <x:f>LN(ABS(D41))/LN(10)</x:f>
        <x:v>-10.997755967253084</x:v>
      </x:c>
      <x:c r="F41" s="117" t="n">
        <x:f>B41</x:f>
        <x:v>-0.02999999999999991</x:v>
      </x:c>
      <x:c r="G41" s="117" t="n">
        <x:f>B61</x:f>
        <x:v>0.07000000000000009</x:v>
      </x:c>
      <x:c r="H41" s="117" t="n">
        <x:f>MAX(E41:E61)-MIN(E41:E61)</x:f>
        <x:v>1.1159564645756248</x:v>
      </x:c>
      <x:c r="I41" s="117" t="n">
        <x:f>SLOPE(E41:E61,B41:B61)</x:f>
        <x:v>11.193349549383463</x:v>
      </x:c>
      <x:c r="J41" s="123" t="n">
        <x:f>RSQ(E41:E61,B41:B61)</x:f>
        <x:v>0.9998665717749016</x:v>
      </x:c>
      <x:c r="K41" s="117" t="n">
        <x:f>IF(I41&gt;0,'Config'!$B$17/I41,"")</x:f>
        <x:v>89.33876277053106</x:v>
      </x:c>
      <x:c r="L41" s="120" t="n">
        <x:f>MAX(D41:D61)</x:f>
        <x:v>1.312805831898021e-10</x:v>
      </x:c>
      <x:c r="M41" s="120" t="n">
        <x:f>IF(AND(H41&gt;='Config'!$B$14,J41&gt;='Config'!$B$15,L41&lt;=$E$4,I41&gt;0),K41,"")</x:f>
        <x:v>89.33876277053106</x:v>
      </x:c>
      <x:c r="N41" s="17" t="str">
        <x:f>IF(AND(M41&lt;&gt;"",ABS(M41-$G$4)&lt;='Config'!$B$22),"SELECTED","")</x:f>
      </x:c>
    </x:row>
    <x:row r="42">
      <x:c r="A42" s="15" t="n">
        <x:v>1041</x:v>
      </x:c>
      <x:c r="B42" s="117" t="n">
        <x:f>VALUE('Raw_Data'!I1041)</x:f>
        <x:v>-0.0249999999999999</x:v>
      </x:c>
      <x:c r="C42" s="117" t="n">
        <x:f>ROUND(B42,'Config'!$B$25)</x:f>
        <x:v>-0.025</x:v>
      </x:c>
      <x:c r="D42" s="120" t="n">
        <x:f>VALUE('Raw_Data'!J1041)</x:f>
        <x:v>1.134315144431181e-11</x:v>
      </x:c>
      <x:c r="E42" s="117" t="n">
        <x:f>LN(ABS(D42))/LN(10)</x:f>
        <x:v>-10.94526626954084</x:v>
      </x:c>
      <x:c r="F42" s="117" t="n">
        <x:f>B42</x:f>
        <x:v>-0.0249999999999999</x:v>
      </x:c>
      <x:c r="G42" s="117" t="n">
        <x:f>B62</x:f>
        <x:v>0.0750000000000001</x:v>
      </x:c>
      <x:c r="H42" s="117" t="n">
        <x:f>MAX(E42:E62)-MIN(E42:E62)</x:f>
        <x:v>1.1244101381320224</x:v>
      </x:c>
      <x:c r="I42" s="117" t="n">
        <x:f>SLOPE(E42:E62,B42:B62)</x:f>
        <x:v>11.248331877803146</x:v>
      </x:c>
      <x:c r="J42" s="123" t="n">
        <x:f>RSQ(E42:E62,B42:B62)</x:f>
        <x:v>0.9998785348858615</x:v>
      </x:c>
      <x:c r="K42" s="117" t="n">
        <x:f>IF(I42&gt;0,'Config'!$B$17/I42,"")</x:f>
        <x:v>88.90207106827513</x:v>
      </x:c>
      <x:c r="L42" s="120" t="n">
        <x:f>MAX(D42:D62)</x:f>
        <x:v>1.510580480790582e-10</x:v>
      </x:c>
      <x:c r="M42" s="120" t="n">
        <x:f>IF(AND(H42&gt;='Config'!$B$14,J42&gt;='Config'!$B$15,L42&lt;=$E$4,I42&gt;0),K42,"")</x:f>
        <x:v>88.90207106827513</x:v>
      </x:c>
      <x:c r="N42" s="17" t="str">
        <x:f>IF(AND(M42&lt;&gt;"",ABS(M42-$G$4)&lt;='Config'!$B$22),"SELECTED","")</x:f>
      </x:c>
    </x:row>
    <x:row r="43">
      <x:c r="A43" s="15" t="n">
        <x:v>1042</x:v>
      </x:c>
      <x:c r="B43" s="117" t="n">
        <x:f>VALUE('Raw_Data'!I1042)</x:f>
        <x:v>-0.0199999999999999</x:v>
      </x:c>
      <x:c r="C43" s="117" t="n">
        <x:f>ROUND(B43,'Config'!$B$25)</x:f>
        <x:v>-0.02</x:v>
      </x:c>
      <x:c r="D43" s="120" t="n">
        <x:f>VALUE('Raw_Data'!J1042)</x:f>
        <x:v>1.281883885238538e-11</x:v>
      </x:c>
      <x:c r="E43" s="117" t="n">
        <x:f>LN(ABS(D43))/LN(10)</x:f>
        <x:v>-10.892151312012224</x:v>
      </x:c>
      <x:c r="F43" s="117" t="n">
        <x:f>B43</x:f>
        <x:v>-0.0199999999999999</x:v>
      </x:c>
      <x:c r="G43" s="117" t="n">
        <x:f>B63</x:f>
        <x:v>0.0800000000000001</x:v>
      </x:c>
      <x:c r="H43" s="117" t="n">
        <x:f>MAX(E43:E63)-MIN(E43:E63)</x:f>
        <x:v>1.1287671411067919</x:v>
      </x:c>
      <x:c r="I43" s="117" t="n">
        <x:f>SLOPE(E43:E63,B43:B63)</x:f>
        <x:v>11.29687432155381</x:v>
      </x:c>
      <x:c r="J43" s="123" t="n">
        <x:f>RSQ(E43:E63,B43:B63)</x:f>
        <x:v>0.9998921889067707</x:v>
      </x:c>
      <x:c r="K43" s="117" t="n">
        <x:f>IF(I43&gt;0,'Config'!$B$17/I43,"")</x:f>
        <x:v>88.52006064120368</x:v>
      </x:c>
      <x:c r="L43" s="120" t="n">
        <x:f>MAX(D43:D63)</x:f>
        <x:v>1.724311914636249e-10</x:v>
      </x:c>
      <x:c r="M43" s="120" t="n">
        <x:f>IF(AND(H43&gt;='Config'!$B$14,J43&gt;='Config'!$B$15,L43&lt;=$E$4,I43&gt;0),K43,"")</x:f>
        <x:v>88.52006064120368</x:v>
      </x:c>
      <x:c r="N43" s="17" t="str">
        <x:f>IF(AND(M43&lt;&gt;"",ABS(M43-$G$4)&lt;='Config'!$B$22),"SELECTED","")</x:f>
      </x:c>
    </x:row>
    <x:row r="44">
      <x:c r="A44" s="15" t="n">
        <x:v>1043</x:v>
      </x:c>
      <x:c r="B44" s="117" t="n">
        <x:f>VALUE('Raw_Data'!I1043)</x:f>
        <x:v>-0.0149999999999999</x:v>
      </x:c>
      <x:c r="C44" s="117" t="n">
        <x:f>ROUND(B44,'Config'!$B$25)</x:f>
        <x:v>-0.015</x:v>
      </x:c>
      <x:c r="D44" s="120" t="n">
        <x:f>VALUE('Raw_Data'!J1043)</x:f>
        <x:v>1.450516183631683e-11</x:v>
      </x:c>
      <x:c r="E44" s="117" t="n">
        <x:f>LN(ABS(D44))/LN(10)</x:f>
        <x:v>-10.838477421344095</x:v>
      </x:c>
      <x:c r="F44" s="117" t="n">
        <x:f>B44</x:f>
        <x:v>-0.0149999999999999</x:v>
      </x:c>
      <x:c r="G44" s="117" t="n">
        <x:f>B64</x:f>
        <x:v>0.0850000000000001</x:v>
      </x:c>
      <x:c r="H44" s="117" t="n">
        <x:f>MAX(E44:E64)-MIN(E44:E64)</x:f>
        <x:v>1.132597359173559</x:v>
      </x:c>
      <x:c r="I44" s="117" t="n">
        <x:f>SLOPE(E44:E64,B44:B64)</x:f>
        <x:v>11.339552744922223</x:v>
      </x:c>
      <x:c r="J44" s="123" t="n">
        <x:f>RSQ(E44:E64,B44:B64)</x:f>
        <x:v>0.9999065326806774</x:v>
      </x:c>
      <x:c r="K44" s="117" t="n">
        <x:f>IF(I44&gt;0,'Config'!$B$17/I44,"")</x:f>
        <x:v>88.18689965067568</x:v>
      </x:c>
      <x:c r="L44" s="120" t="n">
        <x:f>MAX(D44:D64)</x:f>
        <x:v>1.968429830124888e-10</x:v>
      </x:c>
      <x:c r="M44" s="120" t="n">
        <x:f>IF(AND(H44&gt;='Config'!$B$14,J44&gt;='Config'!$B$15,L44&lt;=$E$4,I44&gt;0),K44,"")</x:f>
        <x:v>88.18689965067568</x:v>
      </x:c>
      <x:c r="N44" s="17" t="str">
        <x:f>IF(AND(M44&lt;&gt;"",ABS(M44-$G$4)&lt;='Config'!$B$22),"SELECTED","")</x:f>
      </x:c>
    </x:row>
    <x:row r="45">
      <x:c r="A45" s="15" t="n">
        <x:v>1044</x:v>
      </x:c>
      <x:c r="B45" s="117" t="n">
        <x:f>VALUE('Raw_Data'!I1044)</x:f>
        <x:v>-0.009999999999999901</x:v>
      </x:c>
      <x:c r="C45" s="117" t="n">
        <x:f>ROUND(B45,'Config'!$B$25)</x:f>
        <x:v>-0.01</x:v>
      </x:c>
      <x:c r="D45" s="120" t="n">
        <x:f>VALUE('Raw_Data'!J1044)</x:f>
        <x:v>1.643216208159562e-11</x:v>
      </x:c>
      <x:c r="E45" s="117" t="n">
        <x:f>LN(ABS(D45))/LN(10)</x:f>
        <x:v>-10.784305289983685</x:v>
      </x:c>
      <x:c r="F45" s="117" t="n">
        <x:f>B45</x:f>
        <x:v>-0.009999999999999901</x:v>
      </x:c>
      <x:c r="G45" s="117" t="n">
        <x:f>B65</x:f>
        <x:v>0.09000000000000011</x:v>
      </x:c>
      <x:c r="H45" s="117" t="n">
        <x:f>MAX(E45:E65)-MIN(E45:E65)</x:f>
        <x:v>1.1359550747594298</x:v>
      </x:c>
      <x:c r="I45" s="117" t="n">
        <x:f>SLOPE(E45:E65,B45:B65)</x:f>
        <x:v>11.376890912958308</x:v>
      </x:c>
      <x:c r="J45" s="123" t="n">
        <x:f>RSQ(E45:E65,B45:B65)</x:f>
        <x:v>0.9999208031492506</x:v>
      </x:c>
      <x:c r="K45" s="117" t="n">
        <x:f>IF(I45&gt;0,'Config'!$B$17/I45,"")</x:f>
        <x:v>87.89747635366685</x:v>
      </x:c>
      <x:c r="L45" s="120" t="n">
        <x:f>MAX(D45:D65)</x:f>
        <x:v>2.247241698466689e-10</x:v>
      </x:c>
      <x:c r="M45" s="120" t="n">
        <x:f>IF(AND(H45&gt;='Config'!$B$14,J45&gt;='Config'!$B$15,L45&lt;=$E$4,I45&gt;0),K45,"")</x:f>
        <x:v>87.89747635366685</x:v>
      </x:c>
      <x:c r="N45" s="17" t="str">
        <x:f>IF(AND(M45&lt;&gt;"",ABS(M45-$G$4)&lt;='Config'!$B$22),"SELECTED","")</x:f>
      </x:c>
    </x:row>
    <x:row r="46">
      <x:c r="A46" s="15" t="n">
        <x:v>1045</x:v>
      </x:c>
      <x:c r="B46" s="117" t="n">
        <x:f>VALUE('Raw_Data'!I1045)</x:f>
        <x:v>-0.004999999999999901</x:v>
      </x:c>
      <x:c r="C46" s="117" t="n">
        <x:f>ROUND(B46,'Config'!$B$25)</x:f>
        <x:v>-0.005</x:v>
      </x:c>
      <x:c r="D46" s="120" t="n">
        <x:f>VALUE('Raw_Data'!J1045)</x:f>
        <x:v>1.863416070862027e-11</x:v>
      </x:c>
      <x:c r="E46" s="117" t="n">
        <x:f>LN(ABS(D46))/LN(10)</x:f>
        <x:v>-10.729690163297768</x:v>
      </x:c>
      <x:c r="F46" s="117" t="n">
        <x:f>B46</x:f>
        <x:v>-0.004999999999999901</x:v>
      </x:c>
      <x:c r="G46" s="117" t="n">
        <x:f>B66</x:f>
        <x:v>0.09500000000000011</x:v>
      </x:c>
      <x:c r="H46" s="117" t="n">
        <x:f>MAX(E46:E66)-MIN(E46:E66)</x:f>
        <x:v>1.1388897503155846</x:v>
      </x:c>
      <x:c r="I46" s="117" t="n">
        <x:f>SLOPE(E46:E66,B46:B66)</x:f>
        <x:v>11.409362655349035</x:v>
      </x:c>
      <x:c r="J46" s="123" t="n">
        <x:f>RSQ(E46:E66,B46:B66)</x:f>
        <x:v>0.9999344291278388</x:v>
      </x:c>
      <x:c r="K46" s="117" t="n">
        <x:f>IF(I46&gt;0,'Config'!$B$17/I46,"")</x:f>
        <x:v>87.64731477188793</x:v>
      </x:c>
      <x:c r="L46" s="120" t="n">
        <x:f>MAX(D46:D66)</x:f>
        <x:v>2.5656628572766e-10</x:v>
      </x:c>
      <x:c r="M46" s="120" t="n">
        <x:f>IF(AND(H46&gt;='Config'!$B$14,J46&gt;='Config'!$B$15,L46&lt;=$E$4,I46&gt;0),K46,"")</x:f>
        <x:v>87.64731477188793</x:v>
      </x:c>
      <x:c r="N46" s="17" t="str">
        <x:f>IF(AND(M46&lt;&gt;"",ABS(M46-$G$4)&lt;='Config'!$B$22),"SELECTED","")</x:f>
      </x:c>
    </x:row>
    <x:row r="47">
      <x:c r="A47" s="15" t="n">
        <x:v>1046</x:v>
      </x:c>
      <x:c r="B47" s="117" t="n">
        <x:f>VALUE('Raw_Data'!I1046)</x:f>
        <x:v>9.8879238130678e-17</x:v>
      </x:c>
      <x:c r="C47" s="117" t="n">
        <x:f>ROUND(B47,'Config'!$B$25)</x:f>
        <x:v>0</x:v>
      </x:c>
      <x:c r="D47" s="120" t="n">
        <x:f>VALUE('Raw_Data'!J1046)</x:f>
        <x:v>2.115036673217059e-11</x:v>
      </x:c>
      <x:c r="E47" s="117" t="n">
        <x:f>LN(ABS(D47))/LN(10)</x:f>
        <x:v>-10.674682097869212</x:v>
      </x:c>
      <x:c r="F47" s="117" t="n">
        <x:f>B47</x:f>
        <x:v>9.8879238130678e-17</x:v>
      </x:c>
      <x:c r="G47" s="117" t="n">
        <x:f>B67</x:f>
        <x:v>0.1000000000000001</x:v>
      </x:c>
      <x:c r="H47" s="117" t="n">
        <x:f>MAX(E47:E67)-MIN(E47:E67)</x:f>
        <x:v>1.1414462010649853</x:v>
      </x:c>
      <x:c r="I47" s="117" t="n">
        <x:f>SLOPE(E47:E67,B47:B67)</x:f>
        <x:v>11.437394573927598</x:v>
      </x:c>
      <x:c r="J47" s="123" t="n">
        <x:f>RSQ(E47:E67,B47:B67)</x:f>
        <x:v>0.9999469957223317</x:v>
      </x:c>
      <x:c r="K47" s="117" t="n">
        <x:f>IF(I47&gt;0,'Config'!$B$17/I47,"")</x:f>
        <x:v>87.43249990514232</x:v>
      </x:c>
      <x:c r="L47" s="120" t="n">
        <x:f>MAX(D47:D67)</x:f>
        <x:v>2.929301697023655e-10</x:v>
      </x:c>
      <x:c r="M47" s="120" t="n">
        <x:f>IF(AND(H47&gt;='Config'!$B$14,J47&gt;='Config'!$B$15,L47&lt;=$E$4,I47&gt;0),K47,"")</x:f>
        <x:v>87.43249990514232</x:v>
      </x:c>
      <x:c r="N47" s="17" t="str">
        <x:f>IF(AND(M47&lt;&gt;"",ABS(M47-$G$4)&lt;='Config'!$B$22),"SELECTED","")</x:f>
      </x:c>
    </x:row>
    <x:row r="48">
      <x:c r="A48" s="15" t="n">
        <x:v>1047</x:v>
      </x:c>
      <x:c r="B48" s="117" t="n">
        <x:f>VALUE('Raw_Data'!I1047)</x:f>
        <x:v>0.005000000000000099</x:v>
      </x:c>
      <x:c r="C48" s="117" t="n">
        <x:f>ROUND(B48,'Config'!$B$25)</x:f>
        <x:v>0.005</x:v>
      </x:c>
      <x:c r="D48" s="120" t="n">
        <x:f>VALUE('Raw_Data'!J1047)</x:f>
        <x:v>2.402557178232038e-11</x:v>
      </x:c>
      <x:c r="E48" s="117" t="n">
        <x:f>LN(ABS(D48))/LN(10)</x:f>
        <x:v>-10.619326267802947</x:v>
      </x:c>
      <x:c r="F48" s="117" t="n">
        <x:f>B48</x:f>
        <x:v>0.005000000000000099</x:v>
      </x:c>
      <x:c r="G48" s="117" t="n">
        <x:f>B68</x:f>
        <x:v>0.1050000000000001</x:v>
      </x:c>
      <x:c r="H48" s="117" t="n">
        <x:f>MAX(E48:E68)-MIN(E48:E68)</x:f>
        <x:v>1.1436648251251587</x:v>
      </x:c>
      <x:c r="I48" s="117" t="n">
        <x:f>SLOPE(E48:E68,B48:B68)</x:f>
        <x:v>11.461369088476282</x:v>
      </x:c>
      <x:c r="J48" s="123" t="n">
        <x:f>RSQ(E48:E68,B48:B68)</x:f>
        <x:v>0.9999582167232436</x:v>
      </x:c>
      <x:c r="K48" s="117" t="n">
        <x:f>IF(I48&gt;0,'Config'!$B$17/I48,"")</x:f>
        <x:v>87.24961148013634</x:v>
      </x:c>
      <x:c r="L48" s="120" t="n">
        <x:f>MAX(D48:D68)</x:f>
        <x:v>3.344556656964746e-10</x:v>
      </x:c>
      <x:c r="M48" s="120" t="n">
        <x:f>IF(AND(H48&gt;='Config'!$B$14,J48&gt;='Config'!$B$15,L48&lt;=$E$4,I48&gt;0),K48,"")</x:f>
        <x:v>87.24961148013634</x:v>
      </x:c>
      <x:c r="N48" s="17" t="str">
        <x:f>IF(AND(M48&lt;&gt;"",ABS(M48-$G$4)&lt;='Config'!$B$22),"SELECTED","")</x:f>
      </x:c>
    </x:row>
    <x:row r="49">
      <x:c r="A49" s="15" t="n">
        <x:v>1048</x:v>
      </x:c>
      <x:c r="B49" s="117" t="n">
        <x:f>VALUE('Raw_Data'!I1048)</x:f>
        <x:v>0.0100000000000001</x:v>
      </x:c>
      <x:c r="C49" s="117" t="n">
        <x:f>ROUND(B49,'Config'!$B$25)</x:f>
        <x:v>0.01</x:v>
      </x:c>
      <x:c r="D49" s="120" t="n">
        <x:f>VALUE('Raw_Data'!J1048)</x:f>
        <x:v>2.731094326134264e-11</x:v>
      </x:c>
      <x:c r="E49" s="117" t="n">
        <x:f>LN(ABS(D49))/LN(10)</x:f>
        <x:v>-10.563663300002275</x:v>
      </x:c>
      <x:c r="F49" s="117" t="n">
        <x:f>B49</x:f>
        <x:v>0.0100000000000001</x:v>
      </x:c>
      <x:c r="G49" s="117" t="n">
        <x:f>B69</x:f>
        <x:v>0.1100000000000001</x:v>
      </x:c>
      <x:c r="H49" s="117" t="n">
        <x:f>MAX(E49:E69)-MIN(E49:E69)</x:f>
        <x:v>1.1455818709294903</x:v>
      </x:c>
      <x:c r="I49" s="117" t="n">
        <x:f>SLOPE(E49:E69,B49:B69)</x:f>
        <x:v>11.481627657982763</x:v>
      </x:c>
      <x:c r="J49" s="123" t="n">
        <x:f>RSQ(E49:E69,B49:B69)</x:f>
        <x:v>0.9999679130762977</x:v>
      </x:c>
      <x:c r="K49" s="117" t="n">
        <x:f>IF(I49&gt;0,'Config'!$B$17/I49,"")</x:f>
        <x:v>87.09566533493498</x:v>
      </x:c>
      <x:c r="L49" s="120" t="n">
        <x:f>MAX(D49:D69)</x:f>
        <x:v>3.818726640073642e-10</x:v>
      </x:c>
      <x:c r="M49" s="120" t="n">
        <x:f>IF(AND(H49&gt;='Config'!$B$14,J49&gt;='Config'!$B$15,L49&lt;=$E$4,I49&gt;0),K49,"")</x:f>
        <x:v>87.09566533493498</x:v>
      </x:c>
      <x:c r="N49" s="17" t="str">
        <x:f>IF(AND(M49&lt;&gt;"",ABS(M49-$G$4)&lt;='Config'!$B$22),"SELECTED","")</x:f>
      </x:c>
    </x:row>
    <x:row r="50">
      <x:c r="A50" s="15" t="n">
        <x:v>1049</x:v>
      </x:c>
      <x:c r="B50" s="117" t="n">
        <x:f>VALUE('Raw_Data'!I1049)</x:f>
        <x:v>0.0150000000000001</x:v>
      </x:c>
      <x:c r="C50" s="117" t="n">
        <x:f>ROUND(B50,'Config'!$B$25)</x:f>
        <x:v>0.015</x:v>
      </x:c>
      <x:c r="D50" s="120" t="n">
        <x:f>VALUE('Raw_Data'!J1049)</x:f>
        <x:v>3.106492981728692e-11</x:v>
      </x:c>
      <x:c r="E50" s="117" t="n">
        <x:f>LN(ABS(D50))/LN(10)</x:f>
        <x:v>-10.507729623219365</x:v>
      </x:c>
      <x:c r="F50" s="117" t="n">
        <x:f>B50</x:f>
        <x:v>0.0150000000000001</x:v>
      </x:c>
      <x:c r="G50" s="117" t="n">
        <x:f>B70</x:f>
        <x:v>0.1150000000000001</x:v>
      </x:c>
      <x:c r="H50" s="117" t="n">
        <x:f>MAX(E50:E70)-MIN(E50:E70)</x:f>
        <x:v>1.1472297258063335</x:v>
      </x:c>
      <x:c r="I50" s="117" t="n">
        <x:f>SLOPE(E50:E70,B50:B70)</x:f>
        <x:v>11.498474051820347</x:v>
      </x:c>
      <x:c r="J50" s="123" t="n">
        <x:f>RSQ(E50:E70,B50:B70)</x:f>
        <x:v>0.9999759960626531</x:v>
      </x:c>
      <x:c r="K50" s="117" t="n">
        <x:f>IF(I50&gt;0,'Config'!$B$17/I50,"")</x:f>
        <x:v>86.96806163089857</x:v>
      </x:c>
      <x:c r="L50" s="120" t="n">
        <x:f>MAX(D50:D70)</x:f>
        <x:v>4.360136669934508e-10</x:v>
      </x:c>
      <x:c r="M50" s="120" t="n">
        <x:f>IF(AND(H50&gt;='Config'!$B$14,J50&gt;='Config'!$B$15,L50&lt;=$E$4,I50&gt;0),K50,"")</x:f>
        <x:v>86.96806163089857</x:v>
      </x:c>
      <x:c r="N50" s="17" t="str">
        <x:f>IF(AND(M50&lt;&gt;"",ABS(M50-$G$4)&lt;='Config'!$B$22),"SELECTED","")</x:f>
      </x:c>
    </x:row>
    <x:row r="51">
      <x:c r="A51" s="15" t="n">
        <x:v>1050</x:v>
      </x:c>
      <x:c r="B51" s="117" t="n">
        <x:f>VALUE('Raw_Data'!I1050)</x:f>
        <x:v>0.0200000000000001</x:v>
      </x:c>
      <x:c r="C51" s="117" t="n">
        <x:f>ROUND(B51,'Config'!$B$25)</x:f>
        <x:v>0.02</x:v>
      </x:c>
      <x:c r="D51" s="120" t="n">
        <x:f>VALUE('Raw_Data'!J1050)</x:f>
        <x:v>3.535429495798751e-11</x:v>
      </x:c>
      <x:c r="E51" s="117" t="n">
        <x:f>LN(ABS(D51))/LN(10)</x:f>
        <x:v>-10.451557819116037</x:v>
      </x:c>
      <x:c r="F51" s="117" t="n">
        <x:f>B51</x:f>
        <x:v>0.0200000000000001</x:v>
      </x:c>
      <x:c r="G51" s="117" t="n">
        <x:f>B71</x:f>
        <x:v>0.1200000000000001</x:v>
      </x:c>
      <x:c r="H51" s="117" t="n">
        <x:f>MAX(E51:E71)-MIN(E51:E71)</x:f>
        <x:v>1.14863721309524</x:v>
      </x:c>
      <x:c r="I51" s="117" t="n">
        <x:f>SLOPE(E51:E71,B51:B71)</x:f>
        <x:v>11.512177577072253</x:v>
      </x:c>
      <x:c r="J51" s="123" t="n">
        <x:f>RSQ(E51:E71,B51:B71)</x:f>
        <x:v>0.9999824541939052</x:v>
      </x:c>
      <x:c r="K51" s="117" t="n">
        <x:f>IF(I51&gt;0,'Config'!$B$17/I51,"")</x:f>
        <x:v>86.86453916343405</x:v>
      </x:c>
      <x:c r="L51" s="120" t="n">
        <x:f>MAX(D51:D71)</x:f>
        <x:v>4.978280853064775e-10</x:v>
      </x:c>
      <x:c r="M51" s="120" t="n">
        <x:f>IF(AND(H51&gt;='Config'!$B$14,J51&gt;='Config'!$B$15,L51&lt;=$E$4,I51&gt;0),K51,"")</x:f>
        <x:v>86.86453916343405</x:v>
      </x:c>
      <x:c r="N51" s="17" t="str">
        <x:f>IF(AND(M51&lt;&gt;"",ABS(M51-$G$4)&lt;='Config'!$B$22),"SELECTED","")</x:f>
      </x:c>
    </x:row>
    <x:row r="52">
      <x:c r="A52" s="15" t="n">
        <x:v>1051</x:v>
      </x:c>
      <x:c r="B52" s="117" t="n">
        <x:f>VALUE('Raw_Data'!I1051)</x:f>
        <x:v>0.0250000000000001</x:v>
      </x:c>
      <x:c r="C52" s="117" t="n">
        <x:f>ROUND(B52,'Config'!$B$25)</x:f>
        <x:v>0.025</x:v>
      </x:c>
      <x:c r="D52" s="120" t="n">
        <x:f>VALUE('Raw_Data'!J1051)</x:f>
        <x:v>4.02552968407003e-11</x:v>
      </x:c>
      <x:c r="E52" s="117" t="n">
        <x:f>LN(ABS(D52))/LN(10)</x:f>
        <x:v>-10.395176966542397</x:v>
      </x:c>
      <x:c r="F52" s="117" t="n">
        <x:f>B52</x:f>
        <x:v>0.0250000000000001</x:v>
      </x:c>
      <x:c r="G52" s="117" t="n">
        <x:f>B72</x:f>
        <x:v>0.1250000000000001</x:v>
      </x:c>
      <x:c r="H52" s="117" t="n">
        <x:f>MAX(E52:E72)-MIN(E52:E72)</x:f>
        <x:v>1.149829888235029</x:v>
      </x:c>
      <x:c r="I52" s="117" t="n">
        <x:f>SLOPE(E52:E72,B52:B72)</x:f>
        <x:v>11.52297619455073</x:v>
      </x:c>
      <x:c r="J52" s="123" t="n">
        <x:f>RSQ(E52:E72,B52:B72)</x:f>
        <x:v>0.9999873430864435</x:v>
      </x:c>
      <x:c r="K52" s="117" t="n">
        <x:f>IF(I52&gt;0,'Config'!$B$17/I52,"")</x:f>
        <x:v>86.78313511338371</x:v>
      </x:c>
      <x:c r="L52" s="120" t="n">
        <x:f>MAX(D52:D72)</x:f>
        <x:v>5.683984980839916e-10</x:v>
      </x:c>
      <x:c r="M52" s="120" t="n">
        <x:f>IF(AND(H52&gt;='Config'!$B$14,J52&gt;='Config'!$B$15,L52&lt;=$E$4,I52&gt;0),K52,"")</x:f>
        <x:v>86.78313511338371</x:v>
      </x:c>
      <x:c r="N52" s="17" t="str">
        <x:f>IF(AND(M52&lt;&gt;"",ABS(M52-$G$4)&lt;='Config'!$B$22),"SELECTED","")</x:f>
      </x:c>
    </x:row>
    <x:row r="53">
      <x:c r="A53" s="15" t="n">
        <x:v>1052</x:v>
      </x:c>
      <x:c r="B53" s="117" t="n">
        <x:f>VALUE('Raw_Data'!I1052)</x:f>
        <x:v>0.0300000000000001</x:v>
      </x:c>
      <x:c r="C53" s="117" t="n">
        <x:f>ROUND(B53,'Config'!$B$25)</x:f>
        <x:v>0.03</x:v>
      </x:c>
      <x:c r="D53" s="120" t="n">
        <x:f>VALUE('Raw_Data'!J1052)</x:f>
        <x:v>4.585503478921209e-11</x:v>
      </x:c>
      <x:c r="E53" s="117" t="n">
        <x:f>LN(ABS(D53))/LN(10)</x:f>
        <x:v>-10.338612972728377</x:v>
      </x:c>
      <x:c r="F53" s="117" t="n">
        <x:f>B53</x:f>
        <x:v>0.0300000000000001</x:v>
      </x:c>
      <x:c r="G53" s="117" t="n">
        <x:f>B73</x:f>
        <x:v>0.1300000000000001</x:v>
      </x:c>
      <x:c r="H53" s="117" t="n">
        <x:f>MAX(E53:E73)-MIN(E53:E73)</x:f>
        <x:v>1.1508303268245061</x:v>
      </x:c>
      <x:c r="I53" s="117" t="n">
        <x:f>SLOPE(E53:E73,B53:B73)</x:f>
        <x:v>11.531079477363322</x:v>
      </x:c>
      <x:c r="J53" s="123" t="n">
        <x:f>RSQ(E53:E73,B53:B73)</x:f>
        <x:v>0.9999907777618433</x:v>
      </x:c>
      <x:c r="K53" s="117" t="n">
        <x:f>IF(I53&gt;0,'Config'!$B$17/I53,"")</x:f>
        <x:v>86.72214964462792</x:v>
      </x:c>
      <x:c r="L53" s="120" t="n">
        <x:f>MAX(D53:D73)</x:f>
        <x:v>6.489591409580661e-10</x:v>
      </x:c>
      <x:c r="M53" s="120" t="n">
        <x:f>IF(AND(H53&gt;='Config'!$B$14,J53&gt;='Config'!$B$15,L53&lt;=$E$4,I53&gt;0),K53,"")</x:f>
        <x:v>86.72214964462792</x:v>
      </x:c>
      <x:c r="N53" s="17" t="str">
        <x:f>IF(AND(M53&lt;&gt;"",ABS(M53-$G$4)&lt;='Config'!$B$22),"SELECTED","")</x:f>
      </x:c>
    </x:row>
    <x:row r="54">
      <x:c r="A54" s="15" t="n">
        <x:v>1053</x:v>
      </x:c>
      <x:c r="B54" s="117" t="n">
        <x:f>VALUE('Raw_Data'!I1053)</x:f>
        <x:v>0.0350000000000001</x:v>
      </x:c>
      <x:c r="C54" s="117" t="n">
        <x:f>ROUND(B54,'Config'!$B$25)</x:f>
        <x:v>0.035</x:v>
      </x:c>
      <x:c r="D54" s="120" t="n">
        <x:f>VALUE('Raw_Data'!J1053)</x:f>
        <x:v>5.225298595400275e-11</x:v>
      </x:c>
      <x:c r="E54" s="117" t="n">
        <x:f>LN(ABS(D54))/LN(10)</x:f>
        <x:v>-10.281888887106016</x:v>
      </x:c>
      <x:c r="F54" s="117" t="n">
        <x:f>B54</x:f>
        <x:v>0.0350000000000001</x:v>
      </x:c>
      <x:c r="G54" s="117" t="n">
        <x:f>B74</x:f>
        <x:v>0.1350000000000001</x:v>
      </x:c>
      <x:c r="H54" s="117" t="n">
        <x:f>MAX(E54:E74)-MIN(E54:E74)</x:f>
        <x:v>1.1516583997543233</x:v>
      </x:c>
      <x:c r="I54" s="117" t="n">
        <x:f>SLOPE(E54:E74,B54:B74)</x:f>
        <x:v>11.536671382731113</x:v>
      </x:c>
      <x:c r="J54" s="123" t="n">
        <x:f>RSQ(E54:E74,B54:B74)</x:f>
        <x:v>0.9999929269492587</x:v>
      </x:c>
      <x:c r="K54" s="117" t="n">
        <x:f>IF(I54&gt;0,'Config'!$B$17/I54,"")</x:f>
        <x:v>86.68011481170116</x:v>
      </x:c>
      <x:c r="L54" s="120" t="n">
        <x:f>MAX(D54:D74)</x:f>
        <x:v>7.409169199265799e-10</x:v>
      </x:c>
      <x:c r="M54" s="120" t="n">
        <x:f>IF(AND(H54&gt;='Config'!$B$14,J54&gt;='Config'!$B$15,L54&lt;=$E$4,I54&gt;0),K54,"")</x:f>
        <x:v>86.68011481170116</x:v>
      </x:c>
      <x:c r="N54" s="17" t="str">
        <x:f>IF(AND(M54&lt;&gt;"",ABS(M54-$G$4)&lt;='Config'!$B$22),"SELECTED","")</x:f>
      </x:c>
    </x:row>
    <x:row r="55">
      <x:c r="A55" s="15" t="n">
        <x:v>1054</x:v>
      </x:c>
      <x:c r="B55" s="117" t="n">
        <x:f>VALUE('Raw_Data'!I1054)</x:f>
        <x:v>0.0400000000000001</x:v>
      </x:c>
      <x:c r="C55" s="117" t="n">
        <x:f>ROUND(B55,'Config'!$B$25)</x:f>
        <x:v>0.04</x:v>
      </x:c>
      <x:c r="D55" s="120" t="n">
        <x:f>VALUE('Raw_Data'!J1054)</x:f>
        <x:v>5.956275878741194e-11</x:v>
      </x:c>
      <x:c r="E55" s="117" t="n">
        <x:f>LN(ABS(D55))/LN(10)</x:f>
        <x:v>-10.225025195097121</x:v>
      </x:c>
      <x:c r="F55" s="117" t="n">
        <x:f>B55</x:f>
        <x:v>0.0400000000000001</x:v>
      </x:c>
      <x:c r="G55" s="117" t="n">
        <x:f>B75</x:f>
        <x:v>0.1400000000000002</x:v>
      </x:c>
      <x:c r="H55" s="117" t="n">
        <x:f>MAX(E55:E75)-MIN(E55:E75)</x:f>
        <x:v>1.1523315321899599</x:v>
      </x:c>
      <x:c r="I55" s="117" t="n">
        <x:f>SLOPE(E55:E75,B55:B75)</x:f>
        <x:v>11.53991282080399</x:v>
      </x:c>
      <x:c r="J55" s="123" t="n">
        <x:f>RSQ(E55:E75,B55:B75)</x:f>
        <x:v>0.9999940090594026</x:v>
      </x:c>
      <x:c r="K55" s="117" t="n">
        <x:f>IF(I55&gt;0,'Config'!$B$17/I55,"")</x:f>
        <x:v>86.655767294638</x:v>
      </x:c>
      <x:c r="L55" s="120" t="n">
        <x:f>MAX(D55:D75)</x:f>
        <x:v>8.458752874830024e-10</x:v>
      </x:c>
      <x:c r="M55" s="120" t="n">
        <x:f>IF(AND(H55&gt;='Config'!$B$14,J55&gt;='Config'!$B$15,L55&lt;=$E$4,I55&gt;0),K55,"")</x:f>
        <x:v>86.655767294638</x:v>
      </x:c>
      <x:c r="N55" s="17" t="str">
        <x:f>IF(AND(M55&lt;&gt;"",ABS(M55-$G$4)&lt;='Config'!$B$22),"SELECTED","")</x:f>
      </x:c>
    </x:row>
    <x:row r="56">
      <x:c r="A56" s="15" t="n">
        <x:v>1055</x:v>
      </x:c>
      <x:c r="B56" s="117" t="n">
        <x:f>VALUE('Raw_Data'!I1055)</x:f>
        <x:v>0.0450000000000001</x:v>
      </x:c>
      <x:c r="C56" s="117" t="n">
        <x:f>ROUND(B56,'Config'!$B$25)</x:f>
        <x:v>0.045</x:v>
      </x:c>
      <x:c r="D56" s="120" t="n">
        <x:f>VALUE('Raw_Data'!J1055)</x:f>
        <x:v>6.791409370813256e-11</x:v>
      </x:c>
      <x:c r="E56" s="117" t="n">
        <x:f>LN(ABS(D56))/LN(10)</x:f>
        <x:v>-10.168040090454056</x:v>
      </x:c>
      <x:c r="F56" s="117" t="n">
        <x:f>B56</x:f>
        <x:v>0.0450000000000001</x:v>
      </x:c>
      <x:c r="G56" s="117" t="n">
        <x:f>B76</x:f>
        <x:v>0.1450000000000002</x:v>
      </x:c>
      <x:c r="H56" s="117" t="n">
        <x:f>MAX(E56:E76)-MIN(E56:E76)</x:f>
        <x:v>1.152864944503575</x:v>
      </x:c>
      <x:c r="I56" s="117" t="n">
        <x:f>SLOPE(E56:E76,B56:B76)</x:f>
        <x:v>11.54094401406278</x:v>
      </x:c>
      <x:c r="J56" s="123" t="n">
        <x:f>RSQ(E56:E76,B56:B76)</x:f>
        <x:v>0.9999942895690924</x:v>
      </x:c>
      <x:c r="K56" s="117" t="n">
        <x:f>IF(I56&gt;0,'Config'!$B$17/I56,"")</x:f>
        <x:v>86.64802452741195</x:v>
      </x:c>
      <x:c r="L56" s="120" t="n">
        <x:f>MAX(D56:D76)</x:f>
        <x:v>9.656613603731478e-10</x:v>
      </x:c>
      <x:c r="M56" s="120" t="n">
        <x:f>IF(AND(H56&gt;='Config'!$B$14,J56&gt;='Config'!$B$15,L56&lt;=$E$4,I56&gt;0),K56,"")</x:f>
        <x:v>86.64802452741195</x:v>
      </x:c>
      <x:c r="N56" s="17" t="str">
        <x:f>IF(AND(M56&lt;&gt;"",ABS(M56-$G$4)&lt;='Config'!$B$22),"SELECTED","")</x:f>
        <x:v>SELECTED</x:v>
      </x:c>
    </x:row>
    <x:row r="57">
      <x:c r="A57" s="15" t="n">
        <x:v>1056</x:v>
      </x:c>
      <x:c r="B57" s="117" t="n">
        <x:f>VALUE('Raw_Data'!I1056)</x:f>
        <x:v>0.05000000000000009</x:v>
      </x:c>
      <x:c r="C57" s="117" t="n">
        <x:f>ROUND(B57,'Config'!$B$25)</x:f>
        <x:v>0.05</x:v>
      </x:c>
      <x:c r="D57" s="120" t="n">
        <x:f>VALUE('Raw_Data'!J1056)</x:f>
        <x:v>7.745514553794716e-11</x:v>
      </x:c>
      <x:c r="E57" s="117" t="n">
        <x:f>LN(ABS(D57))/LN(10)</x:f>
        <x:v>-10.11094972568389</x:v>
      </x:c>
      <x:c r="F57" s="117" t="n">
        <x:f>B57</x:f>
        <x:v>0.05000000000000009</x:v>
      </x:c>
      <x:c r="G57" s="117" t="n">
        <x:f>B77</x:f>
        <x:v>0.1500000000000002</x:v>
      </x:c>
      <x:c r="H57" s="117" t="n">
        <x:f>MAX(E57:E77)-MIN(E57:E77)</x:f>
        <x:v>1.1532718742491053</x:v>
      </x:c>
      <x:c r="I57" s="117" t="n">
        <x:f>SLOPE(E57:E77,B57:B77)</x:f>
        <x:v>11.539886648122621</x:v>
      </x:c>
      <x:c r="J57" s="123" t="n">
        <x:f>RSQ(E57:E77,B57:B77)</x:f>
        <x:v>0.9999940796083087</x:v>
      </x:c>
      <x:c r="K57" s="117" t="n">
        <x:f>IF(I57&gt;0,'Config'!$B$17/I57,"")</x:f>
        <x:v>86.65596383155861</x:v>
      </x:c>
      <x:c r="L57" s="120" t="n">
        <x:f>MAX(D57:D77)</x:f>
        <x:v>1.102356706418941e-9</x:v>
      </x:c>
      <x:c r="M57" s="120" t="n">
        <x:f>IF(AND(H57&gt;='Config'!$B$14,J57&gt;='Config'!$B$15,L57&lt;=$E$4,I57&gt;0),K57,"")</x:f>
        <x:v>86.65596383155861</x:v>
      </x:c>
      <x:c r="N57" s="17" t="str">
        <x:f>IF(AND(M57&lt;&gt;"",ABS(M57-$G$4)&lt;='Config'!$B$22),"SELECTED","")</x:f>
      </x:c>
    </x:row>
    <x:row r="58">
      <x:c r="A58" s="15" t="n">
        <x:v>1057</x:v>
      </x:c>
      <x:c r="B58" s="117" t="n">
        <x:f>VALUE('Raw_Data'!I1057)</x:f>
        <x:v>0.05500000000000009</x:v>
      </x:c>
      <x:c r="C58" s="117" t="n">
        <x:f>ROUND(B58,'Config'!$B$25)</x:f>
        <x:v>0.055</x:v>
      </x:c>
      <x:c r="D58" s="120" t="n">
        <x:f>VALUE('Raw_Data'!J1057)</x:f>
        <x:v>8.835508707411417e-11</x:v>
      </x:c>
      <x:c r="E58" s="117" t="n">
        <x:f>LN(ABS(D58))/LN(10)</x:f>
        <x:v>-10.053768440785227</x:v>
      </x:c>
      <x:c r="F58" s="117" t="n">
        <x:f>B58</x:f>
        <x:v>0.05500000000000009</x:v>
      </x:c>
      <x:c r="G58" s="117" t="n">
        <x:f>B78</x:f>
        <x:v>0.1550000000000002</x:v>
      </x:c>
      <x:c r="H58" s="117" t="n">
        <x:f>MAX(E58:E78)-MIN(E58:E78)</x:f>
        <x:v>1.1535637790260456</x:v>
      </x:c>
      <x:c r="I58" s="117" t="n">
        <x:f>SLOPE(E58:E78,B58:B78)</x:f>
        <x:v>11.536845819898986</x:v>
      </x:c>
      <x:c r="J58" s="123" t="n">
        <x:f>RSQ(E58:E78,B58:B78)</x:f>
        <x:v>0.9999937355834497</x:v>
      </x:c>
      <x:c r="K58" s="117" t="n">
        <x:f>IF(I58&gt;0,'Config'!$B$17/I58,"")</x:f>
        <x:v>86.67880420792135</x:v>
      </x:c>
      <x:c r="L58" s="120" t="n">
        <x:f>MAX(D58:D78)</x:f>
        <x:v>1.258332281556775e-9</x:v>
      </x:c>
      <x:c r="M58" s="120" t="n">
        <x:f>IF(AND(H58&gt;='Config'!$B$14,J58&gt;='Config'!$B$15,L58&lt;=$E$4,I58&gt;0),K58,"")</x:f>
        <x:v>86.67880420792135</x:v>
      </x:c>
      <x:c r="N58" s="17" t="str">
        <x:f>IF(AND(M58&lt;&gt;"",ABS(M58-$G$4)&lt;='Config'!$B$22),"SELECTED","")</x:f>
      </x:c>
    </x:row>
    <x:row r="59">
      <x:c r="A59" s="15" t="n">
        <x:v>1058</x:v>
      </x:c>
      <x:c r="B59" s="117" t="n">
        <x:f>VALUE('Raw_Data'!I1058)</x:f>
        <x:v>0.06000000000000009</x:v>
      </x:c>
      <x:c r="C59" s="117" t="n">
        <x:f>ROUND(B59,'Config'!$B$25)</x:f>
        <x:v>0.06</x:v>
      </x:c>
      <x:c r="D59" s="120" t="n">
        <x:f>VALUE('Raw_Data'!J1058)</x:f>
        <x:v>1.008070785903204e-10</x:v>
      </x:c>
      <x:c r="E59" s="117" t="n">
        <x:f>LN(ABS(D59))/LN(10)</x:f>
        <x:v>-9.996508971017679</x:v>
      </x:c>
      <x:c r="F59" s="117" t="n">
        <x:f>B59</x:f>
        <x:v>0.06000000000000009</x:v>
      </x:c>
      <x:c r="G59" s="117" t="n">
        <x:f>B79</x:f>
        <x:v>0.1600000000000002</x:v>
      </x:c>
      <x:c r="H59" s="117" t="n">
        <x:f>MAX(E59:E79)-MIN(E59:E79)</x:f>
        <x:v>1.1537505206137997</x:v>
      </x:c>
      <x:c r="I59" s="117" t="n">
        <x:f>SLOPE(E59:E79,B59:B79)</x:f>
        <x:v>11.531911792587971</x:v>
      </x:c>
      <x:c r="J59" s="123" t="n">
        <x:f>RSQ(E59:E79,B59:B79)</x:f>
        <x:v>0.9999936597043749</x:v>
      </x:c>
      <x:c r="K59" s="117" t="n">
        <x:f>IF(I59&gt;0,'Config'!$B$17/I59,"")</x:f>
        <x:v>86.71589047730495</x:v>
      </x:c>
      <x:c r="L59" s="120" t="n">
        <x:f>MAX(D59:D79)</x:f>
        <x:v>1.436288058139643e-9</x:v>
      </x:c>
      <x:c r="M59" s="120" t="n">
        <x:f>IF(AND(H59&gt;='Config'!$B$14,J59&gt;='Config'!$B$15,L59&lt;=$E$4,I59&gt;0),K59,"")</x:f>
        <x:v>86.71589047730495</x:v>
      </x:c>
      <x:c r="N59" s="17" t="str">
        <x:f>IF(AND(M59&lt;&gt;"",ABS(M59-$G$4)&lt;='Config'!$B$22),"SELECTED","")</x:f>
      </x:c>
    </x:row>
    <x:row r="60">
      <x:c r="A60" s="15" t="n">
        <x:v>1059</x:v>
      </x:c>
      <x:c r="B60" s="117" t="n">
        <x:f>VALUE('Raw_Data'!I1059)</x:f>
        <x:v>0.06500000000000009</x:v>
      </x:c>
      <x:c r="C60" s="117" t="n">
        <x:f>ROUND(B60,'Config'!$B$25)</x:f>
        <x:v>0.065</x:v>
      </x:c>
      <x:c r="D60" s="120" t="n">
        <x:f>VALUE('Raw_Data'!J1059)</x:f>
        <x:v>1.150316542227206e-10</x:v>
      </x:c>
      <x:c r="E60" s="117" t="n">
        <x:f>LN(ABS(D60))/LN(10)</x:f>
        <x:v>-9.93918263475413</x:v>
      </x:c>
      <x:c r="F60" s="117" t="n">
        <x:f>B60</x:f>
        <x:v>0.06500000000000009</x:v>
      </x:c>
      <x:c r="G60" s="117" t="n">
        <x:f>B80</x:f>
        <x:v>0.1650000000000002</x:v>
      </x:c>
      <x:c r="H60" s="117" t="n">
        <x:f>MAX(E60:E80)-MIN(E60:E80)</x:f>
        <x:v>1.1538405311311486</x:v>
      </x:c>
      <x:c r="I60" s="117" t="n">
        <x:f>SLOPE(E60:E80,B60:B80)</x:f>
        <x:v>11.525161569139463</x:v>
      </x:c>
      <x:c r="J60" s="123" t="n">
        <x:f>RSQ(E60:E80,B60:B80)</x:f>
        <x:v>0.999994301311095</x:v>
      </x:c>
      <x:c r="K60" s="117" t="n">
        <x:f>IF(I60&gt;0,'Config'!$B$17/I60,"")</x:f>
        <x:v>86.76667949520693</x:v>
      </x:c>
      <x:c r="L60" s="120" t="n">
        <x:f>MAX(D60:D80)</x:f>
        <x:v>1.639297952254774e-9</x:v>
      </x:c>
      <x:c r="M60" s="120" t="n">
        <x:f>IF(AND(H60&gt;='Config'!$B$14,J60&gt;='Config'!$B$15,L60&lt;=$E$4,I60&gt;0),K60,"")</x:f>
        <x:v>86.76667949520693</x:v>
      </x:c>
      <x:c r="N60" s="17" t="str">
        <x:f>IF(AND(M60&lt;&gt;"",ABS(M60-$G$4)&lt;='Config'!$B$22),"SELECTED","")</x:f>
      </x:c>
    </x:row>
    <x:row r="61">
      <x:c r="A61" s="15" t="n">
        <x:v>1060</x:v>
      </x:c>
      <x:c r="B61" s="117" t="n">
        <x:f>VALUE('Raw_Data'!I1060)</x:f>
        <x:v>0.07000000000000009</x:v>
      </x:c>
      <x:c r="C61" s="117" t="n">
        <x:f>ROUND(B61,'Config'!$B$25)</x:f>
        <x:v>0.07</x:v>
      </x:c>
      <x:c r="D61" s="120" t="n">
        <x:f>VALUE('Raw_Data'!J1060)</x:f>
        <x:v>1.312805831898021e-10</x:v>
      </x:c>
      <x:c r="E61" s="117" t="n">
        <x:f>LN(ABS(D61))/LN(10)</x:f>
        <x:v>-9.88179950267746</x:v>
      </x:c>
      <x:c r="F61" s="117" t="n">
        <x:f>B61</x:f>
        <x:v>0.07000000000000009</x:v>
      </x:c>
      <x:c r="G61" s="117" t="n">
        <x:f>B81</x:f>
        <x:v>0.1700000000000002</x:v>
      </x:c>
      <x:c r="H61" s="117" t="n">
        <x:f>MAX(E61:E81)-MIN(E61:E81)</x:f>
        <x:v>1.1538409622240273</x:v>
      </x:c>
      <x:c r="I61" s="117" t="n">
        <x:f>SLOPE(E61:E81,B61:B81)</x:f>
        <x:v>11.516660297171432</x:v>
      </x:c>
      <x:c r="J61" s="123" t="n">
        <x:f>RSQ(E61:E81,B61:B81)</x:f>
        <x:v>0.9999961589201561</x:v>
      </x:c>
      <x:c r="K61" s="117" t="n">
        <x:f>IF(I61&gt;0,'Config'!$B$17/I61,"")</x:f>
        <x:v>86.83072819692411</x:v>
      </x:c>
      <x:c r="L61" s="120" t="n">
        <x:f>MAX(D61:D81)</x:f>
        <x:v>1.870860731940521e-9</x:v>
      </x:c>
      <x:c r="M61" s="120" t="n">
        <x:f>IF(AND(H61&gt;='Config'!$B$14,J61&gt;='Config'!$B$15,L61&lt;=$E$4,I61&gt;0),K61,"")</x:f>
        <x:v>86.83072819692411</x:v>
      </x:c>
      <x:c r="N61" s="17" t="str">
        <x:f>IF(AND(M61&lt;&gt;"",ABS(M61-$G$4)&lt;='Config'!$B$22),"SELECTED","")</x:f>
      </x:c>
    </x:row>
    <x:row r="62">
      <x:c r="A62" s="15" t="n">
        <x:v>1061</x:v>
      </x:c>
      <x:c r="B62" s="117" t="n">
        <x:f>VALUE('Raw_Data'!I1061)</x:f>
        <x:v>0.0750000000000001</x:v>
      </x:c>
      <x:c r="C62" s="117" t="n">
        <x:f>ROUND(B62,'Config'!$B$25)</x:f>
        <x:v>0.075</x:v>
      </x:c>
      <x:c r="D62" s="120" t="n">
        <x:f>VALUE('Raw_Data'!J1061)</x:f>
        <x:v>1.510580480790582e-10</x:v>
      </x:c>
      <x:c r="E62" s="117" t="n">
        <x:f>LN(ABS(D62))/LN(10)</x:f>
        <x:v>-9.820856131408817</x:v>
      </x:c>
      <x:c r="F62" s="117" t="n">
        <x:f>B62</x:f>
        <x:v>0.0750000000000001</x:v>
      </x:c>
      <x:c r="G62" s="117" t="n">
        <x:f>B82</x:f>
        <x:v>0.1750000000000002</x:v>
      </x:c>
      <x:c r="H62" s="117" t="n">
        <x:f>MAX(E62:E82)-MIN(E62:E82)</x:f>
        <x:v>1.150245400144966</x:v>
      </x:c>
      <x:c r="I62" s="117" t="n">
        <x:f>SLOPE(E62:E82,B62:B82)</x:f>
        <x:v>11.506462518823787</x:v>
      </x:c>
      <x:c r="J62" s="123" t="n">
        <x:f>RSQ(E62:E82,B62:B82)</x:f>
        <x:v>0.999999782931829</x:v>
      </x:c>
      <x:c r="K62" s="117" t="n">
        <x:f>IF(I62&gt;0,'Config'!$B$17/I62,"")</x:f>
        <x:v>86.90768325747973</x:v>
      </x:c>
      <x:c r="L62" s="120" t="n">
        <x:f>MAX(D62:D82)</x:f>
        <x:v>2.134957670422552e-9</x:v>
      </x:c>
      <x:c r="M62" s="120" t="n">
        <x:f>IF(AND(H62&gt;='Config'!$B$14,J62&gt;='Config'!$B$15,L62&lt;=$E$4,I62&gt;0),K62,"")</x:f>
        <x:v>86.90768325747973</x:v>
      </x:c>
      <x:c r="N62" s="17" t="str">
        <x:f>IF(AND(M62&lt;&gt;"",ABS(M62-$G$4)&lt;='Config'!$B$22),"SELECTED","")</x:f>
      </x:c>
    </x:row>
    <x:row r="63">
      <x:c r="A63" s="15" t="n">
        <x:v>1062</x:v>
      </x:c>
      <x:c r="B63" s="117" t="n">
        <x:f>VALUE('Raw_Data'!I1062)</x:f>
        <x:v>0.0800000000000001</x:v>
      </x:c>
      <x:c r="C63" s="117" t="n">
        <x:f>ROUND(B63,'Config'!$B$25)</x:f>
        <x:v>0.08</x:v>
      </x:c>
      <x:c r="D63" s="120" t="n">
        <x:f>VALUE('Raw_Data'!J1062)</x:f>
        <x:v>1.724311914636249e-10</x:v>
      </x:c>
      <x:c r="E63" s="117" t="n">
        <x:f>LN(ABS(D63))/LN(10)</x:f>
        <x:v>-9.763384170905432</x:v>
      </x:c>
      <x:c r="F63" s="117" t="n">
        <x:f>B63</x:f>
        <x:v>0.0800000000000001</x:v>
      </x:c>
      <x:c r="G63" s="117" t="n">
        <x:f>B83</x:f>
        <x:v>0.1800000000000002</x:v>
      </x:c>
      <x:c r="H63" s="117" t="n">
        <x:f>MAX(E63:E83)-MIN(E63:E83)</x:f>
        <x:v>1.1500824558701055</x:v>
      </x:c>
      <x:c r="I63" s="117" t="n">
        <x:f>SLOPE(E63:E83,B63:B83)</x:f>
        <x:v>11.504648759911651</x:v>
      </x:c>
      <x:c r="J63" s="123" t="n">
        <x:f>RSQ(E63:E83,B63:B83)</x:f>
        <x:v>0.9999996448033392</x:v>
      </x:c>
      <x:c r="K63" s="117" t="n">
        <x:f>IF(I63&gt;0,'Config'!$B$17/I63,"")</x:f>
        <x:v>86.92138463927162</x:v>
      </x:c>
      <x:c r="L63" s="120" t="n">
        <x:f>MAX(D63:D83)</x:f>
        <x:v>2.436117799521789e-9</x:v>
      </x:c>
      <x:c r="M63" s="120" t="n">
        <x:f>IF(AND(H63&gt;='Config'!$B$14,J63&gt;='Config'!$B$15,L63&lt;=$E$4,I63&gt;0),K63,"")</x:f>
        <x:v>86.92138463927162</x:v>
      </x:c>
      <x:c r="N63" s="17" t="str">
        <x:f>IF(AND(M63&lt;&gt;"",ABS(M63-$G$4)&lt;='Config'!$B$22),"SELECTED","")</x:f>
      </x:c>
    </x:row>
    <x:row r="64">
      <x:c r="A64" s="15" t="n">
        <x:v>1063</x:v>
      </x:c>
      <x:c r="B64" s="117" t="n">
        <x:f>VALUE('Raw_Data'!I1063)</x:f>
        <x:v>0.0850000000000001</x:v>
      </x:c>
      <x:c r="C64" s="117" t="n">
        <x:f>ROUND(B64,'Config'!$B$25)</x:f>
        <x:v>0.085</x:v>
      </x:c>
      <x:c r="D64" s="120" t="n">
        <x:f>VALUE('Raw_Data'!J1063)</x:f>
        <x:v>1.968429830124888e-10</x:v>
      </x:c>
      <x:c r="E64" s="117" t="n">
        <x:f>LN(ABS(D64))/LN(10)</x:f>
        <x:v>-9.705880062170536</x:v>
      </x:c>
      <x:c r="F64" s="117" t="n">
        <x:f>B64</x:f>
        <x:v>0.0850000000000001</x:v>
      </x:c>
      <x:c r="G64" s="117" t="n">
        <x:f>B84</x:f>
        <x:v>0.1850000000000002</x:v>
      </x:c>
      <x:c r="H64" s="117" t="n">
        <x:f>MAX(E64:E84)-MIN(E64:E84)</x:f>
        <x:v>1.1498454466319235</x:v>
      </x:c>
      <x:c r="I64" s="117" t="n">
        <x:f>SLOPE(E64:E84,B64:B84)</x:f>
        <x:v>11.50213581765689</x:v>
      </x:c>
      <x:c r="J64" s="123" t="n">
        <x:f>RSQ(E64:E84,B64:B84)</x:f>
        <x:v>0.999999461348743</x:v>
      </x:c>
      <x:c r="K64" s="117" t="n">
        <x:f>IF(I64&gt;0,'Config'!$B$17/I64,"")</x:f>
        <x:v>86.94037488801891</x:v>
      </x:c>
      <x:c r="L64" s="120" t="n">
        <x:f>MAX(D64:D84)</x:f>
        <x:v>2.77949171892227e-9</x:v>
      </x:c>
      <x:c r="M64" s="120" t="n">
        <x:f>IF(AND(H64&gt;='Config'!$B$14,J64&gt;='Config'!$B$15,L64&lt;=$E$4,I64&gt;0),K64,"")</x:f>
        <x:v>86.94037488801891</x:v>
      </x:c>
      <x:c r="N64" s="17" t="str">
        <x:f>IF(AND(M64&lt;&gt;"",ABS(M64-$G$4)&lt;='Config'!$B$22),"SELECTED","")</x:f>
      </x:c>
    </x:row>
    <x:row r="65">
      <x:c r="A65" s="15" t="n">
        <x:v>1064</x:v>
      </x:c>
      <x:c r="B65" s="117" t="n">
        <x:f>VALUE('Raw_Data'!I1064)</x:f>
        <x:v>0.09000000000000011</x:v>
      </x:c>
      <x:c r="C65" s="117" t="n">
        <x:f>ROUND(B65,'Config'!$B$25)</x:f>
        <x:v>0.09</x:v>
      </x:c>
      <x:c r="D65" s="120" t="n">
        <x:f>VALUE('Raw_Data'!J1064)</x:f>
        <x:v>2.247241698466689e-10</x:v>
      </x:c>
      <x:c r="E65" s="117" t="n">
        <x:f>LN(ABS(D65))/LN(10)</x:f>
        <x:v>-9.648350215224255</x:v>
      </x:c>
      <x:c r="F65" s="117" t="n">
        <x:f>B65</x:f>
        <x:v>0.09000000000000011</x:v>
      </x:c>
      <x:c r="G65" s="117" t="n">
        <x:f>B85</x:f>
        <x:v>0.1900000000000002</x:v>
      </x:c>
      <x:c r="H65" s="117" t="n">
        <x:f>MAX(E65:E85)-MIN(E65:E85)</x:f>
        <x:v>1.1495375586795156</x:v>
      </x:c>
      <x:c r="I65" s="117" t="n">
        <x:f>SLOPE(E65:E85,B65:B85)</x:f>
        <x:v>11.498951506741292</x:v>
      </x:c>
      <x:c r="J65" s="123" t="n">
        <x:f>RSQ(E65:E85,B65:B85)</x:f>
        <x:v>0.9999992364292957</x:v>
      </x:c>
      <x:c r="K65" s="117" t="n">
        <x:f>IF(I65&gt;0,'Config'!$B$17/I65,"")</x:f>
        <x:v>86.96445057740675</x:v>
      </x:c>
      <x:c r="L65" s="120" t="n">
        <x:f>MAX(D65:D85)</x:f>
        <x:v>3.170935027767185e-9</x:v>
      </x:c>
      <x:c r="M65" s="120" t="n">
        <x:f>IF(AND(H65&gt;='Config'!$B$14,J65&gt;='Config'!$B$15,L65&lt;=$E$4,I65&gt;0),K65,"")</x:f>
        <x:v>86.96445057740675</x:v>
      </x:c>
      <x:c r="N65" s="17" t="str">
        <x:f>IF(AND(M65&lt;&gt;"",ABS(M65-$G$4)&lt;='Config'!$B$22),"SELECTED","")</x:f>
      </x:c>
    </x:row>
    <x:row r="66">
      <x:c r="A66" s="15" t="n">
        <x:v>1065</x:v>
      </x:c>
      <x:c r="B66" s="117" t="n">
        <x:f>VALUE('Raw_Data'!I1065)</x:f>
        <x:v>0.09500000000000011</x:v>
      </x:c>
      <x:c r="C66" s="117" t="n">
        <x:f>ROUND(B66,'Config'!$B$25)</x:f>
        <x:v>0.095</x:v>
      </x:c>
      <x:c r="D66" s="120" t="n">
        <x:f>VALUE('Raw_Data'!J1065)</x:f>
        <x:v>2.5656628572766e-10</x:v>
      </x:c>
      <x:c r="E66" s="117" t="n">
        <x:f>LN(ABS(D66))/LN(10)</x:f>
        <x:v>-9.590800412982183</x:v>
      </x:c>
      <x:c r="F66" s="117" t="n">
        <x:f>B66</x:f>
        <x:v>0.09500000000000011</x:v>
      </x:c>
      <x:c r="G66" s="117" t="n">
        <x:f>B86</x:f>
        <x:v>0.1950000000000002</x:v>
      </x:c>
      <x:c r="H66" s="117" t="n">
        <x:f>MAX(E66:E86)-MIN(E66:E86)</x:f>
        <x:v>1.1491612367993387</x:v>
      </x:c>
      <x:c r="I66" s="117" t="n">
        <x:f>SLOPE(E66:E86,B66:B86)</x:f>
        <x:v>11.495116732034067</x:v>
      </x:c>
      <x:c r="J66" s="123" t="n">
        <x:f>RSQ(E66:E86,B66:B86)</x:f>
        <x:v>0.9999989719428504</x:v>
      </x:c>
      <x:c r="K66" s="117" t="n">
        <x:f>IF(I66&gt;0,'Config'!$B$17/I66,"")</x:f>
        <x:v>86.99346194660605</x:v>
      </x:c>
      <x:c r="L66" s="120" t="n">
        <x:f>MAX(D66:D86)</x:f>
        <x:v>3.617102566781934e-9</x:v>
      </x:c>
      <x:c r="M66" s="120" t="n">
        <x:f>IF(AND(H66&gt;='Config'!$B$14,J66&gt;='Config'!$B$15,L66&lt;=$E$4,I66&gt;0),K66,"")</x:f>
        <x:v>86.99346194660605</x:v>
      </x:c>
      <x:c r="N66" s="17" t="str">
        <x:f>IF(AND(M66&lt;&gt;"",ABS(M66-$G$4)&lt;='Config'!$B$22),"SELECTED","")</x:f>
      </x:c>
    </x:row>
    <x:row r="67">
      <x:c r="A67" s="15" t="n">
        <x:v>1066</x:v>
      </x:c>
      <x:c r="B67" s="117" t="n">
        <x:f>VALUE('Raw_Data'!I1066)</x:f>
        <x:v>0.1000000000000001</x:v>
      </x:c>
      <x:c r="C67" s="117" t="n">
        <x:f>ROUND(B67,'Config'!$B$25)</x:f>
        <x:v>0.1</x:v>
      </x:c>
      <x:c r="D67" s="120" t="n">
        <x:f>VALUE('Raw_Data'!J1066)</x:f>
        <x:v>2.929301697023655e-10</x:v>
      </x:c>
      <x:c r="E67" s="117" t="n">
        <x:f>LN(ABS(D67))/LN(10)</x:f>
        <x:v>-9.533235896804227</x:v>
      </x:c>
      <x:c r="F67" s="117" t="n">
        <x:f>B67</x:f>
        <x:v>0.1000000000000001</x:v>
      </x:c>
      <x:c r="G67" s="117" t="n">
        <x:f>B87</x:f>
        <x:v>0.2000000000000002</x:v>
      </x:c>
      <x:c r="H67" s="117" t="n">
        <x:f>MAX(E67:E87)-MIN(E67:E87)</x:f>
        <x:v>1.1487182562683653</x:v>
      </x:c>
      <x:c r="I67" s="117" t="n">
        <x:f>SLOPE(E67:E87,B67:B87)</x:f>
        <x:v>11.490646150077808</x:v>
      </x:c>
      <x:c r="J67" s="123" t="n">
        <x:f>RSQ(E67:E87,B67:B87)</x:f>
        <x:v>0.9999986681666853</x:v>
      </x:c>
      <x:c r="K67" s="117" t="n">
        <x:f>IF(I67&gt;0,'Config'!$B$17/I67,"")</x:f>
        <x:v>87.02730785885602</x:v>
      </x:c>
      <x:c r="L67" s="120" t="n">
        <x:f>MAX(D67:D87)</x:f>
        <x:v>4.125554792534778e-9</x:v>
      </x:c>
      <x:c r="M67" s="120" t="n">
        <x:f>IF(AND(H67&gt;='Config'!$B$14,J67&gt;='Config'!$B$15,L67&lt;=$E$4,I67&gt;0),K67,"")</x:f>
        <x:v>87.02730785885602</x:v>
      </x:c>
      <x:c r="N67" s="17" t="str">
        <x:f>IF(AND(M67&lt;&gt;"",ABS(M67-$G$4)&lt;='Config'!$B$22),"SELECTED","")</x:f>
      </x:c>
    </x:row>
    <x:row r="68">
      <x:c r="A68" s="15" t="n">
        <x:v>1067</x:v>
      </x:c>
      <x:c r="B68" s="117" t="n">
        <x:f>VALUE('Raw_Data'!I1067)</x:f>
        <x:v>0.1050000000000001</x:v>
      </x:c>
      <x:c r="C68" s="117" t="n">
        <x:f>ROUND(B68,'Config'!$B$25)</x:f>
        <x:v>0.105</x:v>
      </x:c>
      <x:c r="D68" s="120" t="n">
        <x:f>VALUE('Raw_Data'!J1067)</x:f>
        <x:v>3.344556656964746e-10</x:v>
      </x:c>
      <x:c r="E68" s="117" t="n">
        <x:f>LN(ABS(D68))/LN(10)</x:f>
        <x:v>-9.475661442677788</x:v>
      </x:c>
      <x:c r="F68" s="117" t="n">
        <x:f>B68</x:f>
        <x:v>0.1050000000000001</x:v>
      </x:c>
      <x:c r="G68" s="117" t="n">
        <x:f>B88</x:f>
        <x:v>0.2050000000000002</x:v>
      </x:c>
      <x:c r="H68" s="117" t="n">
        <x:f>MAX(E68:E88)-MIN(E68:E88)</x:f>
        <x:v>1.1482097861343732</x:v>
      </x:c>
      <x:c r="I68" s="117" t="n">
        <x:f>SLOPE(E68:E88,B68:B88)</x:f>
        <x:v>11.485548748754184</x:v>
      </x:c>
      <x:c r="J68" s="123" t="n">
        <x:f>RSQ(E68:E88,B68:B88)</x:f>
        <x:v>0.999998324008751</x:v>
      </x:c>
      <x:c r="K68" s="117" t="n">
        <x:f>IF(I68&gt;0,'Config'!$B$17/I68,"")</x:f>
        <x:v>87.06593144785252</x:v>
      </x:c>
      <x:c r="L68" s="120" t="n">
        <x:f>MAX(D68:D88)</x:f>
        <x:v>4.704877751213881e-9</x:v>
      </x:c>
      <x:c r="M68" s="120" t="n">
        <x:f>IF(AND(H68&gt;='Config'!$B$14,J68&gt;='Config'!$B$15,L68&lt;=$E$4,I68&gt;0),K68,"")</x:f>
        <x:v>87.06593144785252</x:v>
      </x:c>
      <x:c r="N68" s="17" t="str">
        <x:f>IF(AND(M68&lt;&gt;"",ABS(M68-$G$4)&lt;='Config'!$B$22),"SELECTED","")</x:f>
      </x:c>
    </x:row>
    <x:row r="69">
      <x:c r="A69" s="15" t="n">
        <x:v>1068</x:v>
      </x:c>
      <x:c r="B69" s="117" t="n">
        <x:f>VALUE('Raw_Data'!I1068)</x:f>
        <x:v>0.1100000000000001</x:v>
      </x:c>
      <x:c r="C69" s="117" t="n">
        <x:f>ROUND(B69,'Config'!$B$25)</x:f>
        <x:v>0.11</x:v>
      </x:c>
      <x:c r="D69" s="120" t="n">
        <x:f>VALUE('Raw_Data'!J1068)</x:f>
        <x:v>3.818726640073642e-10</x:v>
      </x:c>
      <x:c r="E69" s="117" t="n">
        <x:f>LN(ABS(D69))/LN(10)</x:f>
        <x:v>-9.418081429072785</x:v>
      </x:c>
      <x:c r="F69" s="117" t="n">
        <x:f>B69</x:f>
        <x:v>0.1100000000000001</x:v>
      </x:c>
      <x:c r="G69" s="117" t="n">
        <x:f>B89</x:f>
        <x:v>0.2100000000000002</x:v>
      </x:c>
      <x:c r="H69" s="117" t="n">
        <x:f>MAX(E69:E89)-MIN(E69:E89)</x:f>
        <x:v>1.1476364448113063</x:v>
      </x:c>
      <x:c r="I69" s="117" t="n">
        <x:f>SLOPE(E69:E89,B69:B89)</x:f>
        <x:v>11.479828354690138</x:v>
      </x:c>
      <x:c r="J69" s="123" t="n">
        <x:f>RSQ(E69:E89,B69:B89)</x:f>
        <x:v>0.9999979371874674</x:v>
      </x:c>
      <x:c r="K69" s="117" t="n">
        <x:f>IF(I69&gt;0,'Config'!$B$17/I69,"")</x:f>
        <x:v>87.10931636808361</x:v>
      </x:c>
      <x:c r="L69" s="120" t="n">
        <x:f>MAX(D69:D89)</x:f>
        <x:v>5.364818278058858e-9</x:v>
      </x:c>
      <x:c r="M69" s="120" t="n">
        <x:f>IF(AND(H69&gt;='Config'!$B$14,J69&gt;='Config'!$B$15,L69&lt;=$E$4,I69&gt;0),K69,"")</x:f>
        <x:v>87.10931636808361</x:v>
      </x:c>
      <x:c r="N69" s="17" t="str">
        <x:f>IF(AND(M69&lt;&gt;"",ABS(M69-$G$4)&lt;='Config'!$B$22),"SELECTED","")</x:f>
      </x:c>
    </x:row>
    <x:row r="70">
      <x:c r="A70" s="15" t="n">
        <x:v>1069</x:v>
      </x:c>
      <x:c r="B70" s="117" t="n">
        <x:f>VALUE('Raw_Data'!I1069)</x:f>
        <x:v>0.1150000000000001</x:v>
      </x:c>
      <x:c r="C70" s="117" t="n">
        <x:f>ROUND(B70,'Config'!$B$25)</x:f>
        <x:v>0.115</x:v>
      </x:c>
      <x:c r="D70" s="120" t="n">
        <x:f>VALUE('Raw_Data'!J1069)</x:f>
        <x:v>4.360136669934508e-10</x:v>
      </x:c>
      <x:c r="E70" s="117" t="n">
        <x:f>LN(ABS(D70))/LN(10)</x:f>
        <x:v>-9.360499897413032</x:v>
      </x:c>
      <x:c r="F70" s="117" t="n">
        <x:f>B70</x:f>
        <x:v>0.1150000000000001</x:v>
      </x:c>
      <x:c r="G70" s="117" t="n">
        <x:f>B90</x:f>
        <x:v>0.2150000000000002</x:v>
      </x:c>
      <x:c r="H70" s="117" t="n">
        <x:f>MAX(E70:E90)-MIN(E70:E90)</x:f>
        <x:v>1.1469983489042868</x:v>
      </x:c>
      <x:c r="I70" s="117" t="n">
        <x:f>SLOPE(E70:E90,B70:B90)</x:f>
        <x:v>11.473484077188706</x:v>
      </x:c>
      <x:c r="J70" s="123" t="n">
        <x:f>RSQ(E70:E90,B70:B90)</x:f>
        <x:v>0.9999975043555968</x:v>
      </x:c>
      <x:c r="K70" s="117" t="n">
        <x:f>IF(I70&gt;0,'Config'!$B$17/I70,"")</x:f>
        <x:v>87.15748357451203</x:v>
      </x:c>
      <x:c r="L70" s="120" t="n">
        <x:f>MAX(D70:D90)</x:f>
        <x:v>6.116436220906963e-9</x:v>
      </x:c>
      <x:c r="M70" s="120" t="n">
        <x:f>IF(AND(H70&gt;='Config'!$B$14,J70&gt;='Config'!$B$15,L70&lt;=$E$4,I70&gt;0),K70,"")</x:f>
        <x:v>87.15748357451203</x:v>
      </x:c>
      <x:c r="N70" s="17" t="str">
        <x:f>IF(AND(M70&lt;&gt;"",ABS(M70-$G$4)&lt;='Config'!$B$22),"SELECTED","")</x:f>
      </x:c>
    </x:row>
    <x:row r="71">
      <x:c r="A71" s="15" t="n">
        <x:v>1070</x:v>
      </x:c>
      <x:c r="B71" s="117" t="n">
        <x:f>VALUE('Raw_Data'!I1070)</x:f>
        <x:v>0.1200000000000001</x:v>
      </x:c>
      <x:c r="C71" s="117" t="n">
        <x:f>ROUND(B71,'Config'!$B$25)</x:f>
        <x:v>0.12</x:v>
      </x:c>
      <x:c r="D71" s="120" t="n">
        <x:f>VALUE('Raw_Data'!J1070)</x:f>
        <x:v>4.978280853064775e-10</x:v>
      </x:c>
      <x:c r="E71" s="117" t="n">
        <x:f>LN(ABS(D71))/LN(10)</x:f>
        <x:v>-9.302920606020797</x:v>
      </x:c>
      <x:c r="F71" s="117" t="n">
        <x:f>B71</x:f>
        <x:v>0.1200000000000001</x:v>
      </x:c>
      <x:c r="G71" s="117" t="n">
        <x:f>B91</x:f>
        <x:v>0.2200000000000002</x:v>
      </x:c>
      <x:c r="H71" s="117" t="n">
        <x:f>MAX(E71:E91)-MIN(E71:E91)</x:f>
        <x:v>1.1462951561097157</x:v>
      </x:c>
      <x:c r="I71" s="117" t="n">
        <x:f>SLOPE(E71:E91,B71:B91)</x:f>
        <x:v>11.466510696744393</x:v>
      </x:c>
      <x:c r="J71" s="123" t="n">
        <x:f>RSQ(E71:E91,B71:B91)</x:f>
        <x:v>0.999997021180261</x:v>
      </x:c>
      <x:c r="K71" s="117" t="n">
        <x:f>IF(I71&gt;0,'Config'!$B$17/I71,"")</x:f>
        <x:v>87.21048856509793</x:v>
      </x:c>
      <x:c r="L71" s="120" t="n">
        <x:f>MAX(D71:D91)</x:f>
        <x:v>6.972275672665353e-9</x:v>
      </x:c>
      <x:c r="M71" s="120" t="n">
        <x:f>IF(AND(H71&gt;='Config'!$B$14,J71&gt;='Config'!$B$15,L71&lt;=$E$4,I71&gt;0),K71,"")</x:f>
        <x:v>87.21048856509793</x:v>
      </x:c>
      <x:c r="N71" s="17" t="str">
        <x:f>IF(AND(M71&lt;&gt;"",ABS(M71-$G$4)&lt;='Config'!$B$22),"SELECTED","")</x:f>
      </x:c>
    </x:row>
    <x:row r="72">
      <x:c r="A72" s="15" t="n">
        <x:v>1071</x:v>
      </x:c>
      <x:c r="B72" s="117" t="n">
        <x:f>VALUE('Raw_Data'!I1071)</x:f>
        <x:v>0.1250000000000001</x:v>
      </x:c>
      <x:c r="C72" s="117" t="n">
        <x:f>ROUND(B72,'Config'!$B$25)</x:f>
        <x:v>0.125</x:v>
      </x:c>
      <x:c r="D72" s="120" t="n">
        <x:f>VALUE('Raw_Data'!J1071)</x:f>
        <x:v>5.683984980839916e-10</x:v>
      </x:c>
      <x:c r="E72" s="117" t="n">
        <x:f>LN(ABS(D72))/LN(10)</x:f>
        <x:v>-9.245347078307368</x:v>
      </x:c>
      <x:c r="F72" s="117" t="n">
        <x:f>B72</x:f>
        <x:v>0.1250000000000001</x:v>
      </x:c>
      <x:c r="G72" s="117" t="n">
        <x:f>B92</x:f>
        <x:v>0.2250000000000002</x:v>
      </x:c>
      <x:c r="H72" s="117" t="n">
        <x:f>MAX(E72:E92)-MIN(E72:E92)</x:f>
        <x:v>1.1455261029698747</x:v>
      </x:c>
      <x:c r="I72" s="117" t="n">
        <x:f>SLOPE(E72:E92,B72:B92)</x:f>
        <x:v>11.458899005533455</x:v>
      </x:c>
      <x:c r="J72" s="123" t="n">
        <x:f>RSQ(E72:E92,B72:B92)</x:f>
        <x:v>0.9999964823884354</x:v>
      </x:c>
      <x:c r="K72" s="117" t="n">
        <x:f>IF(I72&gt;0,'Config'!$B$17/I72,"")</x:f>
        <x:v>87.26841902674106</x:v>
      </x:c>
      <x:c r="L72" s="120" t="n">
        <x:f>MAX(D72:D92)</x:f>
        <x:v>7.94655739824618e-9</x:v>
      </x:c>
      <x:c r="M72" s="120" t="n">
        <x:f>IF(AND(H72&gt;='Config'!$B$14,J72&gt;='Config'!$B$15,L72&lt;=$E$4,I72&gt;0),K72,"")</x:f>
        <x:v>87.26841902674106</x:v>
      </x:c>
      <x:c r="N72" s="17" t="str">
        <x:f>IF(AND(M72&lt;&gt;"",ABS(M72-$G$4)&lt;='Config'!$B$22),"SELECTED","")</x:f>
      </x:c>
    </x:row>
    <x:row r="73">
      <x:c r="A73" s="15" t="n">
        <x:v>1072</x:v>
      </x:c>
      <x:c r="B73" s="117" t="n">
        <x:f>VALUE('Raw_Data'!I1072)</x:f>
        <x:v>0.1300000000000001</x:v>
      </x:c>
      <x:c r="C73" s="117" t="n">
        <x:f>ROUND(B73,'Config'!$B$25)</x:f>
        <x:v>0.13</x:v>
      </x:c>
      <x:c r="D73" s="120" t="n">
        <x:f>VALUE('Raw_Data'!J1072)</x:f>
        <x:v>6.489591409580661e-10</x:v>
      </x:c>
      <x:c r="E73" s="117" t="n">
        <x:f>LN(ABS(D73))/LN(10)</x:f>
        <x:v>-9.187782645903871</x:v>
      </x:c>
      <x:c r="F73" s="117" t="n">
        <x:f>B73</x:f>
        <x:v>0.1300000000000001</x:v>
      </x:c>
      <x:c r="G73" s="117" t="n">
        <x:f>B93</x:f>
        <x:v>0.2300000000000002</x:v>
      </x:c>
      <x:c r="H73" s="117" t="n">
        <x:f>MAX(E73:E93)-MIN(E73:E93)</x:f>
        <x:v>1.1446900382011798</x:v>
      </x:c>
      <x:c r="I73" s="117" t="n">
        <x:f>SLOPE(E73:E93,B73:B93)</x:f>
        <x:v>11.450636106663406</x:v>
      </x:c>
      <x:c r="J73" s="123" t="n">
        <x:f>RSQ(E73:E93,B73:B93)</x:f>
        <x:v>0.9999958817852532</x:v>
      </x:c>
      <x:c r="K73" s="117" t="n">
        <x:f>IF(I73&gt;0,'Config'!$B$17/I73,"")</x:f>
        <x:v>87.33139283136204</x:v>
      </x:c>
      <x:c r="L73" s="120" t="n">
        <x:f>MAX(D73:D93)</x:f>
        <x:v>9.055394856811717e-9</x:v>
      </x:c>
      <x:c r="M73" s="120" t="n">
        <x:f>IF(AND(H73&gt;='Config'!$B$14,J73&gt;='Config'!$B$15,L73&lt;=$E$4,I73&gt;0),K73,"")</x:f>
        <x:v>87.33139283136204</x:v>
      </x:c>
      <x:c r="N73" s="17" t="str">
        <x:f>IF(AND(M73&lt;&gt;"",ABS(M73-$G$4)&lt;='Config'!$B$22),"SELECTED","")</x:f>
      </x:c>
    </x:row>
    <x:row r="74">
      <x:c r="A74" s="15" t="n">
        <x:v>1073</x:v>
      </x:c>
      <x:c r="B74" s="117" t="n">
        <x:f>VALUE('Raw_Data'!I1073)</x:f>
        <x:v>0.1350000000000001</x:v>
      </x:c>
      <x:c r="C74" s="117" t="n">
        <x:f>ROUND(B74,'Config'!$B$25)</x:f>
        <x:v>0.135</x:v>
      </x:c>
      <x:c r="D74" s="120" t="n">
        <x:f>VALUE('Raw_Data'!J1073)</x:f>
        <x:v>7.409169199265799e-10</x:v>
      </x:c>
      <x:c r="E74" s="117" t="n">
        <x:f>LN(ABS(D74))/LN(10)</x:f>
        <x:v>-9.130230487351692</x:v>
      </x:c>
      <x:c r="F74" s="117" t="n">
        <x:f>B74</x:f>
        <x:v>0.1350000000000001</x:v>
      </x:c>
      <x:c r="G74" s="117" t="n">
        <x:f>B94</x:f>
        <x:v>0.2350000000000002</x:v>
      </x:c>
      <x:c r="H74" s="117" t="n">
        <x:f>MAX(E74:E94)-MIN(E74:E94)</x:f>
        <x:v>1.1437854522573918</x:v>
      </x:c>
      <x:c r="I74" s="117" t="n">
        <x:f>SLOPE(E74:E94,B74:B94)</x:f>
        <x:v>11.441705678421338</x:v>
      </x:c>
      <x:c r="J74" s="123" t="n">
        <x:f>RSQ(E74:E94,B74:B94)</x:f>
        <x:v>0.999995212250885</x:v>
      </x:c>
      <x:c r="K74" s="117" t="n">
        <x:f>IF(I74&gt;0,'Config'!$B$17/I74,"")</x:f>
        <x:v>87.3995563341544</x:v>
      </x:c>
      <x:c r="L74" s="120" t="n">
        <x:f>MAX(D74:D94)</x:f>
        <x:v>1.031703645006383e-8</x:v>
      </x:c>
      <x:c r="M74" s="120" t="n">
        <x:f>IF(AND(H74&gt;='Config'!$B$14,J74&gt;='Config'!$B$15,L74&lt;=$E$4,I74&gt;0),K74,"")</x:f>
        <x:v>87.3995563341544</x:v>
      </x:c>
      <x:c r="N74" s="17" t="str">
        <x:f>IF(AND(M74&lt;&gt;"",ABS(M74-$G$4)&lt;='Config'!$B$22),"SELECTED","")</x:f>
      </x:c>
    </x:row>
    <x:row r="75">
      <x:c r="A75" s="15" t="n">
        <x:v>1074</x:v>
      </x:c>
      <x:c r="B75" s="117" t="n">
        <x:f>VALUE('Raw_Data'!I1074)</x:f>
        <x:v>0.1400000000000002</x:v>
      </x:c>
      <x:c r="C75" s="117" t="n">
        <x:f>ROUND(B75,'Config'!$B$25)</x:f>
        <x:v>0.14</x:v>
      </x:c>
      <x:c r="D75" s="120" t="n">
        <x:f>VALUE('Raw_Data'!J1074)</x:f>
        <x:v>8.458752874830024e-10</x:v>
      </x:c>
      <x:c r="E75" s="117" t="n">
        <x:f>LN(ABS(D75))/LN(10)</x:f>
        <x:v>-9.072693662907161</x:v>
      </x:c>
      <x:c r="F75" s="117" t="n">
        <x:f>B75</x:f>
        <x:v>0.1400000000000002</x:v>
      </x:c>
      <x:c r="G75" s="117" t="n">
        <x:f>B95</x:f>
        <x:v>0.2400000000000002</x:v>
      </x:c>
      <x:c r="H75" s="117" t="n">
        <x:f>MAX(E75:E95)-MIN(E75:E95)</x:f>
        <x:v>1.1428105037422966</x:v>
      </x:c>
      <x:c r="I75" s="117" t="n">
        <x:f>SLOPE(E75:E95,B75:B95)</x:f>
        <x:v>11.432088209285444</x:v>
      </x:c>
      <x:c r="J75" s="123" t="n">
        <x:f>RSQ(E75:E95,B75:B95)</x:f>
        <x:v>0.999994465720664</x:v>
      </x:c>
      <x:c r="K75" s="117" t="n">
        <x:f>IF(I75&gt;0,'Config'!$B$17/I75,"")</x:f>
        <x:v>87.47308293053351</x:v>
      </x:c>
      <x:c r="L75" s="120" t="n">
        <x:f>MAX(D75:D95)</x:f>
        <x:v>1.175213687160833e-8</x:v>
      </x:c>
      <x:c r="M75" s="120" t="n">
        <x:f>IF(AND(H75&gt;='Config'!$B$14,J75&gt;='Config'!$B$15,L75&lt;=$E$4,I75&gt;0),K75,"")</x:f>
        <x:v>87.47308293053351</x:v>
      </x:c>
      <x:c r="N75" s="17" t="str">
        <x:f>IF(AND(M75&lt;&gt;"",ABS(M75-$G$4)&lt;='Config'!$B$22),"SELECTED","")</x:f>
      </x:c>
    </x:row>
    <x:row r="76">
      <x:c r="A76" s="15" t="n">
        <x:v>1075</x:v>
      </x:c>
      <x:c r="B76" s="117" t="n">
        <x:f>VALUE('Raw_Data'!I1075)</x:f>
        <x:v>0.1450000000000002</x:v>
      </x:c>
      <x:c r="C76" s="117" t="n">
        <x:f>ROUND(B76,'Config'!$B$25)</x:f>
        <x:v>0.145</x:v>
      </x:c>
      <x:c r="D76" s="120" t="n">
        <x:f>VALUE('Raw_Data'!J1075)</x:f>
        <x:v>9.656613603731478e-10</x:v>
      </x:c>
      <x:c r="E76" s="117" t="n">
        <x:f>LN(ABS(D76))/LN(10)</x:f>
        <x:v>-9.015175145950481</x:v>
      </x:c>
      <x:c r="F76" s="117" t="n">
        <x:f>B76</x:f>
        <x:v>0.1450000000000002</x:v>
      </x:c>
      <x:c r="G76" s="117" t="n">
        <x:f>B96</x:f>
        <x:v>0.2450000000000002</x:v>
      </x:c>
      <x:c r="H76" s="117" t="n">
        <x:f>MAX(E76:E96)-MIN(E76:E96)</x:f>
        <x:v>1.1417630432388162</x:v>
      </x:c>
      <x:c r="I76" s="117" t="n">
        <x:f>SLOPE(E76:E96,B76:B96)</x:f>
        <x:v>11.42176120904175</x:v>
      </x:c>
      <x:c r="J76" s="123" t="n">
        <x:f>RSQ(E76:E96,B76:B96)</x:f>
        <x:v>0.9999936331523184</x:v>
      </x:c>
      <x:c r="K76" s="117" t="n">
        <x:f>IF(I76&gt;0,'Config'!$B$17/I76,"")</x:f>
        <x:v>87.55217183216676</x:v>
      </x:c>
      <x:c r="L76" s="120" t="n">
        <x:f>MAX(D76:D96)</x:f>
        <x:v>1.338406069067664e-8</x:v>
      </x:c>
      <x:c r="M76" s="120" t="n">
        <x:f>IF(AND(H76&gt;='Config'!$B$14,J76&gt;='Config'!$B$15,L76&lt;=$E$4,I76&gt;0),K76,"")</x:f>
        <x:v>87.55217183216676</x:v>
      </x:c>
      <x:c r="N76" s="17" t="str">
        <x:f>IF(AND(M76&lt;&gt;"",ABS(M76-$G$4)&lt;='Config'!$B$22),"SELECTED","")</x:f>
      </x:c>
    </x:row>
    <x:row r="77">
      <x:c r="A77" s="15" t="n">
        <x:v>1076</x:v>
      </x:c>
      <x:c r="B77" s="117" t="n">
        <x:f>VALUE('Raw_Data'!I1076)</x:f>
        <x:v>0.1500000000000002</x:v>
      </x:c>
      <x:c r="C77" s="117" t="n">
        <x:f>ROUND(B77,'Config'!$B$25)</x:f>
        <x:v>0.15</x:v>
      </x:c>
      <x:c r="D77" s="120" t="n">
        <x:f>VALUE('Raw_Data'!J1076)</x:f>
        <x:v>1.102356706418941e-9</x:v>
      </x:c>
      <x:c r="E77" s="117" t="n">
        <x:f>LN(ABS(D77))/LN(10)</x:f>
        <x:v>-8.957677851434784</x:v>
      </x:c>
      <x:c r="F77" s="117" t="n">
        <x:f>B77</x:f>
        <x:v>0.1500000000000002</x:v>
      </x:c>
      <x:c r="G77" s="117" t="n">
        <x:f>B97</x:f>
        <x:v>0.2500000000000002</x:v>
      </x:c>
      <x:c r="H77" s="117" t="n">
        <x:f>MAX(E77:E97)-MIN(E77:E97)</x:f>
        <x:v>1.1406406350847584</x:v>
      </x:c>
      <x:c r="I77" s="117" t="n">
        <x:f>SLOPE(E77:E97,B77:B97)</x:f>
        <x:v>11.410699400991396</x:v>
      </x:c>
      <x:c r="J77" s="123" t="n">
        <x:f>RSQ(E77:E97,B77:B97)</x:f>
        <x:v>0.9999927044836289</x:v>
      </x:c>
      <x:c r="K77" s="117" t="n">
        <x:f>IF(I77&gt;0,'Config'!$B$17/I77,"")</x:f>
        <x:v>87.63704702562903</x:v>
      </x:c>
      <x:c r="L77" s="120" t="n">
        <x:f>MAX(D77:D97)</x:f>
        <x:v>1.523922157501657e-8</x:v>
      </x:c>
      <x:c r="M77" s="120" t="n">
        <x:f>IF(AND(H77&gt;='Config'!$B$14,J77&gt;='Config'!$B$15,L77&lt;=$E$4,I77&gt;0),K77,"")</x:f>
        <x:v>87.63704702562903</x:v>
      </x:c>
      <x:c r="N77" s="17" t="str">
        <x:f>IF(AND(M77&lt;&gt;"",ABS(M77-$G$4)&lt;='Config'!$B$22),"SELECTED","")</x:f>
      </x:c>
    </x:row>
    <x:row r="78">
      <x:c r="A78" s="15" t="n">
        <x:v>1077</x:v>
      </x:c>
      <x:c r="B78" s="117" t="n">
        <x:f>VALUE('Raw_Data'!I1077)</x:f>
        <x:v>0.1550000000000002</x:v>
      </x:c>
      <x:c r="C78" s="117" t="n">
        <x:f>ROUND(B78,'Config'!$B$25)</x:f>
        <x:v>0.155</x:v>
      </x:c>
      <x:c r="D78" s="120" t="n">
        <x:f>VALUE('Raw_Data'!J1077)</x:f>
        <x:v>1.258332281556775e-9</x:v>
      </x:c>
      <x:c r="E78" s="117" t="n">
        <x:f>LN(ABS(D78))/LN(10)</x:f>
        <x:v>-8.900204661759181</x:v>
      </x:c>
      <x:c r="F78" s="117" t="n">
        <x:f>B78</x:f>
        <x:v>0.1550000000000002</x:v>
      </x:c>
      <x:c r="G78" s="117" t="n">
        <x:f>B98</x:f>
        <x:v>0.2550000000000002</x:v>
      </x:c>
      <x:c r="H78" s="117" t="n">
        <x:f>MAX(E78:E98)-MIN(E78:E98)</x:f>
        <x:v>1.139440577590003</x:v>
      </x:c>
      <x:c r="I78" s="117" t="n">
        <x:f>SLOPE(E78:E98,B78:B98)</x:f>
        <x:v>11.398874899923047</x:v>
      </x:c>
      <x:c r="J78" s="123" t="n">
        <x:f>RSQ(E78:E98,B78:B98)</x:f>
        <x:v>0.999991668583516</x:v>
      </x:c>
      <x:c r="K78" s="117" t="n">
        <x:f>IF(I78&gt;0,'Config'!$B$17/I78,"")</x:f>
        <x:v>87.72795637986613</x:v>
      </x:c>
      <x:c r="L78" s="120" t="n">
        <x:f>MAX(D78:D98)</x:f>
        <x:v>1.734746084158979e-8</x:v>
      </x:c>
      <x:c r="M78" s="120" t="n">
        <x:f>IF(AND(H78&gt;='Config'!$B$14,J78&gt;='Config'!$B$15,L78&lt;=$E$4,I78&gt;0),K78,"")</x:f>
        <x:v>87.72795637986613</x:v>
      </x:c>
      <x:c r="N78" s="17" t="str">
        <x:f>IF(AND(M78&lt;&gt;"",ABS(M78-$G$4)&lt;='Config'!$B$22),"SELECTED","")</x:f>
      </x:c>
    </x:row>
    <x:row r="79">
      <x:c r="A79" s="15" t="n">
        <x:v>1078</x:v>
      </x:c>
      <x:c r="B79" s="117" t="n">
        <x:f>VALUE('Raw_Data'!I1078)</x:f>
        <x:v>0.1600000000000002</x:v>
      </x:c>
      <x:c r="C79" s="117" t="n">
        <x:f>ROUND(B79,'Config'!$B$25)</x:f>
        <x:v>0.16</x:v>
      </x:c>
      <x:c r="D79" s="120" t="n">
        <x:f>VALUE('Raw_Data'!J1078)</x:f>
        <x:v>1.436288058139643e-9</x:v>
      </x:c>
      <x:c r="E79" s="117" t="n">
        <x:f>LN(ABS(D79))/LN(10)</x:f>
        <x:v>-8.84275845040388</x:v>
      </x:c>
      <x:c r="F79" s="117" t="n">
        <x:f>B79</x:f>
        <x:v>0.1600000000000002</x:v>
      </x:c>
      <x:c r="G79" s="117" t="n">
        <x:f>B99</x:f>
        <x:v>0.2600000000000002</x:v>
      </x:c>
      <x:c r="H79" s="117" t="n">
        <x:f>MAX(E79:E99)-MIN(E79:E99)</x:f>
        <x:v>1.1381599221610488</x:v>
      </x:c>
      <x:c r="I79" s="117" t="n">
        <x:f>SLOPE(E79:E99,B79:B99)</x:f>
        <x:v>11.386257380264956</x:v>
      </x:c>
      <x:c r="J79" s="123" t="n">
        <x:f>RSQ(E79:E99,B79:B99)</x:f>
        <x:v>0.9999905131994078</x:v>
      </x:c>
      <x:c r="K79" s="117" t="n">
        <x:f>IF(I79&gt;0,'Config'!$B$17/I79,"")</x:f>
        <x:v>87.82517087074051</x:v>
      </x:c>
      <x:c r="L79" s="120" t="n">
        <x:f>MAX(D79:D99)</x:f>
        <x:v>1.974246931861928e-8</x:v>
      </x:c>
      <x:c r="M79" s="120" t="n">
        <x:f>IF(AND(H79&gt;='Config'!$B$14,J79&gt;='Config'!$B$15,L79&lt;=$E$4,I79&gt;0),K79,"")</x:f>
        <x:v>87.82517087074051</x:v>
      </x:c>
      <x:c r="N79" s="17" t="str">
        <x:f>IF(AND(M79&lt;&gt;"",ABS(M79-$G$4)&lt;='Config'!$B$22),"SELECTED","")</x:f>
      </x:c>
    </x:row>
    <x:row r="80">
      <x:c r="A80" s="15" t="n">
        <x:v>1079</x:v>
      </x:c>
      <x:c r="B80" s="117" t="n">
        <x:f>VALUE('Raw_Data'!I1079)</x:f>
        <x:v>0.1650000000000002</x:v>
      </x:c>
      <x:c r="C80" s="117" t="n">
        <x:f>ROUND(B80,'Config'!$B$25)</x:f>
        <x:v>0.165</x:v>
      </x:c>
      <x:c r="D80" s="120" t="n">
        <x:f>VALUE('Raw_Data'!J1079)</x:f>
        <x:v>1.639297952254774e-9</x:v>
      </x:c>
      <x:c r="E80" s="117" t="n">
        <x:f>LN(ABS(D80))/LN(10)</x:f>
        <x:v>-8.785342103622982</x:v>
      </x:c>
      <x:c r="F80" s="117" t="n">
        <x:f>B80</x:f>
        <x:v>0.1650000000000002</x:v>
      </x:c>
      <x:c r="G80" s="117" t="n">
        <x:f>B100</x:f>
        <x:v>0.2650000000000002</x:v>
      </x:c>
      <x:c r="H80" s="117" t="n">
        <x:f>MAX(E80:E100)-MIN(E80:E100)</x:f>
        <x:v>1.1367954917720562</x:v>
      </x:c>
      <x:c r="I80" s="117" t="n">
        <x:f>SLOPE(E80:E100,B80:B100)</x:f>
        <x:v>11.372814238609726</x:v>
      </x:c>
      <x:c r="J80" s="123" t="n">
        <x:f>RSQ(E80:E100,B80:B100)</x:f>
        <x:v>0.9999892249037691</x:v>
      </x:c>
      <x:c r="K80" s="117" t="n">
        <x:f>IF(I80&gt;0,'Config'!$B$17/I80,"")</x:f>
        <x:v>87.92898389257833</x:v>
      </x:c>
      <x:c r="L80" s="120" t="n">
        <x:f>MAX(D80:D100)</x:f>
        <x:v>2.246225680698722e-8</x:v>
      </x:c>
      <x:c r="M80" s="120" t="n">
        <x:f>IF(AND(H80&gt;='Config'!$B$14,J80&gt;='Config'!$B$15,L80&lt;=$E$4,I80&gt;0),K80,"")</x:f>
        <x:v>87.92898389257833</x:v>
      </x:c>
      <x:c r="N80" s="17" t="str">
        <x:f>IF(AND(M80&lt;&gt;"",ABS(M80-$G$4)&lt;='Config'!$B$22),"SELECTED","")</x:f>
      </x:c>
    </x:row>
    <x:row r="81">
      <x:c r="A81" s="15" t="n">
        <x:v>1080</x:v>
      </x:c>
      <x:c r="B81" s="117" t="n">
        <x:f>VALUE('Raw_Data'!I1080)</x:f>
        <x:v>0.1700000000000002</x:v>
      </x:c>
      <x:c r="C81" s="117" t="n">
        <x:f>ROUND(B81,'Config'!$B$25)</x:f>
        <x:v>0.17</x:v>
      </x:c>
      <x:c r="D81" s="120" t="n">
        <x:f>VALUE('Raw_Data'!J1080)</x:f>
        <x:v>1.870860731940521e-9</x:v>
      </x:c>
      <x:c r="E81" s="117" t="n">
        <x:f>LN(ABS(D81))/LN(10)</x:f>
        <x:v>-8.727958540453432</x:v>
      </x:c>
      <x:c r="F81" s="117" t="n">
        <x:f>B81</x:f>
        <x:v>0.1700000000000002</x:v>
      </x:c>
      <x:c r="G81" s="117" t="n">
        <x:f>B101</x:f>
        <x:v>0.2700000000000002</x:v>
      </x:c>
      <x:c r="H81" s="117" t="n">
        <x:f>MAX(E81:E101)-MIN(E81:E101)</x:f>
        <x:v>1.1353438991995617</x:v>
      </x:c>
      <x:c r="I81" s="117" t="n">
        <x:f>SLOPE(E81:E101,B81:B101)</x:f>
        <x:v>11.358510754618779</x:v>
      </x:c>
      <x:c r="J81" s="123" t="n">
        <x:f>RSQ(E81:E101,B81:B101)</x:f>
        <x:v>0.9999877890427846</x:v>
      </x:c>
      <x:c r="K81" s="117" t="n">
        <x:f>IF(I81&gt;0,'Config'!$B$17/I81,"")</x:f>
        <x:v>88.03971062785357</x:v>
      </x:c>
      <x:c r="L81" s="120" t="n">
        <x:f>MAX(D81:D101)</x:f>
        <x:v>2.554967374128647e-8</x:v>
      </x:c>
      <x:c r="M81" s="120" t="n">
        <x:f>IF(AND(H81&gt;='Config'!$B$14,J81&gt;='Config'!$B$15,L81&lt;=$E$4,I81&gt;0),K81,"")</x:f>
        <x:v>88.03971062785357</x:v>
      </x:c>
      <x:c r="N81" s="17" t="str">
        <x:f>IF(AND(M81&lt;&gt;"",ABS(M81-$G$4)&lt;='Config'!$B$22),"SELECTED","")</x:f>
      </x:c>
    </x:row>
    <x:row r="82">
      <x:c r="A82" s="15" t="n">
        <x:v>1081</x:v>
      </x:c>
      <x:c r="B82" s="117" t="n">
        <x:f>VALUE('Raw_Data'!I1081)</x:f>
        <x:v>0.1750000000000002</x:v>
      </x:c>
      <x:c r="C82" s="117" t="n">
        <x:f>ROUND(B82,'Config'!$B$25)</x:f>
        <x:v>0.175</x:v>
      </x:c>
      <x:c r="D82" s="120" t="n">
        <x:f>VALUE('Raw_Data'!J1081)</x:f>
        <x:v>2.134957670422552e-9</x:v>
      </x:c>
      <x:c r="E82" s="117" t="n">
        <x:f>LN(ABS(D82))/LN(10)</x:f>
        <x:v>-8.670610731263851</x:v>
      </x:c>
      <x:c r="F82" s="117" t="n">
        <x:f>B82</x:f>
        <x:v>0.1750000000000002</x:v>
      </x:c>
      <x:c r="G82" s="117" t="n">
        <x:f>B102</x:f>
        <x:v>0.2750000000000002</x:v>
      </x:c>
      <x:c r="H82" s="117" t="n">
        <x:f>MAX(E82:E102)-MIN(E82:E102)</x:f>
        <x:v>1.1338015654169125</x:v>
      </x:c>
      <x:c r="I82" s="117" t="n">
        <x:f>SLOPE(E82:E102,B82:B102)</x:f>
        <x:v>11.34331025415127</x:v>
      </x:c>
      <x:c r="J82" s="123" t="n">
        <x:f>RSQ(E82:E102,B82:B102)</x:f>
        <x:v>0.9999861896904535</x:v>
      </x:c>
      <x:c r="K82" s="117" t="n">
        <x:f>IF(I82&gt;0,'Config'!$B$17/I82,"")</x:f>
        <x:v>88.15768744701606</x:v>
      </x:c>
      <x:c r="L82" s="120" t="n">
        <x:f>MAX(D82:D102)</x:f>
        <x:v>2.905298996906685e-8</x:v>
      </x:c>
      <x:c r="M82" s="120" t="n">
        <x:f>IF(AND(H82&gt;='Config'!$B$14,J82&gt;='Config'!$B$15,L82&lt;=$E$4,I82&gt;0),K82,"")</x:f>
        <x:v>88.15768744701606</x:v>
      </x:c>
      <x:c r="N82" s="17" t="str">
        <x:f>IF(AND(M82&lt;&gt;"",ABS(M82-$G$4)&lt;='Config'!$B$22),"SELECTED","")</x:f>
      </x:c>
    </x:row>
    <x:row r="83">
      <x:c r="A83" s="15" t="n">
        <x:v>1082</x:v>
      </x:c>
      <x:c r="B83" s="117" t="n">
        <x:f>VALUE('Raw_Data'!I1082)</x:f>
        <x:v>0.1800000000000002</x:v>
      </x:c>
      <x:c r="C83" s="117" t="n">
        <x:f>ROUND(B83,'Config'!$B$25)</x:f>
        <x:v>0.18</x:v>
      </x:c>
      <x:c r="D83" s="120" t="n">
        <x:f>VALUE('Raw_Data'!J1082)</x:f>
        <x:v>2.436117799521789e-9</x:v>
      </x:c>
      <x:c r="E83" s="117" t="n">
        <x:f>LN(ABS(D83))/LN(10)</x:f>
        <x:v>-8.613301715035327</x:v>
      </x:c>
      <x:c r="F83" s="117" t="n">
        <x:f>B83</x:f>
        <x:v>0.1800000000000002</x:v>
      </x:c>
      <x:c r="G83" s="117" t="n">
        <x:f>B103</x:f>
        <x:v>0.2800000000000002</x:v>
      </x:c>
      <x:c r="H83" s="117" t="n">
        <x:f>MAX(E83:E103)-MIN(E83:E103)</x:f>
        <x:v>1.1321647385248204</x:v>
      </x:c>
      <x:c r="I83" s="117" t="n">
        <x:f>SLOPE(E83:E103,B83:B103)</x:f>
        <x:v>11.327174278318363</x:v>
      </x:c>
      <x:c r="J83" s="123" t="n">
        <x:f>RSQ(E83:E103,B83:B103)</x:f>
        <x:v>0.9999844096116893</x:v>
      </x:c>
      <x:c r="K83" s="117" t="n">
        <x:f>IF(I83&gt;0,'Config'!$B$17/I83,"")</x:f>
        <x:v>88.28327131102112</x:v>
      </x:c>
      <x:c r="L83" s="120" t="n">
        <x:f>MAX(D83:D103)</x:f>
        <x:v>3.302653588904464e-8</x:v>
      </x:c>
      <x:c r="M83" s="120" t="n">
        <x:f>IF(AND(H83&gt;='Config'!$B$14,J83&gt;='Config'!$B$15,L83&lt;=$E$4,I83&gt;0),K83,"")</x:f>
        <x:v>88.28327131102112</x:v>
      </x:c>
      <x:c r="N83" s="17" t="str">
        <x:f>IF(AND(M83&lt;&gt;"",ABS(M83-$G$4)&lt;='Config'!$B$22),"SELECTED","")</x:f>
      </x:c>
    </x:row>
    <x:row r="84">
      <x:c r="A84" s="15" t="n">
        <x:v>1083</x:v>
      </x:c>
      <x:c r="B84" s="117" t="n">
        <x:f>VALUE('Raw_Data'!I1083)</x:f>
        <x:v>0.1850000000000002</x:v>
      </x:c>
      <x:c r="C84" s="117" t="n">
        <x:f>ROUND(B84,'Config'!$B$25)</x:f>
        <x:v>0.185</x:v>
      </x:c>
      <x:c r="D84" s="120" t="n">
        <x:f>VALUE('Raw_Data'!J1083)</x:f>
        <x:v>2.77949171892227e-9</x:v>
      </x:c>
      <x:c r="E84" s="117" t="n">
        <x:f>LN(ABS(D84))/LN(10)</x:f>
        <x:v>-8.556034615538612</x:v>
      </x:c>
      <x:c r="F84" s="117" t="n">
        <x:f>B84</x:f>
        <x:v>0.1850000000000002</x:v>
      </x:c>
      <x:c r="G84" s="117" t="n">
        <x:f>B104</x:f>
        <x:v>0.2850000000000003</x:v>
      </x:c>
      <x:c r="H84" s="117" t="n">
        <x:f>MAX(E84:E104)-MIN(E84:E104)</x:f>
        <x:v>1.1304295135765114</x:v>
      </x:c>
      <x:c r="I84" s="117" t="n">
        <x:f>SLOPE(E84:E104,B84:B104)</x:f>
        <x:v>11.310062762029474</x:v>
      </x:c>
      <x:c r="J84" s="123" t="n">
        <x:f>RSQ(E84:E104,B84:B104)</x:f>
        <x:v>0.9999824302384562</x:v>
      </x:c>
      <x:c r="K84" s="117" t="n">
        <x:f>IF(I84&gt;0,'Config'!$B$17/I84,"")</x:f>
        <x:v>88.41683914940188</x:v>
      </x:c>
      <x:c r="L84" s="120" t="n">
        <x:f>MAX(D84:D104)</x:f>
        <x:v>3.753141151336801e-8</x:v>
      </x:c>
      <x:c r="M84" s="120" t="n">
        <x:f>IF(AND(H84&gt;='Config'!$B$14,J84&gt;='Config'!$B$15,L84&lt;=$E$4,I84&gt;0),K84,"")</x:f>
        <x:v>88.41683914940188</x:v>
      </x:c>
      <x:c r="N84" s="17" t="str">
        <x:f>IF(AND(M84&lt;&gt;"",ABS(M84-$G$4)&lt;='Config'!$B$22),"SELECTED","")</x:f>
      </x:c>
    </x:row>
    <x:row r="85">
      <x:c r="A85" s="15" t="n">
        <x:v>1084</x:v>
      </x:c>
      <x:c r="B85" s="117" t="n">
        <x:f>VALUE('Raw_Data'!I1084)</x:f>
        <x:v>0.1900000000000002</x:v>
      </x:c>
      <x:c r="C85" s="117" t="n">
        <x:f>ROUND(B85,'Config'!$B$25)</x:f>
        <x:v>0.19</x:v>
      </x:c>
      <x:c r="D85" s="120" t="n">
        <x:f>VALUE('Raw_Data'!J1084)</x:f>
        <x:v>3.170935027767185e-9</x:v>
      </x:c>
      <x:c r="E85" s="117" t="n">
        <x:f>LN(ABS(D85))/LN(10)</x:f>
        <x:v>-8.49881265654474</x:v>
      </x:c>
      <x:c r="F85" s="117" t="n">
        <x:f>B85</x:f>
        <x:v>0.1900000000000002</x:v>
      </x:c>
      <x:c r="G85" s="117" t="n">
        <x:f>B105</x:f>
        <x:v>0.2900000000000003</x:v>
      </x:c>
      <x:c r="H85" s="117" t="n">
        <x:f>MAX(E85:E105)-MIN(E85:E105)</x:f>
        <x:v>1.1285918536348776</x:v>
      </x:c>
      <x:c r="I85" s="117" t="n">
        <x:f>SLOPE(E85:E105,B85:B105)</x:f>
        <x:v>11.291934225458252</x:v>
      </x:c>
      <x:c r="J85" s="123" t="n">
        <x:f>RSQ(E85:E105,B85:B105)</x:f>
        <x:v>0.9999802316634226</x:v>
      </x:c>
      <x:c r="K85" s="117" t="n">
        <x:f>IF(I85&gt;0,'Config'!$B$17/I85,"")</x:f>
        <x:v>88.5587871868265</x:v>
      </x:c>
      <x:c r="L85" s="120" t="n">
        <x:f>MAX(D85:D105)</x:f>
        <x:v>4.263626934374696e-8</x:v>
      </x:c>
      <x:c r="M85" s="120" t="n">
        <x:f>IF(AND(H85&gt;='Config'!$B$14,J85&gt;='Config'!$B$15,L85&lt;=$E$4,I85&gt;0),K85,"")</x:f>
        <x:v>88.5587871868265</x:v>
      </x:c>
      <x:c r="N85" s="17" t="str">
        <x:f>IF(AND(M85&lt;&gt;"",ABS(M85-$G$4)&lt;='Config'!$B$22),"SELECTED","")</x:f>
      </x:c>
    </x:row>
    <x:row r="86">
      <x:c r="A86" s="15" t="n">
        <x:v>1085</x:v>
      </x:c>
      <x:c r="B86" s="117" t="n">
        <x:f>VALUE('Raw_Data'!I1085)</x:f>
        <x:v>0.1950000000000002</x:v>
      </x:c>
      <x:c r="C86" s="117" t="n">
        <x:f>ROUND(B86,'Config'!$B$25)</x:f>
        <x:v>0.195</x:v>
      </x:c>
      <x:c r="D86" s="120" t="n">
        <x:f>VALUE('Raw_Data'!J1085)</x:f>
        <x:v>3.617102566781934e-9</x:v>
      </x:c>
      <x:c r="E86" s="117" t="n">
        <x:f>LN(ABS(D86))/LN(10)</x:f>
        <x:v>-8.441639176182845</x:v>
      </x:c>
      <x:c r="F86" s="117" t="n">
        <x:f>B86</x:f>
        <x:v>0.1950000000000002</x:v>
      </x:c>
      <x:c r="G86" s="117" t="n">
        <x:f>B106</x:f>
        <x:v>0.2950000000000003</x:v>
      </x:c>
      <x:c r="H86" s="117" t="n">
        <x:f>MAX(E86:E106)-MIN(E86:E106)</x:f>
        <x:v>1.1266476123786644</x:v>
      </x:c>
      <x:c r="I86" s="117" t="n">
        <x:f>SLOPE(E86:E106,B86:B106)</x:f>
        <x:v>11.272745981707986</x:v>
      </x:c>
      <x:c r="J86" s="123" t="n">
        <x:f>RSQ(E86:E106,B86:B106)</x:f>
        <x:v>0.9999777926561764</x:v>
      </x:c>
      <x:c r="K86" s="117" t="n">
        <x:f>IF(I86&gt;0,'Config'!$B$17/I86,"")</x:f>
        <x:v>88.70953019101788</x:v>
      </x:c>
      <x:c r="L86" s="120" t="n">
        <x:f>MAX(D86:D106)</x:f>
        <x:v>4.841817727521243e-8</x:v>
      </x:c>
      <x:c r="M86" s="120" t="n">
        <x:f>IF(AND(H86&gt;='Config'!$B$14,J86&gt;='Config'!$B$15,L86&lt;=$E$4,I86&gt;0),K86,"")</x:f>
        <x:v>88.70953019101788</x:v>
      </x:c>
      <x:c r="N86" s="17" t="str">
        <x:f>IF(AND(M86&lt;&gt;"",ABS(M86-$G$4)&lt;='Config'!$B$22),"SELECTED","")</x:f>
      </x:c>
    </x:row>
    <x:row r="87">
      <x:c r="A87" s="15" t="n">
        <x:v>1086</x:v>
      </x:c>
      <x:c r="B87" s="117" t="n">
        <x:f>VALUE('Raw_Data'!I1086)</x:f>
        <x:v>0.2000000000000002</x:v>
      </x:c>
      <x:c r="C87" s="117" t="n">
        <x:f>ROUND(B87,'Config'!$B$25)</x:f>
        <x:v>0.2</x:v>
      </x:c>
      <x:c r="D87" s="120" t="n">
        <x:f>VALUE('Raw_Data'!J1086)</x:f>
        <x:v>4.125554792534778e-9</x:v>
      </x:c>
      <x:c r="E87" s="117" t="n">
        <x:f>LN(ABS(D87))/LN(10)</x:f>
        <x:v>-8.384517640535861</x:v>
      </x:c>
      <x:c r="F87" s="117" t="n">
        <x:f>B87</x:f>
        <x:v>0.2000000000000002</x:v>
      </x:c>
      <x:c r="G87" s="117" t="n">
        <x:f>B107</x:f>
        <x:v>0.3000000000000003</x:v>
      </x:c>
      <x:c r="H87" s="117" t="n">
        <x:f>MAX(E87:E107)-MIN(E87:E107)</x:f>
        <x:v>1.124592558549348</x:v>
      </x:c>
      <x:c r="I87" s="117" t="n">
        <x:f>SLOPE(E87:E107,B87:B107)</x:f>
        <x:v>11.25245436378031</x:v>
      </x:c>
      <x:c r="J87" s="123" t="n">
        <x:f>RSQ(E87:E107,B87:B107)</x:f>
        <x:v>0.9999750907075433</x:v>
      </x:c>
      <x:c r="K87" s="117" t="n">
        <x:f>IF(I87&gt;0,'Config'!$B$17/I87,"")</x:f>
        <x:v>88.8695006148015</x:v>
      </x:c>
      <x:c r="L87" s="120" t="n">
        <x:f>MAX(D87:D107)</x:f>
        <x:v>5.496356806386924e-8</x:v>
      </x:c>
      <x:c r="M87" s="120" t="n">
        <x:f>IF(AND(H87&gt;='Config'!$B$14,J87&gt;='Config'!$B$15,L87&lt;=$E$4,I87&gt;0),K87,"")</x:f>
        <x:v>88.8695006148015</x:v>
      </x:c>
      <x:c r="N87" s="17" t="str">
        <x:f>IF(AND(M87&lt;&gt;"",ABS(M87-$G$4)&lt;='Config'!$B$22),"SELECTED","")</x:f>
      </x:c>
    </x:row>
    <x:row r="88">
      <x:c r="A88" s="15" t="n">
        <x:v>1087</x:v>
      </x:c>
      <x:c r="B88" s="117" t="n">
        <x:f>VALUE('Raw_Data'!I1087)</x:f>
        <x:v>0.2050000000000002</x:v>
      </x:c>
      <x:c r="C88" s="117" t="n">
        <x:f>ROUND(B88,'Config'!$B$25)</x:f>
        <x:v>0.205</x:v>
      </x:c>
      <x:c r="D88" s="120" t="n">
        <x:f>VALUE('Raw_Data'!J1087)</x:f>
        <x:v>4.704877751213881e-9</x:v>
      </x:c>
      <x:c r="E88" s="117" t="n">
        <x:f>LN(ABS(D88))/LN(10)</x:f>
        <x:v>-8.327451656543415</x:v>
      </x:c>
      <x:c r="F88" s="117" t="n">
        <x:f>B88</x:f>
        <x:v>0.2050000000000002</x:v>
      </x:c>
      <x:c r="G88" s="117" t="n">
        <x:f>B108</x:f>
        <x:v>0.3050000000000003</x:v>
      </x:c>
      <x:c r="H88" s="117" t="n">
        <x:f>MAX(E88:E108)-MIN(E88:E108)</x:f>
        <x:v>1.1224224025011589</x:v>
      </x:c>
      <x:c r="I88" s="117" t="n">
        <x:f>SLOPE(E88:E108,B88:B108)</x:f>
        <x:v>11.23101497373913</x:v>
      </x:c>
      <x:c r="J88" s="123" t="n">
        <x:f>RSQ(E88:E108,B88:B108)</x:f>
        <x:v>0.9999721021080713</x:v>
      </x:c>
      <x:c r="K88" s="117" t="n">
        <x:f>IF(I88&gt;0,'Config'!$B$17/I88,"")</x:f>
        <x:v>89.03914760493556</x:v>
      </x:c>
      <x:c r="L88" s="120" t="n">
        <x:f>MAX(D88:D108)</x:f>
        <x:v>6.236928221678175e-8</x:v>
      </x:c>
      <x:c r="M88" s="120" t="n">
        <x:f>IF(AND(H88&gt;='Config'!$B$14,J88&gt;='Config'!$B$15,L88&lt;=$E$4,I88&gt;0),K88,"")</x:f>
        <x:v>89.03914760493556</x:v>
      </x:c>
      <x:c r="N88" s="17" t="str">
        <x:f>IF(AND(M88&lt;&gt;"",ABS(M88-$G$4)&lt;='Config'!$B$22),"SELECTED","")</x:f>
      </x:c>
    </x:row>
    <x:row r="89">
      <x:c r="A89" s="15" t="n">
        <x:v>1088</x:v>
      </x:c>
      <x:c r="B89" s="117" t="n">
        <x:f>VALUE('Raw_Data'!I1088)</x:f>
        <x:v>0.2100000000000002</x:v>
      </x:c>
      <x:c r="C89" s="117" t="n">
        <x:f>ROUND(B89,'Config'!$B$25)</x:f>
        <x:v>0.21</x:v>
      </x:c>
      <x:c r="D89" s="120" t="n">
        <x:f>VALUE('Raw_Data'!J1088)</x:f>
        <x:v>5.364818278058858e-9</x:v>
      </x:c>
      <x:c r="E89" s="117" t="n">
        <x:f>LN(ABS(D89))/LN(10)</x:f>
        <x:v>-8.270444984261479</x:v>
      </x:c>
      <x:c r="F89" s="117" t="n">
        <x:f>B89</x:f>
        <x:v>0.2100000000000002</x:v>
      </x:c>
      <x:c r="G89" s="117" t="n">
        <x:f>B109</x:f>
        <x:v>0.3100000000000003</x:v>
      </x:c>
      <x:c r="H89" s="117" t="n">
        <x:f>MAX(E89:E109)-MIN(E89:E109)</x:f>
        <x:v>1.120132825081753</x:v>
      </x:c>
      <x:c r="I89" s="117" t="n">
        <x:f>SLOPE(E89:E109,B89:B109)</x:f>
        <x:v>11.208382956697598</x:v>
      </x:c>
      <x:c r="J89" s="123" t="n">
        <x:f>RSQ(E89:E109,B89:B109)</x:f>
        <x:v>0.9999688020672004</x:v>
      </x:c>
      <x:c r="K89" s="117" t="n">
        <x:f>IF(I89&gt;0,'Config'!$B$17/I89,"")</x:f>
        <x:v>89.21893585037148</x:v>
      </x:c>
      <x:c r="L89" s="120" t="n">
        <x:f>MAX(D89:D109)</x:f>
        <x:v>7.074371148474389e-8</x:v>
      </x:c>
      <x:c r="M89" s="120" t="n">
        <x:f>IF(AND(H89&gt;='Config'!$B$14,J89&gt;='Config'!$B$15,L89&lt;=$E$4,I89&gt;0),K89,"")</x:f>
        <x:v>89.21893585037148</x:v>
      </x:c>
      <x:c r="N89" s="17" t="str">
        <x:f>IF(AND(M89&lt;&gt;"",ABS(M89-$G$4)&lt;='Config'!$B$22),"SELECTED","")</x:f>
      </x:c>
    </x:row>
    <x:row r="90">
      <x:c r="A90" s="15" t="n">
        <x:v>1089</x:v>
      </x:c>
      <x:c r="B90" s="117" t="n">
        <x:f>VALUE('Raw_Data'!I1089)</x:f>
        <x:v>0.2150000000000002</x:v>
      </x:c>
      <x:c r="C90" s="117" t="n">
        <x:f>ROUND(B90,'Config'!$B$25)</x:f>
        <x:v>0.215</x:v>
      </x:c>
      <x:c r="D90" s="120" t="n">
        <x:f>VALUE('Raw_Data'!J1089)</x:f>
        <x:v>6.116436220906963e-9</x:v>
      </x:c>
      <x:c r="E90" s="117" t="n">
        <x:f>LN(ABS(D90))/LN(10)</x:f>
        <x:v>-8.213501548508745</x:v>
      </x:c>
      <x:c r="F90" s="117" t="n">
        <x:f>B90</x:f>
        <x:v>0.2150000000000002</x:v>
      </x:c>
      <x:c r="G90" s="117" t="n">
        <x:f>B110</x:f>
        <x:v>0.3150000000000003</x:v>
      </x:c>
      <x:c r="H90" s="117" t="n">
        <x:f>MAX(E90:E110)-MIN(E90:E110)</x:f>
        <x:v>1.1177195090287535</x:v>
      </x:c>
      <x:c r="I90" s="117" t="n">
        <x:f>SLOPE(E90:E110,B90:B110)</x:f>
        <x:v>11.184513301924884</x:v>
      </x:c>
      <x:c r="J90" s="123" t="n">
        <x:f>RSQ(E90:E110,B90:B110)</x:f>
        <x:v>0.999965164879925</x:v>
      </x:c>
      <x:c r="K90" s="117" t="n">
        <x:f>IF(I90&gt;0,'Config'!$B$17/I90,"")</x:f>
        <x:v>89.40934424280199</x:v>
      </x:c>
      <x:c r="L90" s="120" t="n">
        <x:f>MAX(D90:D110)</x:f>
        <x:v>8.020805046558592e-8</x:v>
      </x:c>
      <x:c r="M90" s="120" t="n">
        <x:f>IF(AND(H90&gt;='Config'!$B$14,J90&gt;='Config'!$B$15,L90&lt;=$E$4,I90&gt;0),K90,"")</x:f>
        <x:v>89.40934424280199</x:v>
      </x:c>
      <x:c r="N90" s="17" t="str">
        <x:f>IF(AND(M90&lt;&gt;"",ABS(M90-$G$4)&lt;='Config'!$B$22),"SELECTED","")</x:f>
      </x:c>
    </x:row>
    <x:row r="91">
      <x:c r="A91" s="15" t="n">
        <x:v>1090</x:v>
      </x:c>
      <x:c r="B91" s="117" t="n">
        <x:f>VALUE('Raw_Data'!I1090)</x:f>
        <x:v>0.2200000000000002</x:v>
      </x:c>
      <x:c r="C91" s="117" t="n">
        <x:f>ROUND(B91,'Config'!$B$25)</x:f>
        <x:v>0.22</x:v>
      </x:c>
      <x:c r="D91" s="120" t="n">
        <x:f>VALUE('Raw_Data'!J1090)</x:f>
        <x:v>6.972275672665353e-9</x:v>
      </x:c>
      <x:c r="E91" s="117" t="n">
        <x:f>LN(ABS(D91))/LN(10)</x:f>
        <x:v>-8.15662544991108</x:v>
      </x:c>
      <x:c r="F91" s="117" t="n">
        <x:f>B91</x:f>
        <x:v>0.2200000000000002</x:v>
      </x:c>
      <x:c r="G91" s="117" t="n">
        <x:f>B111</x:f>
        <x:v>0.3200000000000003</x:v>
      </x:c>
      <x:c r="H91" s="117" t="n">
        <x:f>MAX(E91:E111)-MIN(E91:E111)</x:f>
        <x:v>1.1151781730153143</x:v>
      </x:c>
      <x:c r="I91" s="117" t="n">
        <x:f>SLOPE(E91:E111,B91:B111)</x:f>
        <x:v>11.159361172954986</x:v>
      </x:c>
      <x:c r="J91" s="123" t="n">
        <x:f>RSQ(E91:E111,B91:B111)</x:f>
        <x:v>0.9999611641479279</x:v>
      </x:c>
      <x:c r="K91" s="117" t="n">
        <x:f>IF(I91&gt;0,'Config'!$B$17/I91,"")</x:f>
        <x:v>89.6108643229083</x:v>
      </x:c>
      <x:c r="L91" s="120" t="n">
        <x:f>MAX(D91:D111)</x:f>
        <x:v>9.089766416173781e-8</x:v>
      </x:c>
      <x:c r="M91" s="120" t="n">
        <x:f>IF(AND(H91&gt;='Config'!$B$14,J91&gt;='Config'!$B$15,L91&lt;=$E$4,I91&gt;0),K91,"")</x:f>
        <x:v>89.6108643229083</x:v>
      </x:c>
      <x:c r="N91" s="17" t="str">
        <x:f>IF(AND(M91&lt;&gt;"",ABS(M91-$G$4)&lt;='Config'!$B$22),"SELECTED","")</x:f>
      </x:c>
    </x:row>
    <x:row r="92">
      <x:c r="A92" s="15" t="n">
        <x:v>1091</x:v>
      </x:c>
      <x:c r="B92" s="117" t="n">
        <x:f>VALUE('Raw_Data'!I1091)</x:f>
        <x:v>0.2250000000000002</x:v>
      </x:c>
      <x:c r="C92" s="117" t="n">
        <x:f>ROUND(B92,'Config'!$B$25)</x:f>
        <x:v>0.225</x:v>
      </x:c>
      <x:c r="D92" s="120" t="n">
        <x:f>VALUE('Raw_Data'!J1091)</x:f>
        <x:v>7.94655739824618e-9</x:v>
      </x:c>
      <x:c r="E92" s="117" t="n">
        <x:f>LN(ABS(D92))/LN(10)</x:f>
        <x:v>-8.099820975337494</x:v>
      </x:c>
      <x:c r="F92" s="117" t="n">
        <x:f>B92</x:f>
        <x:v>0.2250000000000002</x:v>
      </x:c>
      <x:c r="G92" s="117" t="n">
        <x:f>B112</x:f>
        <x:v>0.3250000000000003</x:v>
      </x:c>
      <x:c r="H92" s="117" t="n">
        <x:f>MAX(E92:E112)-MIN(E92:E112)</x:f>
        <x:v>1.1125046084172077</x:v>
      </x:c>
      <x:c r="I92" s="117" t="n">
        <x:f>SLOPE(E92:E112,B92:B112)</x:f>
        <x:v>11.132882268067199</x:v>
      </x:c>
      <x:c r="J92" s="123" t="n">
        <x:f>RSQ(E92:E112,B92:B112)</x:f>
        <x:v>0.9999567730620085</x:v>
      </x:c>
      <x:c r="K92" s="117" t="n">
        <x:f>IF(I92&gt;0,'Config'!$B$17/I92,"")</x:f>
        <x:v>89.82399848674694</x:v>
      </x:c>
      <x:c r="L92" s="120" t="n">
        <x:f>MAX(D92:D112)</x:f>
        <x:v>1.029635796884623e-7</x:v>
      </x:c>
      <x:c r="M92" s="120" t="n">
        <x:f>IF(AND(H92&gt;='Config'!$B$14,J92&gt;='Config'!$B$15,L92&lt;=$E$4,I92&gt;0),K92,"")</x:f>
        <x:v>89.82399848674694</x:v>
      </x:c>
      <x:c r="N92" s="17" t="str">
        <x:f>IF(AND(M92&lt;&gt;"",ABS(M92-$G$4)&lt;='Config'!$B$22),"SELECTED","")</x:f>
      </x:c>
    </x:row>
    <x:row r="93">
      <x:c r="A93" s="15" t="n">
        <x:v>1092</x:v>
      </x:c>
      <x:c r="B93" s="117" t="n">
        <x:f>VALUE('Raw_Data'!I1092)</x:f>
        <x:v>0.2300000000000002</x:v>
      </x:c>
      <x:c r="C93" s="117" t="n">
        <x:f>ROUND(B93,'Config'!$B$25)</x:f>
        <x:v>0.23</x:v>
      </x:c>
      <x:c r="D93" s="120" t="n">
        <x:f>VALUE('Raw_Data'!J1092)</x:f>
        <x:v>9.055394856811717e-9</x:v>
      </x:c>
      <x:c r="E93" s="117" t="n">
        <x:f>LN(ABS(D93))/LN(10)</x:f>
        <x:v>-8.043092607702691</x:v>
      </x:c>
      <x:c r="F93" s="117" t="n">
        <x:f>B93</x:f>
        <x:v>0.2300000000000002</x:v>
      </x:c>
      <x:c r="G93" s="117" t="n">
        <x:f>B113</x:f>
        <x:v>0.3300000000000003</x:v>
      </x:c>
      <x:c r="H93" s="117" t="n">
        <x:f>MAX(E93:E113)-MIN(E93:E113)</x:f>
        <x:v>1.1096947187996289</x:v>
      </x:c>
      <x:c r="I93" s="117" t="n">
        <x:f>SLOPE(E93:E113,B93:B113)</x:f>
        <x:v>11.10503321187835</x:v>
      </x:c>
      <x:c r="J93" s="123" t="n">
        <x:f>RSQ(E93:E113,B93:B113)</x:f>
        <x:v>0.9999519647521611</x:v>
      </x:c>
      <x:c r="K93" s="117" t="n">
        <x:f>IF(I93&gt;0,'Config'!$B$17/I93,"")</x:f>
        <x:v>90.04925792841064</x:v>
      </x:c>
      <x:c r="L93" s="120" t="n">
        <x:f>MAX(D93:D113)</x:f>
        <x:v>1.165741107072096e-7</x:v>
      </x:c>
      <x:c r="M93" s="120" t="n">
        <x:f>IF(AND(H93&gt;='Config'!$B$14,J93&gt;='Config'!$B$15,L93&lt;=$E$4,I93&gt;0),K93,"")</x:f>
        <x:v>90.04925792841064</x:v>
      </x:c>
      <x:c r="N93" s="17" t="str">
        <x:f>IF(AND(M93&lt;&gt;"",ABS(M93-$G$4)&lt;='Config'!$B$22),"SELECTED","")</x:f>
      </x:c>
    </x:row>
    <x:row r="94">
      <x:c r="A94" s="15" t="n">
        <x:v>1093</x:v>
      </x:c>
      <x:c r="B94" s="117" t="n">
        <x:f>VALUE('Raw_Data'!I1093)</x:f>
        <x:v>0.2350000000000002</x:v>
      </x:c>
      <x:c r="C94" s="117" t="n">
        <x:f>ROUND(B94,'Config'!$B$25)</x:f>
        <x:v>0.235</x:v>
      </x:c>
      <x:c r="D94" s="120" t="n">
        <x:f>VALUE('Raw_Data'!J1093)</x:f>
        <x:v>1.031703645006383e-8</x:v>
      </x:c>
      <x:c r="E94" s="117" t="n">
        <x:f>LN(ABS(D94))/LN(10)</x:f>
        <x:v>-7.986445035094301</x:v>
      </x:c>
      <x:c r="F94" s="117" t="n">
        <x:f>B94</x:f>
        <x:v>0.2350000000000002</x:v>
      </x:c>
      <x:c r="G94" s="117" t="n">
        <x:f>B114</x:f>
        <x:v>0.3350000000000003</x:v>
      </x:c>
      <x:c r="H94" s="117" t="n">
        <x:f>MAX(E94:E114)-MIN(E94:E114)</x:f>
        <x:v>1.1067445620362344</x:v>
      </x:c>
      <x:c r="I94" s="117" t="n">
        <x:f>SLOPE(E94:E114,B94:B114)</x:f>
        <x:v>11.075771978026731</x:v>
      </x:c>
      <x:c r="J94" s="123" t="n">
        <x:f>RSQ(E94:E114,B94:B114)</x:f>
        <x:v>0.999946712710701</x:v>
      </x:c>
      <x:c r="K94" s="117" t="n">
        <x:f>IF(I94&gt;0,'Config'!$B$17/I94,"")</x:f>
        <x:v>90.28716029762116</x:v>
      </x:c>
      <x:c r="L94" s="120" t="n">
        <x:f>MAX(D94:D114)</x:f>
        <x:v>1.319166235729035e-7</x:v>
      </x:c>
      <x:c r="M94" s="120" t="n">
        <x:f>IF(AND(H94&gt;='Config'!$B$14,J94&gt;='Config'!$B$15,L94&lt;=$E$4,I94&gt;0),K94,"")</x:f>
        <x:v>90.28716029762116</x:v>
      </x:c>
      <x:c r="N94" s="17" t="str">
        <x:f>IF(AND(M94&lt;&gt;"",ABS(M94-$G$4)&lt;='Config'!$B$22),"SELECTED","")</x:f>
      </x:c>
    </x:row>
    <x:row r="95">
      <x:c r="A95" s="15" t="n">
        <x:v>1094</x:v>
      </x:c>
      <x:c r="B95" s="117" t="n">
        <x:f>VALUE('Raw_Data'!I1094)</x:f>
        <x:v>0.2400000000000002</x:v>
      </x:c>
      <x:c r="C95" s="117" t="n">
        <x:f>ROUND(B95,'Config'!$B$25)</x:f>
        <x:v>0.24</x:v>
      </x:c>
      <x:c r="D95" s="120" t="n">
        <x:f>VALUE('Raw_Data'!J1094)</x:f>
        <x:v>1.175213687160833e-8</x:v>
      </x:c>
      <x:c r="E95" s="117" t="n">
        <x:f>LN(ABS(D95))/LN(10)</x:f>
        <x:v>-7.929883159164865</x:v>
      </x:c>
      <x:c r="F95" s="117" t="n">
        <x:f>B95</x:f>
        <x:v>0.2400000000000002</x:v>
      </x:c>
      <x:c r="G95" s="117" t="n">
        <x:f>B115</x:f>
        <x:v>0.3400000000000003</x:v>
      </x:c>
      <x:c r="H95" s="117" t="n">
        <x:f>MAX(E95:E115)-MIN(E95:E115)</x:f>
        <x:v>1.1036503948726555</x:v>
      </x:c>
      <x:c r="I95" s="117" t="n">
        <x:f>SLOPE(E95:E115,B95:B115)</x:f>
        <x:v>11.045058342020893</x:v>
      </x:c>
      <x:c r="J95" s="123" t="n">
        <x:f>RSQ(E95:E115,B95:B115)</x:f>
        <x:v>0.9999409912923394</x:v>
      </x:c>
      <x:c r="K95" s="117" t="n">
        <x:f>IF(I95&gt;0,'Config'!$B$17/I95,"")</x:f>
        <x:v>90.53822705449214</x:v>
      </x:c>
      <x:c r="L95" s="120" t="n">
        <x:f>MAX(D95:D115)</x:f>
        <x:v>1.491994546466443e-7</x:v>
      </x:c>
      <x:c r="M95" s="120" t="n">
        <x:f>IF(AND(H95&gt;='Config'!$B$14,J95&gt;='Config'!$B$15,L95&lt;=$E$4,I95&gt;0),K95,"")</x:f>
        <x:v>90.53822705449214</x:v>
      </x:c>
      <x:c r="N95" s="17" t="str">
        <x:f>IF(AND(M95&lt;&gt;"",ABS(M95-$G$4)&lt;='Config'!$B$22),"SELECTED","")</x:f>
      </x:c>
    </x:row>
    <x:row r="96">
      <x:c r="A96" s="15" t="n">
        <x:v>1095</x:v>
      </x:c>
      <x:c r="B96" s="117" t="n">
        <x:f>VALUE('Raw_Data'!I1095)</x:f>
        <x:v>0.2450000000000002</x:v>
      </x:c>
      <x:c r="C96" s="117" t="n">
        <x:f>ROUND(B96,'Config'!$B$25)</x:f>
        <x:v>0.245</x:v>
      </x:c>
      <x:c r="D96" s="120" t="n">
        <x:f>VALUE('Raw_Data'!J1095)</x:f>
        <x:v>1.338406069067664e-8</x:v>
      </x:c>
      <x:c r="E96" s="117" t="n">
        <x:f>LN(ABS(D96))/LN(10)</x:f>
        <x:v>-7.873412102711665</x:v>
      </x:c>
      <x:c r="F96" s="117" t="n">
        <x:f>B96</x:f>
        <x:v>0.2450000000000002</x:v>
      </x:c>
      <x:c r="G96" s="117" t="n">
        <x:f>B116</x:f>
        <x:v>0.3450000000000003</x:v>
      </x:c>
      <x:c r="H96" s="117" t="n">
        <x:f>MAX(E96:E116)-MIN(E96:E116)</x:f>
        <x:v>1.1004087196314787</x:v>
      </x:c>
      <x:c r="I96" s="117" t="n">
        <x:f>SLOPE(E96:E116,B96:B116)</x:f>
        <x:v>11.012854362259711</x:v>
      </x:c>
      <x:c r="J96" s="123" t="n">
        <x:f>RSQ(E96:E116,B96:B116)</x:f>
        <x:v>0.9999347762928879</x:v>
      </x:c>
      <x:c r="K96" s="117" t="n">
        <x:f>IF(I96&gt;0,'Config'!$B$17/I96,"")</x:f>
        <x:v>90.80298050857103</x:v>
      </x:c>
      <x:c r="L96" s="120" t="n">
        <x:f>MAX(D96:D116)</x:f>
        <x:v>1.686539887478547e-7</x:v>
      </x:c>
      <x:c r="M96" s="120" t="n">
        <x:f>IF(AND(H96&gt;='Config'!$B$14,J96&gt;='Config'!$B$15,L96&lt;=$E$4,I96&gt;0),K96,"")</x:f>
        <x:v>90.80298050857103</x:v>
      </x:c>
      <x:c r="N96" s="17" t="str">
        <x:f>IF(AND(M96&lt;&gt;"",ABS(M96-$G$4)&lt;='Config'!$B$22),"SELECTED","")</x:f>
      </x:c>
    </x:row>
    <x:row r="97">
      <x:c r="A97" s="15" t="n">
        <x:v>1096</x:v>
      </x:c>
      <x:c r="B97" s="117" t="n">
        <x:f>VALUE('Raw_Data'!I1096)</x:f>
        <x:v>0.2500000000000002</x:v>
      </x:c>
      <x:c r="C97" s="117" t="n">
        <x:f>ROUND(B97,'Config'!$B$25)</x:f>
        <x:v>0.25</x:v>
      </x:c>
      <x:c r="D97" s="120" t="n">
        <x:f>VALUE('Raw_Data'!J1096)</x:f>
        <x:v>1.523922157501657e-8</x:v>
      </x:c>
      <x:c r="E97" s="117" t="n">
        <x:f>LN(ABS(D97))/LN(10)</x:f>
        <x:v>-7.817037216350026</x:v>
      </x:c>
      <x:c r="F97" s="117" t="n">
        <x:f>B97</x:f>
        <x:v>0.2500000000000002</x:v>
      </x:c>
      <x:c r="G97" s="117" t="n">
        <x:f>B117</x:f>
        <x:v>0.3500000000000003</x:v>
      </x:c>
      <x:c r="H97" s="117" t="n">
        <x:f>MAX(E97:E117)-MIN(E97:E117)</x:f>
        <x:v>1.097016324024537</x:v>
      </x:c>
      <x:c r="I97" s="117" t="n">
        <x:f>SLOPE(E97:E117,B97:B117)</x:f>
        <x:v>10.979124863653722</x:v>
      </x:c>
      <x:c r="J97" s="123" t="n">
        <x:f>RSQ(E97:E117,B97:B117)</x:f>
        <x:v>0.9999280455612184</x:v>
      </x:c>
      <x:c r="K97" s="117" t="n">
        <x:f>IF(I97&gt;0,'Config'!$B$17/I97,"")</x:f>
        <x:v>91.08194072102137</x:v>
      </x:c>
      <x:c r="L97" s="120" t="n">
        <x:f>MAX(D97:D117)</x:f>
        <x:v>1.905369055394056e-7</x:v>
      </x:c>
      <x:c r="M97" s="120" t="n">
        <x:f>IF(AND(H97&gt;='Config'!$B$14,J97&gt;='Config'!$B$15,L97&lt;=$E$4,I97&gt;0),K97,"")</x:f>
        <x:v>91.08194072102137</x:v>
      </x:c>
      <x:c r="N97" s="17" t="str">
        <x:f>IF(AND(M97&lt;&gt;"",ABS(M97-$G$4)&lt;='Config'!$B$22),"SELECTED","")</x:f>
      </x:c>
    </x:row>
    <x:row r="98">
      <x:c r="A98" s="15" t="n">
        <x:v>1097</x:v>
      </x:c>
      <x:c r="B98" s="117" t="n">
        <x:f>VALUE('Raw_Data'!I1097)</x:f>
        <x:v>0.2550000000000002</x:v>
      </x:c>
      <x:c r="C98" s="117" t="n">
        <x:f>ROUND(B98,'Config'!$B$25)</x:f>
        <x:v>0.255</x:v>
      </x:c>
      <x:c r="D98" s="120" t="n">
        <x:f>VALUE('Raw_Data'!J1097)</x:f>
        <x:v>1.734746084158979e-8</x:v>
      </x:c>
      <x:c r="E98" s="117" t="n">
        <x:f>LN(ABS(D98))/LN(10)</x:f>
        <x:v>-7.760764084169178</x:v>
      </x:c>
      <x:c r="F98" s="117" t="n">
        <x:f>B98</x:f>
        <x:v>0.2550000000000002</x:v>
      </x:c>
      <x:c r="G98" s="117" t="n">
        <x:f>B118</x:f>
        <x:v>0.3550000000000003</x:v>
      </x:c>
      <x:c r="H98" s="117" t="n">
        <x:f>MAX(E98:E118)-MIN(E98:E118)</x:f>
        <x:v>1.0934703063295892</x:v>
      </x:c>
      <x:c r="I98" s="117" t="n">
        <x:f>SLOPE(E98:E118,B98:B118)</x:f>
        <x:v>10.943837880489516</x:v>
      </x:c>
      <x:c r="J98" s="123" t="n">
        <x:f>RSQ(E98:E118,B98:B118)</x:f>
        <x:v>0.9999207795536073</x:v>
      </x:c>
      <x:c r="K98" s="117" t="n">
        <x:f>IF(I98&gt;0,'Config'!$B$17/I98,"")</x:f>
        <x:v>91.37562260336318</x:v>
      </x:c>
      <x:c r="L98" s="120" t="n">
        <x:f>MAX(D98:D118)</x:f>
        <x:v>2.15132598123149e-7</x:v>
      </x:c>
      <x:c r="M98" s="120" t="n">
        <x:f>IF(AND(H98&gt;='Config'!$B$14,J98&gt;='Config'!$B$15,L98&lt;=$E$4,I98&gt;0),K98,"")</x:f>
        <x:v>91.37562260336318</x:v>
      </x:c>
      <x:c r="N98" s="17" t="str">
        <x:f>IF(AND(M98&lt;&gt;"",ABS(M98-$G$4)&lt;='Config'!$B$22),"SELECTED","")</x:f>
      </x:c>
    </x:row>
    <x:row r="99">
      <x:c r="A99" s="15" t="n">
        <x:v>1098</x:v>
      </x:c>
      <x:c r="B99" s="117" t="n">
        <x:f>VALUE('Raw_Data'!I1098)</x:f>
        <x:v>0.2600000000000002</x:v>
      </x:c>
      <x:c r="C99" s="117" t="n">
        <x:f>ROUND(B99,'Config'!$B$25)</x:f>
        <x:v>0.26</x:v>
      </x:c>
      <x:c r="D99" s="120" t="n">
        <x:f>VALUE('Raw_Data'!J1098)</x:f>
        <x:v>1.974246931861928e-8</x:v>
      </x:c>
      <x:c r="E99" s="117" t="n">
        <x:f>LN(ABS(D99))/LN(10)</x:f>
        <x:v>-7.704598528242831</x:v>
      </x:c>
      <x:c r="F99" s="117" t="n">
        <x:f>B99</x:f>
        <x:v>0.2600000000000002</x:v>
      </x:c>
      <x:c r="G99" s="117" t="n">
        <x:f>B119</x:f>
        <x:v>0.3600000000000003</x:v>
      </x:c>
      <x:c r="H99" s="117" t="n">
        <x:f>MAX(E99:E119)-MIN(E99:E119)</x:f>
        <x:v>1.089768195137844</x:v>
      </x:c>
      <x:c r="I99" s="117" t="n">
        <x:f>SLOPE(E99:E119,B99:B119)</x:f>
        <x:v>10.906965303253857</x:v>
      </x:c>
      <x:c r="J99" s="123" t="n">
        <x:f>RSQ(E99:E119,B99:B119)</x:f>
        <x:v>0.9999129623526212</x:v>
      </x:c>
      <x:c r="K99" s="117" t="n">
        <x:f>IF(I99&gt;0,'Config'!$B$17/I99,"")</x:f>
        <x:v>91.6845311410014</x:v>
      </x:c>
      <x:c r="L99" s="120" t="n">
        <x:f>MAX(D99:D119)</x:f>
        <x:v>2.427558290030328e-7</x:v>
      </x:c>
      <x:c r="M99" s="120" t="n">
        <x:f>IF(AND(H99&gt;='Config'!$B$14,J99&gt;='Config'!$B$15,L99&lt;=$E$4,I99&gt;0),K99,"")</x:f>
        <x:v>91.6845311410014</x:v>
      </x:c>
      <x:c r="N99" s="17" t="str">
        <x:f>IF(AND(M99&lt;&gt;"",ABS(M99-$G$4)&lt;='Config'!$B$22),"SELECTED","")</x:f>
      </x:c>
    </x:row>
    <x:row r="100">
      <x:c r="A100" s="15" t="n">
        <x:v>1099</x:v>
      </x:c>
      <x:c r="B100" s="117" t="n">
        <x:f>VALUE('Raw_Data'!I1099)</x:f>
        <x:v>0.2650000000000002</x:v>
      </x:c>
      <x:c r="C100" s="117" t="n">
        <x:f>ROUND(B100,'Config'!$B$25)</x:f>
        <x:v>0.265</x:v>
      </x:c>
      <x:c r="D100" s="120" t="n">
        <x:f>VALUE('Raw_Data'!J1099)</x:f>
        <x:v>2.246225680698722e-8</x:v>
      </x:c>
      <x:c r="E100" s="117" t="n">
        <x:f>LN(ABS(D100))/LN(10)</x:f>
        <x:v>-7.648546611850926</x:v>
      </x:c>
      <x:c r="F100" s="117" t="n">
        <x:f>B100</x:f>
        <x:v>0.2650000000000002</x:v>
      </x:c>
      <x:c r="G100" s="117" t="n">
        <x:f>B120</x:f>
        <x:v>0.3650000000000003</x:v>
      </x:c>
      <x:c r="H100" s="117" t="n">
        <x:f>MAX(E100:E120)-MIN(E100:E120)</x:f>
        <x:v>1.0859079676530552</x:v>
      </x:c>
      <x:c r="I100" s="117" t="n">
        <x:f>SLOPE(E100:E120,B100:B120)</x:f>
        <x:v>10.868483441134243</x:v>
      </x:c>
      <x:c r="J100" s="123" t="n">
        <x:f>RSQ(E100:E120,B100:B120)</x:f>
        <x:v>0.9999045825446485</x:v>
      </x:c>
      <x:c r="K100" s="117" t="n">
        <x:f>IF(I100&gt;0,'Config'!$B$17/I100,"")</x:f>
        <x:v>92.00915706558222</x:v>
      </x:c>
      <x:c r="L100" s="120" t="n">
        <x:f>MAX(D100:D120)</x:f>
        <x:v>2.737545560534216e-7</x:v>
      </x:c>
      <x:c r="M100" s="120" t="n">
        <x:f>IF(AND(H100&gt;='Config'!$B$14,J100&gt;='Config'!$B$15,L100&lt;=$E$4,I100&gt;0),K100,"")</x:f>
        <x:v>92.00915706558222</x:v>
      </x:c>
      <x:c r="N100" s="17" t="str">
        <x:f>IF(AND(M100&lt;&gt;"",ABS(M100-$G$4)&lt;='Config'!$B$22),"SELECTED","")</x:f>
      </x:c>
    </x:row>
    <x:row r="101">
      <x:c r="A101" s="15" t="n">
        <x:v>1100</x:v>
      </x:c>
      <x:c r="B101" s="117" t="n">
        <x:f>VALUE('Raw_Data'!I1100)</x:f>
        <x:v>0.2700000000000002</x:v>
      </x:c>
      <x:c r="C101" s="117" t="n">
        <x:f>ROUND(B101,'Config'!$B$25)</x:f>
        <x:v>0.27</x:v>
      </x:c>
      <x:c r="D101" s="120" t="n">
        <x:f>VALUE('Raw_Data'!J1100)</x:f>
        <x:v>2.554967374128647e-8</x:v>
      </x:c>
      <x:c r="E101" s="117" t="n">
        <x:f>LN(ABS(D101))/LN(10)</x:f>
        <x:v>-7.592614641253871</x:v>
      </x:c>
      <x:c r="F101" s="117" t="n">
        <x:f>B101</x:f>
        <x:v>0.2700000000000002</x:v>
      </x:c>
      <x:c r="G101" s="117" t="n">
        <x:f>B121</x:f>
        <x:v>0.3700000000000003</x:v>
      </x:c>
      <x:c r="H101" s="117" t="n">
        <x:f>MAX(E101:E121)-MIN(E101:E121)</x:f>
        <x:v>1.0818880919719245</x:v>
      </x:c>
      <x:c r="I101" s="117" t="n">
        <x:f>SLOPE(E101:E121,B101:B121)</x:f>
        <x:v>10.828373564839374</x:v>
      </x:c>
      <x:c r="J101" s="123" t="n">
        <x:f>RSQ(E101:E121,B101:B121)</x:f>
        <x:v>0.9998956340845306</x:v>
      </x:c>
      <x:c r="K101" s="117" t="n">
        <x:f>IF(I101&gt;0,'Config'!$B$17/I101,"")</x:f>
        <x:v>92.34997241387043</x:v>
      </x:c>
      <x:c r="L101" s="120" t="n">
        <x:f>MAX(D101:D121)</x:f>
        <x:v>3.085129870941359e-7</x:v>
      </x:c>
      <x:c r="M101" s="120" t="n">
        <x:f>IF(AND(H101&gt;='Config'!$B$14,J101&gt;='Config'!$B$15,L101&lt;=$E$4,I101&gt;0),K101,"")</x:f>
        <x:v>92.34997241387043</x:v>
      </x:c>
      <x:c r="N101" s="17" t="str">
        <x:f>IF(AND(M101&lt;&gt;"",ABS(M101-$G$4)&lt;='Config'!$B$22),"SELECTED","")</x:f>
      </x:c>
    </x:row>
    <x:row r="102">
      <x:c r="A102" s="15" t="n">
        <x:v>1101</x:v>
      </x:c>
      <x:c r="B102" s="117" t="n">
        <x:f>VALUE('Raw_Data'!I1101)</x:f>
        <x:v>0.2750000000000002</x:v>
      </x:c>
      <x:c r="C102" s="117" t="n">
        <x:f>ROUND(B102,'Config'!$B$25)</x:f>
        <x:v>0.275</x:v>
      </x:c>
      <x:c r="D102" s="120" t="n">
        <x:f>VALUE('Raw_Data'!J1101)</x:f>
        <x:v>2.905298996906685e-8</x:v>
      </x:c>
      <x:c r="E102" s="117" t="n">
        <x:f>LN(ABS(D102))/LN(10)</x:f>
        <x:v>-7.536809165846939</x:v>
      </x:c>
      <x:c r="F102" s="117" t="n">
        <x:f>B102</x:f>
        <x:v>0.2750000000000002</x:v>
      </x:c>
      <x:c r="G102" s="117" t="n">
        <x:f>B122</x:f>
        <x:v>0.3750000000000003</x:v>
      </x:c>
      <x:c r="H102" s="117" t="n">
        <x:f>MAX(E102:E122)-MIN(E102:E122)</x:f>
        <x:v>1.0777075721669558</x:v>
      </x:c>
      <x:c r="I102" s="117" t="n">
        <x:f>SLOPE(E102:E122,B102:B122)</x:f>
        <x:v>10.786622434003794</x:v>
      </x:c>
      <x:c r="J102" s="123" t="n">
        <x:f>RSQ(E102:E122,B102:B122)</x:f>
        <x:v>0.9998861171522385</x:v>
      </x:c>
      <x:c r="K102" s="117" t="n">
        <x:f>IF(I102&gt;0,'Config'!$B$17/I102,"")</x:f>
        <x:v>92.70742589891677</x:v>
      </x:c>
      <x:c r="L102" s="120" t="n">
        <x:f>MAX(D102:D122)</x:f>
        <x:v>3.474548724799429e-7</x:v>
      </x:c>
      <x:c r="M102" s="120" t="n">
        <x:f>IF(AND(H102&gt;='Config'!$B$14,J102&gt;='Config'!$B$15,L102&lt;=$E$4,I102&gt;0),K102,"")</x:f>
        <x:v>92.70742589891677</x:v>
      </x:c>
      <x:c r="N102" s="17" t="str">
        <x:f>IF(AND(M102&lt;&gt;"",ABS(M102-$G$4)&lt;='Config'!$B$22),"SELECTED","")</x:f>
      </x:c>
    </x:row>
    <x:row r="103">
      <x:c r="A103" s="15" t="n">
        <x:v>1102</x:v>
      </x:c>
      <x:c r="B103" s="117" t="n">
        <x:f>VALUE('Raw_Data'!I1102)</x:f>
        <x:v>0.2800000000000002</x:v>
      </x:c>
      <x:c r="C103" s="117" t="n">
        <x:f>ROUND(B103,'Config'!$B$25)</x:f>
        <x:v>0.28</x:v>
      </x:c>
      <x:c r="D103" s="120" t="n">
        <x:f>VALUE('Raw_Data'!J1102)</x:f>
        <x:v>3.302653588904464e-8</x:v>
      </x:c>
      <x:c r="E103" s="117" t="n">
        <x:f>LN(ABS(D103))/LN(10)</x:f>
        <x:v>-7.4811369765105065</x:v>
      </x:c>
      <x:c r="F103" s="117" t="n">
        <x:f>B103</x:f>
        <x:v>0.2800000000000002</x:v>
      </x:c>
      <x:c r="G103" s="117" t="n">
        <x:f>B123</x:f>
        <x:v>0.3800000000000003</x:v>
      </x:c>
      <x:c r="H103" s="117" t="n">
        <x:f>MAX(E103:E123)-MIN(E103:E123)</x:f>
        <x:v>1.0733659891485212</x:v>
      </x:c>
      <x:c r="I103" s="117" t="n">
        <x:f>SLOPE(E103:E123,B103:B123)</x:f>
        <x:v>10.743222795397388</x:v>
      </x:c>
      <x:c r="J103" s="123" t="n">
        <x:f>RSQ(E103:E123,B103:B123)</x:f>
        <x:v>0.9998760389628857</x:v>
      </x:c>
      <x:c r="K103" s="117" t="n">
        <x:f>IF(I103&gt;0,'Config'!$B$17/I103,"")</x:f>
        <x:v>93.08193817114358</x:v>
      </x:c>
      <x:c r="L103" s="120" t="n">
        <x:f>MAX(D103:D123)</x:f>
        <x:v>3.91047048787814e-7</x:v>
      </x:c>
      <x:c r="M103" s="120" t="n">
        <x:f>IF(AND(H103&gt;='Config'!$B$14,J103&gt;='Config'!$B$15,L103&lt;=$E$4,I103&gt;0),K103,"")</x:f>
        <x:v>93.08193817114358</x:v>
      </x:c>
      <x:c r="N103" s="17" t="str">
        <x:f>IF(AND(M103&lt;&gt;"",ABS(M103-$G$4)&lt;='Config'!$B$22),"SELECTED","")</x:f>
      </x:c>
    </x:row>
    <x:row r="104">
      <x:c r="A104" s="15" t="n">
        <x:v>1103</x:v>
      </x:c>
      <x:c r="B104" s="117" t="n">
        <x:f>VALUE('Raw_Data'!I1103)</x:f>
        <x:v>0.2850000000000003</x:v>
      </x:c>
      <x:c r="C104" s="117" t="n">
        <x:f>ROUND(B104,'Config'!$B$25)</x:f>
        <x:v>0.285</x:v>
      </x:c>
      <x:c r="D104" s="120" t="n">
        <x:f>VALUE('Raw_Data'!J1103)</x:f>
        <x:v>3.753141151336801e-8</x:v>
      </x:c>
      <x:c r="E104" s="117" t="n">
        <x:f>LN(ABS(D104))/LN(10)</x:f>
        <x:v>-7.425605101962101</x:v>
      </x:c>
      <x:c r="F104" s="117" t="n">
        <x:f>B104</x:f>
        <x:v>0.2850000000000003</x:v>
      </x:c>
      <x:c r="G104" s="117" t="n">
        <x:f>B124</x:f>
        <x:v>0.3850000000000003</x:v>
      </x:c>
      <x:c r="H104" s="117" t="n">
        <x:f>MAX(E104:E124)-MIN(E104:E124)</x:f>
        <x:v>1.0688635357379601</x:v>
      </x:c>
      <x:c r="I104" s="117" t="n">
        <x:f>SLOPE(E104:E124,B104:B124)</x:f>
        <x:v>10.698173836166118</x:v>
      </x:c>
      <x:c r="J104" s="123" t="n">
        <x:f>RSQ(E104:E124,B104:B124)</x:f>
        <x:v>0.9998654144829549</x:v>
      </x:c>
      <x:c r="K104" s="117" t="n">
        <x:f>IF(I104&gt;0,'Config'!$B$17/I104,"")</x:f>
        <x:v>93.47389707011602</x:v>
      </x:c>
      <x:c r="L104" s="120" t="n">
        <x:f>MAX(D104:D124)</x:f>
        <x:v>4.398032494401846e-7</x:v>
      </x:c>
      <x:c r="M104" s="120" t="n">
        <x:f>IF(AND(H104&gt;='Config'!$B$14,J104&gt;='Config'!$B$15,L104&lt;=$E$4,I104&gt;0),K104,"")</x:f>
        <x:v>93.47389707011602</x:v>
      </x:c>
      <x:c r="N104" s="17" t="str">
        <x:f>IF(AND(M104&lt;&gt;"",ABS(M104-$G$4)&lt;='Config'!$B$22),"SELECTED","")</x:f>
      </x:c>
    </x:row>
    <x:row r="105">
      <x:c r="A105" s="15" t="n">
        <x:v>1104</x:v>
      </x:c>
      <x:c r="B105" s="117" t="n">
        <x:f>VALUE('Raw_Data'!I1104)</x:f>
        <x:v>0.2900000000000003</x:v>
      </x:c>
      <x:c r="C105" s="117" t="n">
        <x:f>ROUND(B105,'Config'!$B$25)</x:f>
        <x:v>0.29</x:v>
      </x:c>
      <x:c r="D105" s="120" t="n">
        <x:f>VALUE('Raw_Data'!J1104)</x:f>
        <x:v>4.263626934374696e-8</x:v>
      </x:c>
      <x:c r="E105" s="117" t="n">
        <x:f>LN(ABS(D105))/LN(10)</x:f>
        <x:v>-7.370220802909862</x:v>
      </x:c>
      <x:c r="F105" s="117" t="n">
        <x:f>B105</x:f>
        <x:v>0.2900000000000003</x:v>
      </x:c>
      <x:c r="G105" s="117" t="n">
        <x:f>B125</x:f>
        <x:v>0.3900000000000003</x:v>
      </x:c>
      <x:c r="H105" s="117" t="n">
        <x:f>MAX(E105:E125)-MIN(E105:E125)</x:f>
        <x:v>1.0642010442517718</x:v>
      </x:c>
      <x:c r="I105" s="117" t="n">
        <x:f>SLOPE(E105:E125,B105:B125)</x:f>
        <x:v>10.65148157444305</x:v>
      </x:c>
      <x:c r="J105" s="123" t="n">
        <x:f>RSQ(E105:E125,B105:B125)</x:f>
        <x:v>0.9998542669976535</x:v>
      </x:c>
      <x:c r="K105" s="117" t="n">
        <x:f>IF(I105&gt;0,'Config'!$B$17/I105,"")</x:f>
        <x:v>93.88365299334318</x:v>
      </x:c>
      <x:c r="L105" s="120" t="n">
        <x:f>MAX(D105:D125)</x:f>
        <x:v>4.942881983435589e-7</x:v>
      </x:c>
      <x:c r="M105" s="120" t="n">
        <x:f>IF(AND(H105&gt;='Config'!$B$14,J105&gt;='Config'!$B$15,L105&lt;=$E$4,I105&gt;0),K105,"")</x:f>
        <x:v>93.88365299334318</x:v>
      </x:c>
      <x:c r="N105" s="17" t="str">
        <x:f>IF(AND(M105&lt;&gt;"",ABS(M105-$G$4)&lt;='Config'!$B$22),"SELECTED","")</x:f>
      </x:c>
    </x:row>
    <x:row r="106">
      <x:c r="A106" s="15" t="n">
        <x:v>1105</x:v>
      </x:c>
      <x:c r="B106" s="117" t="n">
        <x:f>VALUE('Raw_Data'!I1105)</x:f>
        <x:v>0.2950000000000003</x:v>
      </x:c>
      <x:c r="C106" s="117" t="n">
        <x:f>ROUND(B106,'Config'!$B$25)</x:f>
        <x:v>0.295</x:v>
      </x:c>
      <x:c r="D106" s="120" t="n">
        <x:f>VALUE('Raw_Data'!J1105)</x:f>
        <x:v>4.841817727521243e-8</x:v>
      </x:c>
      <x:c r="E106" s="117" t="n">
        <x:f>LN(ABS(D106))/LN(10)</x:f>
        <x:v>-7.31499156380418</x:v>
      </x:c>
      <x:c r="F106" s="117" t="n">
        <x:f>B106</x:f>
        <x:v>0.2950000000000003</x:v>
      </x:c>
      <x:c r="G106" s="117" t="n">
        <x:f>B126</x:f>
        <x:v>0.3950000000000004</x:v>
      </x:c>
      <x:c r="H106" s="117" t="n">
        <x:f>MAX(E106:E126)-MIN(E106:E126)</x:f>
        <x:v>1.0593800047978723</x:v>
      </x:c>
      <x:c r="I106" s="117" t="n">
        <x:f>SLOPE(E106:E126,B106:B126)</x:f>
        <x:v>10.6031591679897</x:v>
      </x:c>
      <x:c r="J106" s="123" t="n">
        <x:f>RSQ(E106:E126,B106:B126)</x:f>
        <x:v>0.9998426284673562</x:v>
      </x:c>
      <x:c r="K106" s="117" t="n">
        <x:f>IF(I106&gt;0,'Config'!$B$17/I106,"")</x:f>
        <x:v>94.31151453605825</x:v>
      </x:c>
      <x:c r="L106" s="120" t="n">
        <x:f>MAX(D106:D126)</x:f>
        <x:v>5.551220023358563e-7</x:v>
      </x:c>
      <x:c r="M106" s="120" t="n">
        <x:f>IF(AND(H106&gt;='Config'!$B$14,J106&gt;='Config'!$B$15,L106&lt;=$E$4,I106&gt;0),K106,"")</x:f>
        <x:v>94.31151453605825</x:v>
      </x:c>
      <x:c r="N106" s="17" t="str">
        <x:f>IF(AND(M106&lt;&gt;"",ABS(M106-$G$4)&lt;='Config'!$B$22),"SELECTED","")</x:f>
      </x:c>
    </x:row>
    <x:row r="107">
      <x:c r="A107" s="15" t="n">
        <x:v>1106</x:v>
      </x:c>
      <x:c r="B107" s="117" t="n">
        <x:f>VALUE('Raw_Data'!I1106)</x:f>
        <x:v>0.3000000000000003</x:v>
      </x:c>
      <x:c r="C107" s="117" t="n">
        <x:f>ROUND(B107,'Config'!$B$25)</x:f>
        <x:v>0.3</x:v>
      </x:c>
      <x:c r="D107" s="120" t="n">
        <x:f>VALUE('Raw_Data'!J1106)</x:f>
        <x:v>5.496356806386924e-8</x:v>
      </x:c>
      <x:c r="E107" s="117" t="n">
        <x:f>LN(ABS(D107))/LN(10)</x:f>
        <x:v>-7.2599250819865135</x:v>
      </x:c>
      <x:c r="F107" s="117" t="n">
        <x:f>B107</x:f>
        <x:v>0.3000000000000003</x:v>
      </x:c>
      <x:c r="G107" s="117" t="n">
        <x:f>B127</x:f>
        <x:v>0.4000000000000004</x:v>
      </x:c>
      <x:c r="H107" s="117" t="n">
        <x:f>MAX(E107:E127)-MIN(E107:E127)</x:f>
        <x:v>1.054402572433288</x:v>
      </x:c>
      <x:c r="I107" s="117" t="n">
        <x:f>SLOPE(E107:E127,B107:B127)</x:f>
        <x:v>10.553227120183045</x:v>
      </x:c>
      <x:c r="J107" s="123" t="n">
        <x:f>RSQ(E107:E127,B107:B127)</x:f>
        <x:v>0.9998305396060666</x:v>
      </x:c>
      <x:c r="K107" s="117" t="n">
        <x:f>IF(I107&gt;0,'Config'!$B$17/I107,"")</x:f>
        <x:v>94.75774458482942</x:v>
      </x:c>
      <x:c r="L107" s="120" t="n">
        <x:f>MAX(D107:D127)</x:f>
        <x:v>6.229848571863765e-7</x:v>
      </x:c>
      <x:c r="M107" s="120" t="n">
        <x:f>IF(AND(H107&gt;='Config'!$B$14,J107&gt;='Config'!$B$15,L107&lt;=$E$4,I107&gt;0),K107,"")</x:f>
        <x:v>94.75774458482942</x:v>
      </x:c>
      <x:c r="N107" s="17" t="str">
        <x:f>IF(AND(M107&lt;&gt;"",ABS(M107-$G$4)&lt;='Config'!$B$22),"SELECTED","")</x:f>
      </x:c>
    </x:row>
    <x:row r="108">
      <x:c r="A108" s="15" t="n">
        <x:v>1107</x:v>
      </x:c>
      <x:c r="B108" s="117" t="n">
        <x:f>VALUE('Raw_Data'!I1107)</x:f>
        <x:v>0.3050000000000003</x:v>
      </x:c>
      <x:c r="C108" s="117" t="n">
        <x:f>ROUND(B108,'Config'!$B$25)</x:f>
        <x:v>0.305</x:v>
      </x:c>
      <x:c r="D108" s="120" t="n">
        <x:f>VALUE('Raw_Data'!J1107)</x:f>
        <x:v>6.236928221678175e-8</x:v>
      </x:c>
      <x:c r="E108" s="117" t="n">
        <x:f>LN(ABS(D108))/LN(10)</x:f>
        <x:v>-7.205029254042256</x:v>
      </x:c>
      <x:c r="F108" s="117" t="n">
        <x:f>B108</x:f>
        <x:v>0.3050000000000003</x:v>
      </x:c>
      <x:c r="G108" s="117" t="n">
        <x:f>B128</x:f>
        <x:v>0.4050000000000004</x:v>
      </x:c>
      <x:c r="H108" s="117" t="n">
        <x:f>MAX(E108:E128)-MIN(E108:E128)</x:f>
        <x:v>1.0492715613404568</x:v>
      </x:c>
      <x:c r="I108" s="117" t="n">
        <x:f>SLOPE(E108:E128,B108:B128)</x:f>
        <x:v>10.501713361793959</x:v>
      </x:c>
      <x:c r="J108" s="123" t="n">
        <x:f>RSQ(E108:E128,B108:B128)</x:f>
        <x:v>0.9998180496126259</x:v>
      </x:c>
      <x:c r="K108" s="117" t="n">
        <x:f>IF(I108&gt;0,'Config'!$B$17/I108,"")</x:f>
        <x:v>95.22255707702678</x:v>
      </x:c>
      <x:c r="L108" s="120" t="n">
        <x:f>MAX(D108:D128)</x:f>
        <x:v>6.986220797940975e-7</x:v>
      </x:c>
      <x:c r="M108" s="120" t="n">
        <x:f>IF(AND(H108&gt;='Config'!$B$14,J108&gt;='Config'!$B$15,L108&lt;=$E$4,I108&gt;0),K108,"")</x:f>
        <x:v>95.22255707702678</x:v>
      </x:c>
      <x:c r="N108" s="17" t="str">
        <x:f>IF(AND(M108&lt;&gt;"",ABS(M108-$G$4)&lt;='Config'!$B$22),"SELECTED","")</x:f>
      </x:c>
    </x:row>
    <x:row r="109">
      <x:c r="A109" s="15" t="n">
        <x:v>1108</x:v>
      </x:c>
      <x:c r="B109" s="117" t="n">
        <x:f>VALUE('Raw_Data'!I1108)</x:f>
        <x:v>0.3100000000000003</x:v>
      </x:c>
      <x:c r="C109" s="117" t="n">
        <x:f>ROUND(B109,'Config'!$B$25)</x:f>
        <x:v>0.31</x:v>
      </x:c>
      <x:c r="D109" s="120" t="n">
        <x:f>VALUE('Raw_Data'!J1108)</x:f>
        <x:v>7.074371148474389e-8</x:v>
      </x:c>
      <x:c r="E109" s="117" t="n">
        <x:f>LN(ABS(D109))/LN(10)</x:f>
        <x:v>-7.150312159179726</x:v>
      </x:c>
      <x:c r="F109" s="117" t="n">
        <x:f>B109</x:f>
        <x:v>0.3100000000000003</x:v>
      </x:c>
      <x:c r="G109" s="117" t="n">
        <x:f>B129</x:f>
        <x:v>0.4100000000000004</x:v>
      </x:c>
      <x:c r="H109" s="117" t="n">
        <x:f>MAX(E109:E129)-MIN(E109:E129)</x:f>
        <x:v>1.0439904242592783</x:v>
      </x:c>
      <x:c r="I109" s="117" t="n">
        <x:f>SLOPE(E109:E129,B109:B129)</x:f>
        <x:v>10.448653186759588</x:v>
      </x:c>
      <x:c r="J109" s="123" t="n">
        <x:f>RSQ(E109:E129,B109:B129)</x:f>
        <x:v>0.9998052154871121</x:v>
      </x:c>
      <x:c r="K109" s="117" t="n">
        <x:f>IF(I109&gt;0,'Config'!$B$17/I109,"")</x:f>
        <x:v>95.70611466626038</x:v>
      </x:c>
      <x:c r="L109" s="120" t="n">
        <x:f>MAX(D109:D129)</x:f>
        <x:v>7.82849475753335e-7</x:v>
      </x:c>
      <x:c r="M109" s="120" t="n">
        <x:f>IF(AND(H109&gt;='Config'!$B$14,J109&gt;='Config'!$B$15,L109&lt;=$E$4,I109&gt;0),K109,"")</x:f>
        <x:v>95.70611466626038</x:v>
      </x:c>
      <x:c r="N109" s="17" t="str">
        <x:f>IF(AND(M109&lt;&gt;"",ABS(M109-$G$4)&lt;='Config'!$B$22),"SELECTED","")</x:f>
      </x:c>
    </x:row>
    <x:row r="110">
      <x:c r="A110" s="15" t="n">
        <x:v>1109</x:v>
      </x:c>
      <x:c r="B110" s="117" t="n">
        <x:f>VALUE('Raw_Data'!I1109)</x:f>
        <x:v>0.3150000000000003</x:v>
      </x:c>
      <x:c r="C110" s="117" t="n">
        <x:f>ROUND(B110,'Config'!$B$25)</x:f>
        <x:v>0.315</x:v>
      </x:c>
      <x:c r="D110" s="120" t="n">
        <x:f>VALUE('Raw_Data'!J1109)</x:f>
        <x:v>8.020805046558592e-8</x:v>
      </x:c>
      <x:c r="E110" s="117" t="n">
        <x:f>LN(ABS(D110))/LN(10)</x:f>
        <x:v>-7.0957820394799915</x:v>
      </x:c>
      <x:c r="F110" s="117" t="n">
        <x:f>B110</x:f>
        <x:v>0.3150000000000003</x:v>
      </x:c>
      <x:c r="G110" s="117" t="n">
        <x:f>B130</x:f>
        <x:v>0.4150000000000004</x:v>
      </x:c>
      <x:c r="H110" s="117" t="n">
        <x:f>MAX(E110:E130)-MIN(E110:E130)</x:f>
        <x:v>1.0385632155773825</x:v>
      </x:c>
      <x:c r="I110" s="117" t="n">
        <x:f>SLOPE(E110:E130,B110:B130)</x:f>
        <x:v>10.394089020697788</x:v>
      </x:c>
      <x:c r="J110" s="123" t="n">
        <x:f>RSQ(E110:E130,B110:B130)</x:f>
        <x:v>0.9997921008713332</x:v>
      </x:c>
      <x:c r="K110" s="117" t="n">
        <x:f>IF(I110&gt;0,'Config'!$B$17/I110,"")</x:f>
        <x:v>96.20852755914407</x:v>
      </x:c>
      <x:c r="L110" s="120" t="n">
        <x:f>MAX(D110:D130)</x:f>
        <x:v>8.765590462403014e-7</x:v>
      </x:c>
      <x:c r="M110" s="120" t="n">
        <x:f>IF(AND(H110&gt;='Config'!$B$14,J110&gt;='Config'!$B$15,L110&lt;=$E$4,I110&gt;0),K110,"")</x:f>
        <x:v>96.20852755914407</x:v>
      </x:c>
      <x:c r="N110" s="17" t="str">
        <x:f>IF(AND(M110&lt;&gt;"",ABS(M110-$G$4)&lt;='Config'!$B$22),"SELECTED","")</x:f>
      </x:c>
    </x:row>
    <x:row r="111">
      <x:c r="A111" s="15" t="n">
        <x:v>1110</x:v>
      </x:c>
      <x:c r="B111" s="117" t="n">
        <x:f>VALUE('Raw_Data'!I1110)</x:f>
        <x:v>0.3200000000000003</x:v>
      </x:c>
      <x:c r="C111" s="117" t="n">
        <x:f>ROUND(B111,'Config'!$B$25)</x:f>
        <x:v>0.32</x:v>
      </x:c>
      <x:c r="D111" s="120" t="n">
        <x:f>VALUE('Raw_Data'!J1110)</x:f>
        <x:v>9.089766416173781e-8</x:v>
      </x:c>
      <x:c r="E111" s="117" t="n">
        <x:f>LN(ABS(D111))/LN(10)</x:f>
        <x:v>-7.0414472768957665</x:v>
      </x:c>
      <x:c r="F111" s="117" t="n">
        <x:f>B111</x:f>
        <x:v>0.3200000000000003</x:v>
      </x:c>
      <x:c r="G111" s="117" t="n">
        <x:f>B131</x:f>
        <x:v>0.4200000000000004</x:v>
      </x:c>
      <x:c r="H111" s="117" t="n">
        <x:f>MAX(E111:E131)-MIN(E111:E131)</x:f>
        <x:v>1.0329945367431712</x:v>
      </x:c>
      <x:c r="I111" s="117" t="n">
        <x:f>SLOPE(E111:E131,B111:B131)</x:f>
        <x:v>10.338070002407443</x:v>
      </x:c>
      <x:c r="J111" s="123" t="n">
        <x:f>RSQ(E111:E131,B111:B131)</x:f>
        <x:v>0.999778774364466</x:v>
      </x:c>
      <x:c r="K111" s="117" t="n">
        <x:f>IF(I111&gt;0,'Config'!$B$17/I111,"")</x:f>
        <x:v>96.72985380899223</x:v>
      </x:c>
      <x:c r="L111" s="120" t="n">
        <x:f>MAX(D111:D131)</x:f>
        <x:v>9.807250308368829e-7</x:v>
      </x:c>
      <x:c r="M111" s="120" t="n">
        <x:f>IF(AND(H111&gt;='Config'!$B$14,J111&gt;='Config'!$B$15,L111&lt;=$E$4,I111&gt;0),K111,"")</x:f>
        <x:v>96.72985380899223</x:v>
      </x:c>
      <x:c r="N111" s="17" t="str">
        <x:f>IF(AND(M111&lt;&gt;"",ABS(M111-$G$4)&lt;='Config'!$B$22),"SELECTED","")</x:f>
      </x:c>
    </x:row>
    <x:row r="112">
      <x:c r="A112" s="15" t="n">
        <x:v>1111</x:v>
      </x:c>
      <x:c r="B112" s="117" t="n">
        <x:f>VALUE('Raw_Data'!I1111)</x:f>
        <x:v>0.3250000000000003</x:v>
      </x:c>
      <x:c r="C112" s="117" t="n">
        <x:f>ROUND(B112,'Config'!$B$25)</x:f>
        <x:v>0.325</x:v>
      </x:c>
      <x:c r="D112" s="120" t="n">
        <x:f>VALUE('Raw_Data'!J1111)</x:f>
        <x:v>1.029635796884623e-7</x:v>
      </x:c>
      <x:c r="E112" s="117" t="n">
        <x:f>LN(ABS(D112))/LN(10)</x:f>
        <x:v>-6.987316366920286</x:v>
      </x:c>
      <x:c r="F112" s="117" t="n">
        <x:f>B112</x:f>
        <x:v>0.3250000000000003</x:v>
      </x:c>
      <x:c r="G112" s="117" t="n">
        <x:f>B132</x:f>
        <x:v>0.4250000000000004</x:v>
      </x:c>
      <x:c r="H112" s="117" t="n">
        <x:f>MAX(E112:E132)-MIN(E112:E132)</x:f>
        <x:v>1.0272894630299367</x:v>
      </x:c>
      <x:c r="I112" s="117" t="n">
        <x:f>SLOPE(E112:E132,B112:B132)</x:f>
        <x:v>10.28065136118763</x:v>
      </x:c>
      <x:c r="J112" s="123" t="n">
        <x:f>RSQ(E112:E132,B112:B132)</x:f>
        <x:v>0.999765307283019</x:v>
      </x:c>
      <x:c r="K112" s="117" t="n">
        <x:f>IF(I112&gt;0,'Config'!$B$17/I112,"")</x:f>
        <x:v>97.27010136490799</x:v>
      </x:c>
      <x:c r="L112" s="120" t="n">
        <x:f>MAX(D112:D132)</x:f>
        <x:v>0.000001096410273070978</x:v>
      </x:c>
      <x:c r="M112" s="120" t="n">
        <x:f>IF(AND(H112&gt;='Config'!$B$14,J112&gt;='Config'!$B$15,L112&lt;=$E$4,I112&gt;0),K112,"")</x:f>
        <x:v>97.27010136490799</x:v>
      </x:c>
      <x:c r="N112" s="17" t="str">
        <x:f>IF(AND(M112&lt;&gt;"",ABS(M112-$G$4)&lt;='Config'!$B$22),"SELECTED","")</x:f>
      </x:c>
    </x:row>
    <x:row r="113">
      <x:c r="A113" s="15" t="n">
        <x:v>1112</x:v>
      </x:c>
      <x:c r="B113" s="117" t="n">
        <x:f>VALUE('Raw_Data'!I1112)</x:f>
        <x:v>0.3300000000000003</x:v>
      </x:c>
      <x:c r="C113" s="117" t="n">
        <x:f>ROUND(B113,'Config'!$B$25)</x:f>
        <x:v>0.33</x:v>
      </x:c>
      <x:c r="D113" s="120" t="n">
        <x:f>VALUE('Raw_Data'!J1112)</x:f>
        <x:v>1.165741107072096e-7</x:v>
      </x:c>
      <x:c r="E113" s="117" t="n">
        <x:f>LN(ABS(D113))/LN(10)</x:f>
        <x:v>-6.9333978889030625</x:v>
      </x:c>
      <x:c r="F113" s="117" t="n">
        <x:f>B113</x:f>
        <x:v>0.3300000000000003</x:v>
      </x:c>
      <x:c r="G113" s="117" t="n">
        <x:f>B133</x:f>
        <x:v>0.4300000000000004</x:v>
      </x:c>
      <x:c r="H113" s="117" t="n">
        <x:f>MAX(E113:E133)-MIN(E113:E133)</x:f>
        <x:v>1.0214534511521052</x:v>
      </x:c>
      <x:c r="I113" s="117" t="n">
        <x:f>SLOPE(E113:E133,B113:B133)</x:f>
        <x:v>10.22189357662205</x:v>
      </x:c>
      <x:c r="J113" s="123" t="n">
        <x:f>RSQ(E113:E133,B113:B133)</x:f>
        <x:v>0.9997517708585077</x:v>
      </x:c>
      <x:c r="K113" s="117" t="n">
        <x:f>IF(I113&gt;0,'Config'!$B$17/I113,"")</x:f>
        <x:v>97.82923217739685</x:v>
      </x:c>
      <x:c r="L113" s="120" t="n">
        <x:f>MAX(D113:D133)</x:f>
        <x:v>0.000001224772882773201</x:v>
      </x:c>
      <x:c r="M113" s="120" t="n">
        <x:f>IF(AND(H113&gt;='Config'!$B$14,J113&gt;='Config'!$B$15,L113&lt;=$E$4,I113&gt;0),K113,"")</x:f>
        <x:v>97.82923217739685</x:v>
      </x:c>
      <x:c r="N113" s="17" t="str">
        <x:f>IF(AND(M113&lt;&gt;"",ABS(M113-$G$4)&lt;='Config'!$B$22),"SELECTED","")</x:f>
      </x:c>
    </x:row>
    <x:row r="114">
      <x:c r="A114" s="15" t="n">
        <x:v>1113</x:v>
      </x:c>
      <x:c r="B114" s="117" t="n">
        <x:f>VALUE('Raw_Data'!I1113)</x:f>
        <x:v>0.3350000000000003</x:v>
      </x:c>
      <x:c r="C114" s="117" t="n">
        <x:f>ROUND(B114,'Config'!$B$25)</x:f>
        <x:v>0.335</x:v>
      </x:c>
      <x:c r="D114" s="120" t="n">
        <x:f>VALUE('Raw_Data'!J1113)</x:f>
        <x:v>1.319166235729035e-7</x:v>
      </x:c>
      <x:c r="E114" s="117" t="n">
        <x:f>LN(ABS(D114))/LN(10)</x:f>
        <x:v>-6.879700473058066</x:v>
      </x:c>
      <x:c r="F114" s="117" t="n">
        <x:f>B114</x:f>
        <x:v>0.3350000000000003</x:v>
      </x:c>
      <x:c r="G114" s="117" t="n">
        <x:f>B134</x:f>
        <x:v>0.4350000000000004</x:v>
      </x:c>
      <x:c r="H114" s="117" t="n">
        <x:f>MAX(E114:E134)-MIN(E114:E134)</x:f>
        <x:v>1.0154922278117446</x:v>
      </x:c>
      <x:c r="I114" s="117" t="n">
        <x:f>SLOPE(E114:E134,B114:B134)</x:f>
        <x:v>10.161861312593217</x:v>
      </x:c>
      <x:c r="J114" s="123" t="n">
        <x:f>RSQ(E114:E134,B114:B134)</x:f>
        <x:v>0.9997382328957042</x:v>
      </x:c>
      <x:c r="K114" s="117" t="n">
        <x:f>IF(I114&gt;0,'Config'!$B$17/I114,"")</x:f>
        <x:v>98.40716865135103</x:v>
      </x:c>
      <x:c r="L114" s="120" t="n">
        <x:f>MAX(D114:D134)</x:f>
        <x:v>0.000001367073153552329</x:v>
      </x:c>
      <x:c r="M114" s="120" t="n">
        <x:f>IF(AND(H114&gt;='Config'!$B$14,J114&gt;='Config'!$B$15,L114&lt;=$E$4,I114&gt;0),K114,"")</x:f>
        <x:v>98.40716865135103</x:v>
      </x:c>
      <x:c r="N114" s="17" t="str">
        <x:f>IF(AND(M114&lt;&gt;"",ABS(M114-$G$4)&lt;='Config'!$B$22),"SELECTED","")</x:f>
      </x:c>
    </x:row>
    <x:row r="115">
      <x:c r="A115" s="15" t="n">
        <x:v>1114</x:v>
      </x:c>
      <x:c r="B115" s="117" t="n">
        <x:f>VALUE('Raw_Data'!I1114)</x:f>
        <x:v>0.3400000000000003</x:v>
      </x:c>
      <x:c r="C115" s="117" t="n">
        <x:f>ROUND(B115,'Config'!$B$25)</x:f>
        <x:v>0.34</x:v>
      </x:c>
      <x:c r="D115" s="120" t="n">
        <x:f>VALUE('Raw_Data'!J1114)</x:f>
        <x:v>1.491994546466443e-7</x:v>
      </x:c>
      <x:c r="E115" s="117" t="n">
        <x:f>LN(ABS(D115))/LN(10)</x:f>
        <x:v>-6.826232764292209</x:v>
      </x:c>
      <x:c r="F115" s="117" t="n">
        <x:f>B115</x:f>
        <x:v>0.3400000000000003</x:v>
      </x:c>
      <x:c r="G115" s="117" t="n">
        <x:f>B135</x:f>
        <x:v>0.4400000000000004</x:v>
      </x:c>
      <x:c r="H115" s="117" t="n">
        <x:f>MAX(E115:E135)-MIN(E115:E135)</x:f>
        <x:v>1.0094116599268501</x:v>
      </x:c>
      <x:c r="I115" s="117" t="n">
        <x:f>SLOPE(E115:E135,B115:B135)</x:f>
        <x:v>10.100622123745644</x:v>
      </x:c>
      <x:c r="J115" s="123" t="n">
        <x:f>RSQ(E115:E135,B115:B135)</x:f>
        <x:v>0.9997247539476598</x:v>
      </x:c>
      <x:c r="K115" s="117" t="n">
        <x:f>IF(I115&gt;0,'Config'!$B$17/I115,"")</x:f>
        <x:v>99.00380271123012</x:v>
      </x:c>
      <x:c r="L115" s="120" t="n">
        <x:f>MAX(D115:D135)</x:f>
        <x:v>0.000001524680674616621</x:v>
      </x:c>
      <x:c r="M115" s="120" t="n">
        <x:f>IF(AND(H115&gt;='Config'!$B$14,J115&gt;='Config'!$B$15,L115&lt;=$E$4,I115&gt;0),K115,"")</x:f>
        <x:v>99.00380271123012</x:v>
      </x:c>
      <x:c r="N115" s="17" t="str">
        <x:f>IF(AND(M115&lt;&gt;"",ABS(M115-$G$4)&lt;='Config'!$B$22),"SELECTED","")</x:f>
      </x:c>
    </x:row>
    <x:row r="116">
      <x:c r="A116" s="15" t="n">
        <x:v>1115</x:v>
      </x:c>
      <x:c r="B116" s="117" t="n">
        <x:f>VALUE('Raw_Data'!I1115)</x:f>
        <x:v>0.3450000000000003</x:v>
      </x:c>
      <x:c r="C116" s="117" t="n">
        <x:f>ROUND(B116,'Config'!$B$25)</x:f>
        <x:v>0.345</x:v>
      </x:c>
      <x:c r="D116" s="120" t="n">
        <x:f>VALUE('Raw_Data'!J1115)</x:f>
        <x:v>1.686539887478547e-7</x:v>
      </x:c>
      <x:c r="E116" s="117" t="n">
        <x:f>LN(ABS(D116))/LN(10)</x:f>
        <x:v>-6.773003383080186</x:v>
      </x:c>
      <x:c r="F116" s="117" t="n">
        <x:f>B116</x:f>
        <x:v>0.3450000000000003</x:v>
      </x:c>
      <x:c r="G116" s="117" t="n">
        <x:f>B136</x:f>
        <x:v>0.4450000000000004</x:v>
      </x:c>
      <x:c r="H116" s="117" t="n">
        <x:f>MAX(E116:E136)-MIN(E116:E136)</x:f>
        <x:v>1.003217608047918</x:v>
      </x:c>
      <x:c r="I116" s="117" t="n">
        <x:f>SLOPE(E116:E136,B116:B136)</x:f>
        <x:v>10.038244940368878</x:v>
      </x:c>
      <x:c r="J116" s="123" t="n">
        <x:f>RSQ(E116:E136,B116:B136)</x:f>
        <x:v>0.9997113830985118</x:v>
      </x:c>
      <x:c r="K116" s="117" t="n">
        <x:f>IF(I116&gt;0,'Config'!$B$17/I116,"")</x:f>
        <x:v>99.61900769909413</x:v>
      </x:c>
      <x:c r="L116" s="120" t="n">
        <x:f>MAX(D116:D136)</x:f>
        <x:v>0.000001699081553814694</x:v>
      </x:c>
      <x:c r="M116" s="120" t="n">
        <x:f>IF(AND(H116&gt;='Config'!$B$14,J116&gt;='Config'!$B$15,L116&lt;=$E$4,I116&gt;0),K116,"")</x:f>
        <x:v>99.61900769909413</x:v>
      </x:c>
      <x:c r="N116" s="17" t="str">
        <x:f>IF(AND(M116&lt;&gt;"",ABS(M116-$G$4)&lt;='Config'!$B$22),"SELECTED","")</x:f>
      </x:c>
    </x:row>
    <x:row r="117">
      <x:c r="A117" s="15" t="n">
        <x:v>1116</x:v>
      </x:c>
      <x:c r="B117" s="117" t="n">
        <x:f>VALUE('Raw_Data'!I1116)</x:f>
        <x:v>0.3500000000000003</x:v>
      </x:c>
      <x:c r="C117" s="117" t="n">
        <x:f>ROUND(B117,'Config'!$B$25)</x:f>
        <x:v>0.35</x:v>
      </x:c>
      <x:c r="D117" s="120" t="n">
        <x:f>VALUE('Raw_Data'!J1116)</x:f>
        <x:v>1.905369055394056e-7</x:v>
      </x:c>
      <x:c r="E117" s="117" t="n">
        <x:f>LN(ABS(D117))/LN(10)</x:f>
        <x:v>-6.720020892325489</x:v>
      </x:c>
      <x:c r="F117" s="117" t="n">
        <x:f>B117</x:f>
        <x:v>0.3500000000000003</x:v>
      </x:c>
      <x:c r="G117" s="117" t="n">
        <x:f>B137</x:f>
        <x:v>0.4500000000000004</x:v>
      </x:c>
      <x:c r="H117" s="117" t="n">
        <x:f>MAX(E117:E137)-MIN(E117:E137)</x:f>
        <x:v>0.9969157738817938</x:v>
      </x:c>
      <x:c r="I117" s="117" t="n">
        <x:f>SLOPE(E117:E137,B117:B137)</x:f>
        <x:v>9.974798346591607</x:v>
      </x:c>
      <x:c r="J117" s="123" t="n">
        <x:f>RSQ(E117:E137,B117:B137)</x:f>
        <x:v>0.9996981534784527</x:v>
      </x:c>
      <x:c r="K117" s="117" t="n">
        <x:f>IF(I117&gt;0,'Config'!$B$17/I117,"")</x:f>
        <x:v>100.25265326207827</x:v>
      </x:c>
      <x:c r="L117" s="120" t="n">
        <x:f>MAX(D117:D137)</x:f>
        <x:v>0.000001891885643347979</x:v>
      </x:c>
      <x:c r="M117" s="120" t="n">
        <x:f>IF(AND(H117&gt;='Config'!$B$14,J117&gt;='Config'!$B$15,L117&lt;=$E$4,I117&gt;0),K117,"")</x:f>
        <x:v>100.25265326207827</x:v>
      </x:c>
      <x:c r="N117" s="17" t="str">
        <x:f>IF(AND(M117&lt;&gt;"",ABS(M117-$G$4)&lt;='Config'!$B$22),"SELECTED","")</x:f>
      </x:c>
    </x:row>
    <x:row r="118">
      <x:c r="A118" s="15" t="n">
        <x:v>1117</x:v>
      </x:c>
      <x:c r="B118" s="117" t="n">
        <x:f>VALUE('Raw_Data'!I1117)</x:f>
        <x:v>0.3550000000000003</x:v>
      </x:c>
      <x:c r="C118" s="117" t="n">
        <x:f>ROUND(B118,'Config'!$B$25)</x:f>
        <x:v>0.355</x:v>
      </x:c>
      <x:c r="D118" s="120" t="n">
        <x:f>VALUE('Raw_Data'!J1117)</x:f>
        <x:v>2.15132598123149e-7</x:v>
      </x:c>
      <x:c r="E118" s="117" t="n">
        <x:f>LN(ABS(D118))/LN(10)</x:f>
        <x:v>-6.667293777839589</x:v>
      </x:c>
      <x:c r="F118" s="117" t="n">
        <x:f>B118</x:f>
        <x:v>0.3550000000000003</x:v>
      </x:c>
      <x:c r="G118" s="117" t="n">
        <x:f>B138</x:f>
        <x:v>0.4550000000000004</x:v>
      </x:c>
      <x:c r="H118" s="117" t="n">
        <x:f>MAX(E118:E138)-MIN(E118:E138)</x:f>
        <x:v>0.9905115522423431</x:v>
      </x:c>
      <x:c r="I118" s="117" t="n">
        <x:f>SLOPE(E118:E138,B118:B138)</x:f>
        <x:v>9.910348652068798</x:v>
      </x:c>
      <x:c r="J118" s="123" t="n">
        <x:f>RSQ(E118:E138,B118:B138)</x:f>
        <x:v>0.9996850777819948</x:v>
      </x:c>
      <x:c r="K118" s="117" t="n">
        <x:f>IF(I118&gt;0,'Config'!$B$17/I118,"")</x:f>
        <x:v>100.90462355138723</x:v>
      </x:c>
      <x:c r="L118" s="120" t="n">
        <x:f>MAX(D118:D138)</x:f>
        <x:v>0.000002104833631576693</x:v>
      </x:c>
      <x:c r="M118" s="120" t="n">
        <x:f>IF(AND(H118&gt;='Config'!$B$14,J118&gt;='Config'!$B$15,L118&lt;=$E$4,I118&gt;0),K118,"")</x:f>
        <x:v>100.90462355138723</x:v>
      </x:c>
      <x:c r="N118" s="17" t="str">
        <x:f>IF(AND(M118&lt;&gt;"",ABS(M118-$G$4)&lt;='Config'!$B$22),"SELECTED","")</x:f>
      </x:c>
    </x:row>
    <x:row r="119">
      <x:c r="A119" s="15" t="n">
        <x:v>1118</x:v>
      </x:c>
      <x:c r="B119" s="117" t="n">
        <x:f>VALUE('Raw_Data'!I1118)</x:f>
        <x:v>0.3600000000000003</x:v>
      </x:c>
      <x:c r="C119" s="117" t="n">
        <x:f>ROUND(B119,'Config'!$B$25)</x:f>
        <x:v>0.36</x:v>
      </x:c>
      <x:c r="D119" s="120" t="n">
        <x:f>VALUE('Raw_Data'!J1118)</x:f>
        <x:v>2.427558290030328e-7</x:v>
      </x:c>
      <x:c r="E119" s="117" t="n">
        <x:f>LN(ABS(D119))/LN(10)</x:f>
        <x:v>-6.614830333104987</x:v>
      </x:c>
      <x:c r="F119" s="117" t="n">
        <x:f>B119</x:f>
        <x:v>0.3600000000000003</x:v>
      </x:c>
      <x:c r="G119" s="117" t="n">
        <x:f>B139</x:f>
        <x:v>0.4600000000000004</x:v>
      </x:c>
      <x:c r="H119" s="117" t="n">
        <x:f>MAX(E119:E139)-MIN(E119:E139)</x:f>
        <x:v>0.9840097814623388</x:v>
      </x:c>
      <x:c r="I119" s="117" t="n">
        <x:f>SLOPE(E119:E139,B119:B139)</x:f>
        <x:v>9.844957745120698</x:v>
      </x:c>
      <x:c r="J119" s="123" t="n">
        <x:f>RSQ(E119:E139,B119:B139)</x:f>
        <x:v>0.9996721442428246</x:v>
      </x:c>
      <x:c r="K119" s="117" t="n">
        <x:f>IF(I119&gt;0,'Config'!$B$17/I119,"")</x:f>
        <x:v>101.57483921102803</x:v>
      </x:c>
      <x:c r="L119" s="120" t="n">
        <x:f>MAX(D119:D139)</x:f>
        <x:v>0.000002339803834458113</x:v>
      </x:c>
      <x:c r="M119" s="120" t="n">
        <x:f>IF(AND(H119&gt;='Config'!$B$14,J119&gt;='Config'!$B$15,L119&lt;=$E$4,I119&gt;0),K119,"")</x:f>
        <x:v>101.57483921102803</x:v>
      </x:c>
      <x:c r="N119" s="17" t="str">
        <x:f>IF(AND(M119&lt;&gt;"",ABS(M119-$G$4)&lt;='Config'!$B$22),"SELECTED","")</x:f>
      </x:c>
    </x:row>
    <x:row r="120">
      <x:c r="A120" s="15" t="n">
        <x:v>1119</x:v>
      </x:c>
      <x:c r="B120" s="117" t="n">
        <x:f>VALUE('Raw_Data'!I1119)</x:f>
        <x:v>0.3650000000000003</x:v>
      </x:c>
      <x:c r="C120" s="117" t="n">
        <x:f>ROUND(B120,'Config'!$B$25)</x:f>
        <x:v>0.365</x:v>
      </x:c>
      <x:c r="D120" s="120" t="n">
        <x:f>VALUE('Raw_Data'!J1119)</x:f>
        <x:v>2.737545560534216e-7</x:v>
      </x:c>
      <x:c r="E120" s="117" t="n">
        <x:f>LN(ABS(D120))/LN(10)</x:f>
        <x:v>-6.562638644197871</x:v>
      </x:c>
      <x:c r="F120" s="117" t="n">
        <x:f>B120</x:f>
        <x:v>0.3650000000000003</x:v>
      </x:c>
      <x:c r="G120" s="117" t="n">
        <x:f>B140</x:f>
        <x:v>0.4650000000000004</x:v>
      </x:c>
      <x:c r="H120" s="117" t="n">
        <x:f>MAX(E120:E140)-MIN(E120:E140)</x:f>
        <x:v>0.9774145921224298</x:v>
      </x:c>
      <x:c r="I120" s="117" t="n">
        <x:f>SLOPE(E120:E140,B120:B140)</x:f>
        <x:v>9.77868103597929</x:v>
      </x:c>
      <x:c r="J120" s="123" t="n">
        <x:f>RSQ(E120:E140,B120:B140)</x:f>
        <x:v>0.9996593120430554</x:v>
      </x:c>
      <x:c r="K120" s="117" t="n">
        <x:f>IF(I120&gt;0,'Config'!$B$17/I120,"")</x:f>
        <x:v>102.26328032590897</x:v>
      </x:c>
      <x:c r="L120" s="120" t="n">
        <x:f>MAX(D120:D140)</x:f>
        <x:v>0.000002598818489486496</x:v>
      </x:c>
      <x:c r="M120" s="120" t="n">
        <x:f>IF(AND(H120&gt;='Config'!$B$14,J120&gt;='Config'!$B$15,L120&lt;=$E$4,I120&gt;0),K120,"")</x:f>
        <x:v>102.26328032590897</x:v>
      </x:c>
      <x:c r="N120" s="17" t="str">
        <x:f>IF(AND(M120&lt;&gt;"",ABS(M120-$G$4)&lt;='Config'!$B$22),"SELECTED","")</x:f>
      </x:c>
    </x:row>
    <x:row r="121">
      <x:c r="A121" s="15" t="n">
        <x:v>1120</x:v>
      </x:c>
      <x:c r="B121" s="117" t="n">
        <x:f>VALUE('Raw_Data'!I1120)</x:f>
        <x:v>0.3700000000000003</x:v>
      </x:c>
      <x:c r="C121" s="117" t="n">
        <x:f>ROUND(B121,'Config'!$B$25)</x:f>
        <x:v>0.37</x:v>
      </x:c>
      <x:c r="D121" s="120" t="n">
        <x:f>VALUE('Raw_Data'!J1120)</x:f>
        <x:v>3.085129870941359e-7</x:v>
      </x:c>
      <x:c r="E121" s="117" t="n">
        <x:f>LN(ABS(D121))/LN(10)</x:f>
        <x:v>-6.510726549281946</x:v>
      </x:c>
      <x:c r="F121" s="117" t="n">
        <x:f>B121</x:f>
        <x:v>0.3700000000000003</x:v>
      </x:c>
      <x:c r="G121" s="117" t="n">
        <x:f>B141</x:f>
        <x:v>0.4700000000000004</x:v>
      </x:c>
      <x:c r="H121" s="117" t="n">
        <x:f>MAX(E121:E141)-MIN(E121:E141)</x:f>
        <x:v>0.9707292329868862</x:v>
      </x:c>
      <x:c r="I121" s="117" t="n">
        <x:f>SLOPE(E121:E141,B121:B141)</x:f>
        <x:v>9.711565276124247</x:v>
      </x:c>
      <x:c r="J121" s="123" t="n">
        <x:f>RSQ(E121:E141,B121:B141)</x:f>
        <x:v>0.9996465074042872</x:v>
      </x:c>
      <x:c r="K121" s="117" t="n">
        <x:f>IF(I121&gt;0,'Config'!$B$17/I121,"")</x:f>
        <x:v>102.97001271859713</x:v>
      </x:c>
      <x:c r="L121" s="120" t="n">
        <x:f>MAX(D121:D141)</x:f>
        <x:v>0.000002884049324936066</x:v>
      </x:c>
      <x:c r="M121" s="120" t="n">
        <x:f>IF(AND(H121&gt;='Config'!$B$14,J121&gt;='Config'!$B$15,L121&lt;=$E$4,I121&gt;0),K121,"")</x:f>
        <x:v>102.97001271859713</x:v>
      </x:c>
      <x:c r="N121" s="17" t="str">
        <x:f>IF(AND(M121&lt;&gt;"",ABS(M121-$G$4)&lt;='Config'!$B$22),"SELECTED","")</x:f>
      </x:c>
    </x:row>
    <x:row r="122">
      <x:c r="A122" s="15" t="n">
        <x:v>1121</x:v>
      </x:c>
      <x:c r="B122" s="117" t="n">
        <x:f>VALUE('Raw_Data'!I1121)</x:f>
        <x:v>0.3750000000000003</x:v>
      </x:c>
      <x:c r="C122" s="117" t="n">
        <x:f>ROUND(B122,'Config'!$B$25)</x:f>
        <x:v>0.375</x:v>
      </x:c>
      <x:c r="D122" s="120" t="n">
        <x:f>VALUE('Raw_Data'!J1121)</x:f>
        <x:v>3.474548724799429e-7</x:v>
      </x:c>
      <x:c r="E122" s="117" t="n">
        <x:f>LN(ABS(D122))/LN(10)</x:f>
        <x:v>-6.459101593679983</x:v>
      </x:c>
      <x:c r="F122" s="117" t="n">
        <x:f>B122</x:f>
        <x:v>0.3750000000000003</x:v>
      </x:c>
      <x:c r="G122" s="117" t="n">
        <x:f>B142</x:f>
        <x:v>0.4750000000000004</x:v>
      </x:c>
      <x:c r="H122" s="117" t="n">
        <x:f>MAX(E122:E142)-MIN(E122:E142)</x:f>
        <x:v>0.9639558999726097</x:v>
      </x:c>
      <x:c r="I122" s="117" t="n">
        <x:f>SLOPE(E122:E142,B122:B142)</x:f>
        <x:v>9.643646384333946</x:v>
      </x:c>
      <x:c r="J122" s="123" t="n">
        <x:f>RSQ(E122:E142,B122:B142)</x:f>
        <x:v>0.9996336202976739</x:v>
      </x:c>
      <x:c r="K122" s="117" t="n">
        <x:f>IF(I122&gt;0,'Config'!$B$17/I122,"")</x:f>
        <x:v>103.69521653391344</x:v>
      </x:c>
      <x:c r="L122" s="120" t="n">
        <x:f>MAX(D122:D142)</x:f>
        <x:v>0.000003197822149427569</x:v>
      </x:c>
      <x:c r="M122" s="120" t="n">
        <x:f>IF(AND(H122&gt;='Config'!$B$14,J122&gt;='Config'!$B$15,L122&lt;=$E$4,I122&gt;0),K122,"")</x:f>
        <x:v>103.69521653391344</x:v>
      </x:c>
      <x:c r="N122" s="17" t="str">
        <x:f>IF(AND(M122&lt;&gt;"",ABS(M122-$G$4)&lt;='Config'!$B$22),"SELECTED","")</x:f>
      </x:c>
    </x:row>
    <x:row r="123">
      <x:c r="A123" s="15" t="n">
        <x:v>1122</x:v>
      </x:c>
      <x:c r="B123" s="117" t="n">
        <x:f>VALUE('Raw_Data'!I1122)</x:f>
        <x:v>0.3800000000000003</x:v>
      </x:c>
      <x:c r="C123" s="117" t="n">
        <x:f>ROUND(B123,'Config'!$B$25)</x:f>
        <x:v>0.38</x:v>
      </x:c>
      <x:c r="D123" s="120" t="n">
        <x:f>VALUE('Raw_Data'!J1122)</x:f>
        <x:v>3.91047048787814e-7</x:v>
      </x:c>
      <x:c r="E123" s="117" t="n">
        <x:f>LN(ABS(D123))/LN(10)</x:f>
        <x:v>-6.407770987361985</x:v>
      </x:c>
      <x:c r="F123" s="117" t="n">
        <x:f>B123</x:f>
        <x:v>0.3800000000000003</x:v>
      </x:c>
      <x:c r="G123" s="117" t="n">
        <x:f>B143</x:f>
        <x:v>0.4800000000000004</x:v>
      </x:c>
      <x:c r="H123" s="117" t="n">
        <x:f>MAX(E123:E143)-MIN(E123:E143)</x:f>
        <x:v>0.9570955799590806</x:v>
      </x:c>
      <x:c r="I123" s="117" t="n">
        <x:f>SLOPE(E123:E143,B123:B143)</x:f>
        <x:v>9.574947367632403</x:v>
      </x:c>
      <x:c r="J123" s="123" t="n">
        <x:f>RSQ(E123:E143,B123:B143)</x:f>
        <x:v>0.9996205018357017</x:v>
      </x:c>
      <x:c r="K123" s="117" t="n">
        <x:f>IF(I123&gt;0,'Config'!$B$17/I123,"")</x:f>
        <x:v>104.43921638467137</x:v>
      </x:c>
      <x:c r="L123" s="120" t="n">
        <x:f>MAX(D123:D143)</x:f>
        <x:v>0.000003542620183286753</x:v>
      </x:c>
      <x:c r="M123" s="120" t="n">
        <x:f>IF(AND(H123&gt;='Config'!$B$14,J123&gt;='Config'!$B$15,L123&lt;=$E$4,I123&gt;0),K123,"")</x:f>
        <x:v>104.43921638467137</x:v>
      </x:c>
      <x:c r="N123" s="17" t="str">
        <x:f>IF(AND(M123&lt;&gt;"",ABS(M123-$G$4)&lt;='Config'!$B$22),"SELECTED","")</x:f>
      </x:c>
    </x:row>
    <x:row r="124">
      <x:c r="A124" s="15" t="n">
        <x:v>1123</x:v>
      </x:c>
      <x:c r="B124" s="117" t="n">
        <x:f>VALUE('Raw_Data'!I1123)</x:f>
        <x:v>0.3850000000000003</x:v>
      </x:c>
      <x:c r="C124" s="117" t="n">
        <x:f>ROUND(B124,'Config'!$B$25)</x:f>
        <x:v>0.385</x:v>
      </x:c>
      <x:c r="D124" s="120" t="n">
        <x:f>VALUE('Raw_Data'!J1123)</x:f>
        <x:v>4.398032494401846e-7</x:v>
      </x:c>
      <x:c r="E124" s="117" t="n">
        <x:f>LN(ABS(D124))/LN(10)</x:f>
        <x:v>-6.356741566224141</x:v>
      </x:c>
      <x:c r="F124" s="117" t="n">
        <x:f>B124</x:f>
        <x:v>0.3850000000000003</x:v>
      </x:c>
      <x:c r="G124" s="117" t="n">
        <x:f>B144</x:f>
        <x:v>0.4850000000000004</x:v>
      </x:c>
      <x:c r="H124" s="117" t="n">
        <x:f>MAX(E124:E144)-MIN(E124:E144)</x:f>
        <x:v>0.9501479157091381</x:v>
      </x:c>
      <x:c r="I124" s="117" t="n">
        <x:f>SLOPE(E124:E144,B124:B144)</x:f>
        <x:v>9.505476416411359</x:v>
      </x:c>
      <x:c r="J124" s="123" t="n">
        <x:f>RSQ(E124:E144,B124:B144)</x:f>
        <x:v>0.9996069624200751</x:v>
      </x:c>
      <x:c r="K124" s="117" t="n">
        <x:f>IF(I124&gt;0,'Config'!$B$17/I124,"")</x:f>
        <x:v>105.20251234051602</x:v>
      </x:c>
      <x:c r="L124" s="120" t="n">
        <x:f>MAX(D124:D144)</x:f>
        <x:v>0.000003921085835950356</x:v>
      </x:c>
      <x:c r="M124" s="120" t="n">
        <x:f>IF(AND(H124&gt;='Config'!$B$14,J124&gt;='Config'!$B$15,L124&lt;=$E$4,I124&gt;0),K124,"")</x:f>
        <x:v>105.20251234051602</x:v>
      </x:c>
      <x:c r="N124" s="17" t="str">
        <x:f>IF(AND(M124&lt;&gt;"",ABS(M124-$G$4)&lt;='Config'!$B$22),"SELECTED","")</x:f>
      </x:c>
    </x:row>
    <x:row r="125">
      <x:c r="A125" s="15" t="n">
        <x:v>1124</x:v>
      </x:c>
      <x:c r="B125" s="117" t="n">
        <x:f>VALUE('Raw_Data'!I1124)</x:f>
        <x:v>0.3900000000000003</x:v>
      </x:c>
      <x:c r="C125" s="117" t="n">
        <x:f>ROUND(B125,'Config'!$B$25)</x:f>
        <x:v>0.39</x:v>
      </x:c>
      <x:c r="D125" s="120" t="n">
        <x:f>VALUE('Raw_Data'!J1124)</x:f>
        <x:v>4.942881983435589e-7</x:v>
      </x:c>
      <x:c r="E125" s="117" t="n">
        <x:f>LN(ABS(D125))/LN(10)</x:f>
        <x:v>-6.30601975865809</x:v>
      </x:c>
      <x:c r="F125" s="117" t="n">
        <x:f>B125</x:f>
        <x:v>0.3900000000000003</x:v>
      </x:c>
      <x:c r="G125" s="117" t="n">
        <x:f>B145</x:f>
        <x:v>0.4900000000000004</x:v>
      </x:c>
      <x:c r="H125" s="117" t="n">
        <x:f>MAX(E125:E145)-MIN(E125:E145)</x:f>
        <x:v>0.9431110979845316</x:v>
      </x:c>
      <x:c r="I125" s="117" t="n">
        <x:f>SLOPE(E125:E145,B125:B145)</x:f>
        <x:v>9.435225255861416</x:v>
      </x:c>
      <x:c r="J125" s="123" t="n">
        <x:f>RSQ(E125:E145,B125:B145)</x:f>
        <x:v>0.9995927706737842</x:v>
      </x:c>
      <x:c r="K125" s="117" t="n">
        <x:f>IF(I125&gt;0,'Config'!$B$17/I125,"")</x:f>
        <x:v>105.98581092473367</x:v>
      </x:c>
      <x:c r="L125" s="120" t="n">
        <x:f>MAX(D125:D145)</x:f>
        <x:v>0.000004336020624975936</x:v>
      </x:c>
      <x:c r="M125" s="120" t="str">
        <x:f>IF(AND(H125&gt;='Config'!$B$14,J125&gt;='Config'!$B$15,L125&lt;=$E$4,I125&gt;0),K125,"")</x:f>
      </x:c>
      <x:c r="N125" s="17" t="str">
        <x:f>IF(AND(M125&lt;&gt;"",ABS(M125-$G$4)&lt;='Config'!$B$22),"SELECTED","")</x:f>
      </x:c>
    </x:row>
    <x:row r="126">
      <x:c r="A126" s="15" t="n">
        <x:v>1125</x:v>
      </x:c>
      <x:c r="B126" s="117" t="n">
        <x:f>VALUE('Raw_Data'!I1125)</x:f>
        <x:v>0.3950000000000004</x:v>
      </x:c>
      <x:c r="C126" s="117" t="n">
        <x:f>ROUND(B126,'Config'!$B$25)</x:f>
        <x:v>0.395</x:v>
      </x:c>
      <x:c r="D126" s="120" t="n">
        <x:f>VALUE('Raw_Data'!J1125)</x:f>
        <x:v>5.551220023358563e-7</x:v>
      </x:c>
      <x:c r="E126" s="117" t="n">
        <x:f>LN(ABS(D126))/LN(10)</x:f>
        <x:v>-6.255611559006308</x:v>
      </x:c>
      <x:c r="F126" s="117" t="n">
        <x:f>B126</x:f>
        <x:v>0.3950000000000004</x:v>
      </x:c>
      <x:c r="G126" s="117" t="n">
        <x:f>B146</x:f>
        <x:v>0.4950000000000004</x:v>
      </x:c>
      <x:c r="H126" s="117" t="n">
        <x:f>MAX(E126:E146)-MIN(E126:E146)</x:f>
        <x:v>0.9359817904862506</x:v>
      </x:c>
      <x:c r="I126" s="117" t="n">
        <x:f>SLOPE(E126:E146,B126:B146)</x:f>
        <x:v>9.364167835366272</x:v>
      </x:c>
      <x:c r="J126" s="123" t="n">
        <x:f>RSQ(E126:E146,B126:B146)</x:f>
        <x:v>0.9995776531438718</x:v>
      </x:c>
      <x:c r="K126" s="117" t="n">
        <x:f>IF(I126&gt;0,'Config'!$B$17/I126,"")</x:f>
        <x:v>106.7900551956399</x:v>
      </x:c>
      <x:c r="L126" s="120" t="n">
        <x:f>MAX(D126:D146)</x:f>
        <x:v>0.000004790382934131968</x:v>
      </x:c>
      <x:c r="M126" s="120" t="str">
        <x:f>IF(AND(H126&gt;='Config'!$B$14,J126&gt;='Config'!$B$15,L126&lt;=$E$4,I126&gt;0),K126,"")</x:f>
      </x:c>
      <x:c r="N126" s="17" t="str">
        <x:f>IF(AND(M126&lt;&gt;"",ABS(M126-$G$4)&lt;='Config'!$B$22),"SELECTED","")</x:f>
      </x:c>
    </x:row>
    <x:row r="127">
      <x:c r="A127" s="15" t="n">
        <x:v>1126</x:v>
      </x:c>
      <x:c r="B127" s="117" t="n">
        <x:f>VALUE('Raw_Data'!I1126)</x:f>
        <x:v>0.4000000000000004</x:v>
      </x:c>
      <x:c r="C127" s="117" t="n">
        <x:f>ROUND(B127,'Config'!$B$25)</x:f>
        <x:v>0.4</x:v>
      </x:c>
      <x:c r="D127" s="120" t="n">
        <x:f>VALUE('Raw_Data'!J1126)</x:f>
        <x:v>6.229848571863765e-7</x:v>
      </x:c>
      <x:c r="E127" s="117" t="n">
        <x:f>LN(ABS(D127))/LN(10)</x:f>
        <x:v>-6.205522509553226</x:v>
      </x:c>
      <x:c r="F127" s="117" t="n">
        <x:f>B127</x:f>
        <x:v>0.4000000000000004</x:v>
      </x:c>
      <x:c r="G127" s="117" t="n">
        <x:f>B147</x:f>
        <x:v>0.5000000000000004</x:v>
      </x:c>
      <x:c r="H127" s="117" t="n">
        <x:f>MAX(E127:E147)-MIN(E127:E147)</x:f>
        <x:v>0.9287550925277728</x:v>
      </x:c>
      <x:c r="I127" s="117" t="n">
        <x:f>SLOPE(E127:E147,B127:B147)</x:f>
        <x:v>9.292259433306874</x:v>
      </x:c>
      <x:c r="J127" s="123" t="n">
        <x:f>RSQ(E127:E147,B127:B147)</x:f>
        <x:v>0.999561294732703</x:v>
      </x:c>
      <x:c r="K127" s="117" t="n">
        <x:f>IF(I127&gt;0,'Config'!$B$17/I127,"")</x:f>
        <x:v>107.61645293884416</x:v>
      </x:c>
      <x:c r="L127" s="120" t="n">
        <x:f>MAX(D127:D147)</x:f>
        <x:v>0.000005287283322437928</x:v>
      </x:c>
      <x:c r="M127" s="120" t="str">
        <x:f>IF(AND(H127&gt;='Config'!$B$14,J127&gt;='Config'!$B$15,L127&lt;=$E$4,I127&gt;0),K127,"")</x:f>
      </x:c>
      <x:c r="N127" s="17" t="str">
        <x:f>IF(AND(M127&lt;&gt;"",ABS(M127-$G$4)&lt;='Config'!$B$22),"SELECTED","")</x:f>
      </x:c>
    </x:row>
    <x:row r="128">
      <x:c r="A128" s="15" t="n">
        <x:v>1127</x:v>
      </x:c>
      <x:c r="B128" s="117" t="n">
        <x:f>VALUE('Raw_Data'!I1127)</x:f>
        <x:v>0.4050000000000004</x:v>
      </x:c>
      <x:c r="C128" s="117" t="n">
        <x:f>ROUND(B128,'Config'!$B$25)</x:f>
        <x:v>0.405</x:v>
      </x:c>
      <x:c r="D128" s="120" t="n">
        <x:f>VALUE('Raw_Data'!J1127)</x:f>
        <x:v>6.986220797940975e-7</x:v>
      </x:c>
      <x:c r="E128" s="117" t="n">
        <x:f>LN(ABS(D128))/LN(10)</x:f>
        <x:v>-6.155757692701799</x:v>
      </x:c>
      <x:c r="F128" s="117" t="n">
        <x:f>B128</x:f>
        <x:v>0.4050000000000004</x:v>
      </x:c>
      <x:c r="G128" s="117" t="n">
        <x:f>B148</x:f>
        <x:v>0.5050000000000004</x:v>
      </x:c>
      <x:c r="H128" s="117" t="n">
        <x:f>MAX(E128:E148)-MIN(E128:E148)</x:f>
        <x:v>0.9214245433813941</x:v>
      </x:c>
      <x:c r="I128" s="117" t="n">
        <x:f>SLOPE(E128:E148,B128:B148)</x:f>
        <x:v>9.219436246586051</x:v>
      </x:c>
      <x:c r="J128" s="123" t="n">
        <x:f>RSQ(E128:E148,B128:B148)</x:f>
        <x:v>0.9995433398065114</x:v>
      </x:c>
      <x:c r="K128" s="117" t="n">
        <x:f>IF(I128&gt;0,'Config'!$B$17/I128,"")</x:f>
        <x:v>108.46650199140963</x:v>
      </x:c>
      <x:c r="L128" s="120" t="n">
        <x:f>MAX(D128:D148)</x:f>
        <x:v>0.000005829977124361596</x:v>
      </x:c>
      <x:c r="M128" s="120" t="str">
        <x:f>IF(AND(H128&gt;='Config'!$B$14,J128&gt;='Config'!$B$15,L128&lt;=$E$4,I128&gt;0),K128,"")</x:f>
      </x:c>
      <x:c r="N128" s="17" t="str">
        <x:f>IF(AND(M128&lt;&gt;"",ABS(M128-$G$4)&lt;='Config'!$B$22),"SELECTED","")</x:f>
      </x:c>
    </x:row>
    <x:row r="129">
      <x:c r="A129" s="15" t="n">
        <x:v>1128</x:v>
      </x:c>
      <x:c r="B129" s="117" t="n">
        <x:f>VALUE('Raw_Data'!I1128)</x:f>
        <x:v>0.4100000000000004</x:v>
      </x:c>
      <x:c r="C129" s="117" t="n">
        <x:f>ROUND(B129,'Config'!$B$25)</x:f>
        <x:v>0.41</x:v>
      </x:c>
      <x:c r="D129" s="120" t="n">
        <x:f>VALUE('Raw_Data'!J1128)</x:f>
        <x:v>7.82849475753335e-7</x:v>
      </x:c>
      <x:c r="E129" s="117" t="n">
        <x:f>LN(ABS(D129))/LN(10)</x:f>
        <x:v>-6.1063217349204475</x:v>
      </x:c>
      <x:c r="F129" s="117" t="n">
        <x:f>B129</x:f>
        <x:v>0.4100000000000004</x:v>
      </x:c>
      <x:c r="G129" s="117" t="n">
        <x:f>B149</x:f>
        <x:v>0.5100000000000005</x:v>
      </x:c>
      <x:c r="H129" s="117" t="n">
        <x:f>MAX(E129:E149)-MIN(E129:E149)</x:f>
        <x:v>0.913982171057131</x:v>
      </x:c>
      <x:c r="I129" s="117" t="n">
        <x:f>SLOPE(E129:E149,B129:B149)</x:f>
        <x:v>9.145615522125942</x:v>
      </x:c>
      <x:c r="J129" s="123" t="n">
        <x:f>RSQ(E129:E149,B129:B149)</x:f>
        <x:v>0.9995233939449334</x:v>
      </x:c>
      <x:c r="K129" s="117" t="n">
        <x:f>IF(I129&gt;0,'Config'!$B$17/I129,"")</x:f>
        <x:v>109.3420117629814</x:v>
      </x:c>
      <x:c r="L129" s="120" t="n">
        <x:f>MAX(D129:D149)</x:f>
        <x:v>0.000006421854124527282</x:v>
      </x:c>
      <x:c r="M129" s="120" t="str">
        <x:f>IF(AND(H129&gt;='Config'!$B$14,J129&gt;='Config'!$B$15,L129&lt;=$E$4,I129&gt;0),K129,"")</x:f>
      </x:c>
      <x:c r="N129" s="17" t="str">
        <x:f>IF(AND(M129&lt;&gt;"",ABS(M129-$G$4)&lt;='Config'!$B$22),"SELECTED","")</x:f>
      </x:c>
    </x:row>
    <x:row r="130">
      <x:c r="A130" s="15" t="n">
        <x:v>1129</x:v>
      </x:c>
      <x:c r="B130" s="117" t="n">
        <x:f>VALUE('Raw_Data'!I1129)</x:f>
        <x:v>0.4150000000000004</x:v>
      </x:c>
      <x:c r="C130" s="117" t="n">
        <x:f>ROUND(B130,'Config'!$B$25)</x:f>
        <x:v>0.415</x:v>
      </x:c>
      <x:c r="D130" s="120" t="n">
        <x:f>VALUE('Raw_Data'!J1129)</x:f>
        <x:v>8.765590462403014e-7</x:v>
      </x:c>
      <x:c r="E130" s="117" t="n">
        <x:f>LN(ABS(D130))/LN(10)</x:f>
        <x:v>-6.057218823902609</x:v>
      </x:c>
      <x:c r="F130" s="117" t="n">
        <x:f>B130</x:f>
        <x:v>0.4150000000000004</x:v>
      </x:c>
      <x:c r="G130" s="117" t="n">
        <x:f>B150</x:f>
        <x:v>0.5150000000000005</x:v>
      </x:c>
      <x:c r="H130" s="117" t="n">
        <x:f>MAX(E130:E150)-MIN(E130:E150)</x:f>
        <x:v>0.9064185869261046</x:v>
      </x:c>
      <x:c r="I130" s="117" t="n">
        <x:f>SLOPE(E130:E150,B130:B150)</x:f>
        <x:v>9.070696271854018</x:v>
      </x:c>
      <x:c r="J130" s="123" t="n">
        <x:f>RSQ(E130:E150,B130:B150)</x:f>
        <x:v>0.9995010263340786</x:v>
      </x:c>
      <x:c r="K130" s="117" t="n">
        <x:f>IF(I130&gt;0,'Config'!$B$17/I130,"")</x:f>
        <x:v>110.2451201131006</x:v>
      </x:c>
      <x:c r="L130" s="120" t="n">
        <x:f>MAX(D130:D150)</x:f>
        <x:v>0.000007066425148395598</x:v>
      </x:c>
      <x:c r="M130" s="120" t="str">
        <x:f>IF(AND(H130&gt;='Config'!$B$14,J130&gt;='Config'!$B$15,L130&lt;=$E$4,I130&gt;0),K130,"")</x:f>
      </x:c>
      <x:c r="N130" s="17" t="str">
        <x:f>IF(AND(M130&lt;&gt;"",ABS(M130-$G$4)&lt;='Config'!$B$22),"SELECTED","")</x:f>
      </x:c>
    </x:row>
    <x:row r="131">
      <x:c r="A131" s="15" t="n">
        <x:v>1130</x:v>
      </x:c>
      <x:c r="B131" s="117" t="n">
        <x:f>VALUE('Raw_Data'!I1130)</x:f>
        <x:v>0.4200000000000004</x:v>
      </x:c>
      <x:c r="C131" s="117" t="n">
        <x:f>ROUND(B131,'Config'!$B$25)</x:f>
        <x:v>0.42</x:v>
      </x:c>
      <x:c r="D131" s="120" t="n">
        <x:f>VALUE('Raw_Data'!J1130)</x:f>
        <x:v>9.807250308368829e-7</x:v>
      </x:c>
      <x:c r="E131" s="117" t="n">
        <x:f>LN(ABS(D131))/LN(10)</x:f>
        <x:v>-6.008452740152595</x:v>
      </x:c>
      <x:c r="F131" s="117" t="n">
        <x:f>B131</x:f>
        <x:v>0.4200000000000004</x:v>
      </x:c>
      <x:c r="G131" s="117" t="n">
        <x:f>B151</x:f>
        <x:v>0.5200000000000005</x:v>
      </x:c>
      <x:c r="H131" s="117" t="n">
        <x:f>MAX(E131:E151)-MIN(E131:E151)</x:f>
        <x:v>0.8987231261427722</x:v>
      </x:c>
      <x:c r="I131" s="117" t="n">
        <x:f>SLOPE(E131:E151,B131:B151)</x:f>
        <x:v>8.994560593768874</x:v>
      </x:c>
      <x:c r="J131" s="123" t="n">
        <x:f>RSQ(E131:E151,B131:B151)</x:f>
        <x:v>0.9994757728637801</x:v>
      </x:c>
      <x:c r="K131" s="117" t="n">
        <x:f>IF(I131&gt;0,'Config'!$B$17/I131,"")</x:f>
        <x:v>111.17830488492856</x:v>
      </x:c>
      <x:c r="L131" s="120" t="n">
        <x:f>MAX(D131:D151)</x:f>
        <x:v>0.000007767305482719421</x:v>
      </x:c>
      <x:c r="M131" s="120" t="str">
        <x:f>IF(AND(H131&gt;='Config'!$B$14,J131&gt;='Config'!$B$15,L131&lt;=$E$4,I131&gt;0),K131,"")</x:f>
      </x:c>
      <x:c r="N131" s="17" t="str">
        <x:f>IF(AND(M131&lt;&gt;"",ABS(M131-$G$4)&lt;='Config'!$B$22),"SELECTED","")</x:f>
      </x:c>
    </x:row>
    <x:row r="132">
      <x:c r="A132" s="15" t="n">
        <x:v>1131</x:v>
      </x:c>
      <x:c r="B132" s="117" t="n">
        <x:f>VALUE('Raw_Data'!I1131)</x:f>
        <x:v>0.4250000000000004</x:v>
      </x:c>
      <x:c r="C132" s="117" t="n">
        <x:f>ROUND(B132,'Config'!$B$25)</x:f>
        <x:v>0.425</x:v>
      </x:c>
      <x:c r="D132" s="120" t="n">
        <x:f>VALUE('Raw_Data'!J1131)</x:f>
        <x:v>0.000001096410273070978</x:v>
      </x:c>
      <x:c r="E132" s="117" t="n">
        <x:f>LN(ABS(D132))/LN(10)</x:f>
        <x:v>-5.960026903890349</x:v>
      </x:c>
      <x:c r="F132" s="117" t="n">
        <x:f>B132</x:f>
        <x:v>0.4250000000000004</x:v>
      </x:c>
      <x:c r="G132" s="117" t="n">
        <x:f>B152</x:f>
        <x:v>0.5250000000000005</x:v>
      </x:c>
      <x:c r="H132" s="117" t="n">
        <x:f>MAX(E132:E152)-MIN(E132:E152)</x:f>
        <x:v>0.8908840323145073</x:v>
      </x:c>
      <x:c r="I132" s="117" t="n">
        <x:f>SLOPE(E132:E152,B132:B152)</x:f>
        <x:v>8.917075600280398</x:v>
      </x:c>
      <x:c r="J132" s="123" t="n">
        <x:f>RSQ(E132:E152,B132:B152)</x:f>
        <x:v>0.9994471400572406</x:v>
      </x:c>
      <x:c r="K132" s="117" t="n">
        <x:f>IF(I132&gt;0,'Config'!$B$17/I132,"")</x:f>
        <x:v>112.14438957639373</x:v>
      </x:c>
      <x:c r="L132" s="120" t="n">
        <x:f>MAX(D132:D152)</x:f>
        <x:v>0.000008528195124520029</x:v>
      </x:c>
      <x:c r="M132" s="120" t="str">
        <x:f>IF(AND(H132&gt;='Config'!$B$14,J132&gt;='Config'!$B$15,L132&lt;=$E$4,I132&gt;0),K132,"")</x:f>
      </x:c>
      <x:c r="N132" s="17" t="str">
        <x:f>IF(AND(M132&lt;&gt;"",ABS(M132-$G$4)&lt;='Config'!$B$22),"SELECTED","")</x:f>
      </x:c>
    </x:row>
    <x:row r="133">
      <x:c r="A133" s="15" t="n">
        <x:v>1132</x:v>
      </x:c>
      <x:c r="B133" s="117" t="n">
        <x:f>VALUE('Raw_Data'!I1132)</x:f>
        <x:v>0.4300000000000004</x:v>
      </x:c>
      <x:c r="C133" s="117" t="n">
        <x:f>ROUND(B133,'Config'!$B$25)</x:f>
        <x:v>0.43</x:v>
      </x:c>
      <x:c r="D133" s="120" t="n">
        <x:f>VALUE('Raw_Data'!J1132)</x:f>
        <x:v>0.000001224772882773201</x:v>
      </x:c>
      <x:c r="E133" s="117" t="n">
        <x:f>LN(ABS(D133))/LN(10)</x:f>
        <x:v>-5.911944437750957</x:v>
      </x:c>
      <x:c r="F133" s="117" t="n">
        <x:f>B133</x:f>
        <x:v>0.4300000000000004</x:v>
      </x:c>
      <x:c r="G133" s="117" t="n">
        <x:f>B153</x:f>
        <x:v>0.5300000000000005</x:v>
      </x:c>
      <x:c r="H133" s="117" t="n">
        <x:f>MAX(E133:E153)-MIN(E133:E153)</x:f>
        <x:v>0.882888683373455</x:v>
      </x:c>
      <x:c r="I133" s="117" t="n">
        <x:f>SLOPE(E133:E153,B133:B153)</x:f>
        <x:v>8.838095932062403</x:v>
      </x:c>
      <x:c r="J133" s="123" t="n">
        <x:f>RSQ(E133:E153,B133:B153)</x:f>
        <x:v>0.9994146100251019</x:v>
      </x:c>
      <x:c r="K133" s="117" t="n">
        <x:f>IF(I133&gt;0,'Config'!$B$17/I133,"")</x:f>
        <x:v>113.14654283987232</x:v>
      </x:c>
      <x:c r="L133" s="120" t="n">
        <x:f>MAX(D133:D153)</x:f>
        <x:v>0.000009352855952248095</x:v>
      </x:c>
      <x:c r="M133" s="120" t="str">
        <x:f>IF(AND(H133&gt;='Config'!$B$14,J133&gt;='Config'!$B$15,L133&lt;=$E$4,I133&gt;0),K133,"")</x:f>
      </x:c>
      <x:c r="N133" s="17" t="str">
        <x:f>IF(AND(M133&lt;&gt;"",ABS(M133-$G$4)&lt;='Config'!$B$22),"SELECTED","")</x:f>
      </x:c>
    </x:row>
    <x:row r="134">
      <x:c r="A134" s="15" t="n">
        <x:v>1133</x:v>
      </x:c>
      <x:c r="B134" s="117" t="n">
        <x:f>VALUE('Raw_Data'!I1133)</x:f>
        <x:v>0.4350000000000004</x:v>
      </x:c>
      <x:c r="C134" s="117" t="n">
        <x:f>ROUND(B134,'Config'!$B$25)</x:f>
        <x:v>0.435</x:v>
      </x:c>
      <x:c r="D134" s="120" t="n">
        <x:f>VALUE('Raw_Data'!J1133)</x:f>
        <x:v>0.000001367073153552329</x:v>
      </x:c>
      <x:c r="E134" s="117" t="n">
        <x:f>LN(ABS(D134))/LN(10)</x:f>
        <x:v>-5.864208245246322</x:v>
      </x:c>
      <x:c r="F134" s="117" t="n">
        <x:f>B134</x:f>
        <x:v>0.4350000000000004</x:v>
      </x:c>
      <x:c r="G134" s="117" t="n">
        <x:f>B154</x:f>
        <x:v>0.5350000000000005</x:v>
      </x:c>
      <x:c r="H134" s="117" t="n">
        <x:f>MAX(E134:E154)-MIN(E134:E154)</x:f>
        <x:v>0.8747238541872262</x:v>
      </x:c>
      <x:c r="I134" s="117" t="n">
        <x:f>SLOPE(E134:E154,B134:B154)</x:f>
        <x:v>8.757466812209225</x:v>
      </x:c>
      <x:c r="J134" s="123" t="n">
        <x:f>RSQ(E134:E154,B134:B154)</x:f>
        <x:v>0.999377646680657</x:v>
      </x:c>
      <x:c r="K134" s="117" t="n">
        <x:f>IF(I134&gt;0,'Config'!$B$17/I134,"")</x:f>
        <x:v>114.18827172782999</x:v>
      </x:c>
      <x:c r="L134" s="120" t="n">
        <x:f>MAX(D134:D154)</x:f>
        <x:v>0.00001024508601424879</x:v>
      </x:c>
      <x:c r="M134" s="120" t="str">
        <x:f>IF(AND(H134&gt;='Config'!$B$14,J134&gt;='Config'!$B$15,L134&lt;=$E$4,I134&gt;0),K134,"")</x:f>
      </x:c>
      <x:c r="N134" s="17" t="str">
        <x:f>IF(AND(M134&lt;&gt;"",ABS(M134-$G$4)&lt;='Config'!$B$22),"SELECTED","")</x:f>
      </x:c>
    </x:row>
    <x:row r="135">
      <x:c r="A135" s="15" t="n">
        <x:v>1134</x:v>
      </x:c>
      <x:c r="B135" s="117" t="n">
        <x:f>VALUE('Raw_Data'!I1134)</x:f>
        <x:v>0.4400000000000004</x:v>
      </x:c>
      <x:c r="C135" s="117" t="n">
        <x:f>ROUND(B135,'Config'!$B$25)</x:f>
        <x:v>0.44</x:v>
      </x:c>
      <x:c r="D135" s="120" t="n">
        <x:f>VALUE('Raw_Data'!J1134)</x:f>
        <x:v>0.000001524680674616621</x:v>
      </x:c>
      <x:c r="E135" s="117" t="n">
        <x:f>LN(ABS(D135))/LN(10)</x:f>
        <x:v>-5.816821104365359</x:v>
      </x:c>
      <x:c r="F135" s="117" t="n">
        <x:f>B135</x:f>
        <x:v>0.4400000000000004</x:v>
      </x:c>
      <x:c r="G135" s="117" t="n">
        <x:f>B155</x:f>
        <x:v>0.5400000000000005</x:v>
      </x:c>
      <x:c r="H135" s="117" t="n">
        <x:f>MAX(E135:E155)-MIN(E135:E155)</x:f>
        <x:v>0.8663760101528988</x:v>
      </x:c>
      <x:c r="I135" s="117" t="n">
        <x:f>SLOPE(E135:E155,B135:B155)</x:f>
        <x:v>8.675027572700321</x:v>
      </x:c>
      <x:c r="J135" s="123" t="n">
        <x:f>RSQ(E135:E155,B135:B155)</x:f>
        <x:v>0.9993357034641999</x:v>
      </x:c>
      <x:c r="K135" s="117" t="n">
        <x:f>IF(I135&gt;0,'Config'!$B$17/I135,"")</x:f>
        <x:v>115.27340883006839</x:v>
      </x:c>
      <x:c r="L135" s="120" t="n">
        <x:f>MAX(D135:D155)</x:f>
        <x:v>0.00001120869123336195</x:v>
      </x:c>
      <x:c r="M135" s="120" t="str">
        <x:f>IF(AND(H135&gt;='Config'!$B$14,J135&gt;='Config'!$B$15,L135&lt;=$E$4,I135&gt;0),K135,"")</x:f>
      </x:c>
      <x:c r="N135" s="17" t="str">
        <x:f>IF(AND(M135&lt;&gt;"",ABS(M135-$G$4)&lt;='Config'!$B$22),"SELECTED","")</x:f>
      </x:c>
    </x:row>
    <x:row r="136">
      <x:c r="A136" s="15" t="n">
        <x:v>1135</x:v>
      </x:c>
      <x:c r="B136" s="117" t="n">
        <x:f>VALUE('Raw_Data'!I1135)</x:f>
        <x:v>0.4450000000000004</x:v>
      </x:c>
      <x:c r="C136" s="117" t="n">
        <x:f>ROUND(B136,'Config'!$B$25)</x:f>
        <x:v>0.445</x:v>
      </x:c>
      <x:c r="D136" s="120" t="n">
        <x:f>VALUE('Raw_Data'!J1135)</x:f>
        <x:v>0.000001699081553814694</x:v>
      </x:c>
      <x:c r="E136" s="117" t="n">
        <x:f>LN(ABS(D136))/LN(10)</x:f>
        <x:v>-5.769785775032268</x:v>
      </x:c>
      <x:c r="F136" s="117" t="n">
        <x:f>B136</x:f>
        <x:v>0.4450000000000004</x:v>
      </x:c>
      <x:c r="G136" s="117" t="n">
        <x:f>B156</x:f>
        <x:v>0.5450000000000005</x:v>
      </x:c>
      <x:c r="H136" s="117" t="n">
        <x:f>MAX(E136:E156)-MIN(E136:E156)</x:f>
        <x:v>0.8578316249025075</x:v>
      </x:c>
      <x:c r="I136" s="117" t="n">
        <x:f>SLOPE(E136:E156,B136:B156)</x:f>
        <x:v>8.590615564226155</x:v>
      </x:c>
      <x:c r="J136" s="123" t="n">
        <x:f>RSQ(E136:E156,B136:B156)</x:f>
        <x:v>0.9992882327914172</x:v>
      </x:c>
      <x:c r="K136" s="117" t="n">
        <x:f>IF(I136&gt;0,'Config'!$B$17/I136,"")</x:f>
        <x:v>116.40609366391548</x:v>
      </x:c>
      <x:c r="L136" s="120" t="n">
        <x:f>MAX(D136:D156)</x:f>
        <x:v>0.00001224745492774779</x:v>
      </x:c>
      <x:c r="M136" s="120" t="str">
        <x:f>IF(AND(H136&gt;='Config'!$B$14,J136&gt;='Config'!$B$15,L136&lt;=$E$4,I136&gt;0),K136,"")</x:f>
      </x:c>
      <x:c r="N136" s="17" t="str">
        <x:f>IF(AND(M136&lt;&gt;"",ABS(M136-$G$4)&lt;='Config'!$B$22),"SELECTED","")</x:f>
      </x:c>
    </x:row>
    <x:row r="137">
      <x:c r="A137" s="15" t="n">
        <x:v>1136</x:v>
      </x:c>
      <x:c r="B137" s="117" t="n">
        <x:f>VALUE('Raw_Data'!I1136)</x:f>
        <x:v>0.4500000000000004</x:v>
      </x:c>
      <x:c r="C137" s="117" t="n">
        <x:f>ROUND(B137,'Config'!$B$25)</x:f>
        <x:v>0.45</x:v>
      </x:c>
      <x:c r="D137" s="120" t="n">
        <x:f>VALUE('Raw_Data'!J1136)</x:f>
        <x:v>0.000001891885643347979</x:v>
      </x:c>
      <x:c r="E137" s="117" t="n">
        <x:f>LN(ABS(D137))/LN(10)</x:f>
        <x:v>-5.723105118443695</x:v>
      </x:c>
      <x:c r="F137" s="117" t="n">
        <x:f>B137</x:f>
        <x:v>0.4500000000000004</x:v>
      </x:c>
      <x:c r="G137" s="117" t="n">
        <x:f>B157</x:f>
        <x:v>0.5500000000000005</x:v>
      </x:c>
      <x:c r="H137" s="117" t="n">
        <x:f>MAX(E137:E157)-MIN(E137:E157)</x:f>
        <x:v>0.849077514342313</x:v>
      </x:c>
      <x:c r="I137" s="117" t="n">
        <x:f>SLOPE(E137:E157,B137:B157)</x:f>
        <x:v>8.50407034243048</x:v>
      </x:c>
      <x:c r="J137" s="123" t="n">
        <x:f>RSQ(E137:E157,B137:B157)</x:f>
        <x:v>0.9992346973581696</x:v>
      </x:c>
      <x:c r="K137" s="117" t="n">
        <x:f>IF(I137&gt;0,'Config'!$B$17/I137,"")</x:f>
        <x:v>117.59074886887612</x:v>
      </x:c>
      <x:c r="L137" s="120" t="n">
        <x:f>MAX(D137:D157)</x:f>
        <x:v>0.00001336510564176209</x:v>
      </x:c>
      <x:c r="M137" s="120" t="str">
        <x:f>IF(AND(H137&gt;='Config'!$B$14,J137&gt;='Config'!$B$15,L137&lt;=$E$4,I137&gt;0),K137,"")</x:f>
      </x:c>
      <x:c r="N137" s="17" t="str">
        <x:f>IF(AND(M137&lt;&gt;"",ABS(M137-$G$4)&lt;='Config'!$B$22),"SELECTED","")</x:f>
      </x:c>
    </x:row>
    <x:row r="138">
      <x:c r="A138" s="15" t="n">
        <x:v>1137</x:v>
      </x:c>
      <x:c r="B138" s="117" t="n">
        <x:f>VALUE('Raw_Data'!I1137)</x:f>
        <x:v>0.4550000000000004</x:v>
      </x:c>
      <x:c r="C138" s="117" t="n">
        <x:f>ROUND(B138,'Config'!$B$25)</x:f>
        <x:v>0.455</x:v>
      </x:c>
      <x:c r="D138" s="120" t="n">
        <x:f>VALUE('Raw_Data'!J1137)</x:f>
        <x:v>0.000002104833631576693</x:v>
      </x:c>
      <x:c r="E138" s="117" t="n">
        <x:f>LN(ABS(D138))/LN(10)</x:f>
        <x:v>-5.676782225597246</x:v>
      </x:c>
      <x:c r="F138" s="117" t="n">
        <x:f>B138</x:f>
        <x:v>0.4550000000000004</x:v>
      </x:c>
      <x:c r="G138" s="117" t="n">
        <x:f>B158</x:f>
        <x:v>0.5550000000000005</x:v>
      </x:c>
      <x:c r="H138" s="117" t="n">
        <x:f>MAX(E138:E158)-MIN(E138:E158)</x:f>
        <x:v>0.8401011785836312</x:v>
      </x:c>
      <x:c r="I138" s="117" t="n">
        <x:f>SLOPE(E138:E158,B138:B158)</x:f>
        <x:v>8.415238009575344</x:v>
      </x:c>
      <x:c r="J138" s="123" t="n">
        <x:f>RSQ(E138:E158,B138:B158)</x:f>
        <x:v>0.9991745833045287</x:v>
      </x:c>
      <x:c r="K138" s="117" t="n">
        <x:f>IF(I138&gt;0,'Config'!$B$17/I138,"")</x:f>
        <x:v>118.83205191132352</x:v>
      </x:c>
      <x:c r="L138" s="120" t="n">
        <x:f>MAX(D138:D158)</x:f>
        <x:v>0.00001456528386198085</x:v>
      </x:c>
      <x:c r="M138" s="120" t="str">
        <x:f>IF(AND(H138&gt;='Config'!$B$14,J138&gt;='Config'!$B$15,L138&lt;=$E$4,I138&gt;0),K138,"")</x:f>
      </x:c>
      <x:c r="N138" s="17" t="str">
        <x:f>IF(AND(M138&lt;&gt;"",ABS(M138-$G$4)&lt;='Config'!$B$22),"SELECTED","")</x:f>
      </x:c>
    </x:row>
    <x:row r="139">
      <x:c r="A139" s="15" t="n">
        <x:v>1138</x:v>
      </x:c>
      <x:c r="B139" s="117" t="n">
        <x:f>VALUE('Raw_Data'!I1138)</x:f>
        <x:v>0.4600000000000004</x:v>
      </x:c>
      <x:c r="C139" s="117" t="n">
        <x:f>ROUND(B139,'Config'!$B$25)</x:f>
        <x:v>0.46</x:v>
      </x:c>
      <x:c r="D139" s="120" t="n">
        <x:f>VALUE('Raw_Data'!J1138)</x:f>
        <x:v>0.000002339803834458113</x:v>
      </x:c>
      <x:c r="E139" s="117" t="n">
        <x:f>LN(ABS(D139))/LN(10)</x:f>
        <x:v>-5.630820551642648</x:v>
      </x:c>
      <x:c r="F139" s="117" t="n">
        <x:f>B139</x:f>
        <x:v>0.4600000000000004</x:v>
      </x:c>
      <x:c r="G139" s="117" t="n">
        <x:f>B159</x:f>
        <x:v>0.5600000000000005</x:v>
      </x:c>
      <x:c r="H139" s="117" t="n">
        <x:f>MAX(E139:E159)-MIN(E139:E159)</x:f>
        <x:v>0.8308911429178032</x:v>
      </x:c>
      <x:c r="I139" s="117" t="n">
        <x:f>SLOPE(E139:E159,B139:B159)</x:f>
        <x:v>8.323975581335423</x:v>
      </x:c>
      <x:c r="J139" s="123" t="n">
        <x:f>RSQ(E139:E159,B139:B159)</x:f>
        <x:v>0.9991074150742926</x:v>
      </x:c>
      <x:c r="K139" s="117" t="n">
        <x:f>IF(I139&gt;0,'Config'!$B$17/I139,"")</x:f>
        <x:v>120.1349031155578</x:v>
      </x:c>
      <x:c r="L139" s="120" t="n">
        <x:f>MAX(D139:D159)</x:f>
        <x:v>0.00001585150825770279</x:v>
      </x:c>
      <x:c r="M139" s="120" t="str">
        <x:f>IF(AND(H139&gt;='Config'!$B$14,J139&gt;='Config'!$B$15,L139&lt;=$E$4,I139&gt;0),K139,"")</x:f>
      </x:c>
      <x:c r="N139" s="17" t="str">
        <x:f>IF(AND(M139&lt;&gt;"",ABS(M139-$G$4)&lt;='Config'!$B$22),"SELECTED","")</x:f>
      </x:c>
    </x:row>
    <x:row r="140">
      <x:c r="A140" s="15" t="n">
        <x:v>1139</x:v>
      </x:c>
      <x:c r="B140" s="117" t="n">
        <x:f>VALUE('Raw_Data'!I1139)</x:f>
        <x:v>0.4650000000000004</x:v>
      </x:c>
      <x:c r="C140" s="117" t="n">
        <x:f>ROUND(B140,'Config'!$B$25)</x:f>
        <x:v>0.465</x:v>
      </x:c>
      <x:c r="D140" s="120" t="n">
        <x:f>VALUE('Raw_Data'!J1139)</x:f>
        <x:v>0.000002598818489486496</x:v>
      </x:c>
      <x:c r="E140" s="117" t="n">
        <x:f>LN(ABS(D140))/LN(10)</x:f>
        <x:v>-5.585224052075441</x:v>
      </x:c>
      <x:c r="F140" s="117" t="n">
        <x:f>B140</x:f>
        <x:v>0.4650000000000004</x:v>
      </x:c>
      <x:c r="G140" s="117" t="n">
        <x:f>B160</x:f>
        <x:v>0.5650000000000005</x:v>
      </x:c>
      <x:c r="H140" s="117" t="n">
        <x:f>MAX(E140:E160)-MIN(E140:E160)</x:f>
        <x:v>0.8214372888549049</x:v>
      </x:c>
      <x:c r="I140" s="117" t="n">
        <x:f>SLOPE(E140:E160,B140:B160)</x:f>
        <x:v>8.230155244438686</x:v>
      </x:c>
      <x:c r="J140" s="123" t="n">
        <x:f>RSQ(E140:E160,B140:B160)</x:f>
        <x:v>0.9990327716191746</x:v>
      </x:c>
      <x:c r="K140" s="117" t="n">
        <x:f>IF(I140&gt;0,'Config'!$B$17/I140,"")</x:f>
        <x:v>121.50439090146253</x:v>
      </x:c>
      <x:c r="L140" s="120" t="n">
        <x:f>MAX(D140:D160)</x:f>
        <x:v>0.00001722714212860912</x:v>
      </x:c>
      <x:c r="M140" s="120" t="str">
        <x:f>IF(AND(H140&gt;='Config'!$B$14,J140&gt;='Config'!$B$15,L140&lt;=$E$4,I140&gt;0),K140,"")</x:f>
      </x:c>
      <x:c r="N140" s="17" t="str">
        <x:f>IF(AND(M140&lt;&gt;"",ABS(M140-$G$4)&lt;='Config'!$B$22),"SELECTED","")</x:f>
      </x:c>
    </x:row>
    <x:row r="141">
      <x:c r="A141" s="15" t="n">
        <x:v>1140</x:v>
      </x:c>
      <x:c r="B141" s="117" t="n">
        <x:f>VALUE('Raw_Data'!I1140)</x:f>
        <x:v>0.4700000000000004</x:v>
      </x:c>
      <x:c r="C141" s="117" t="n">
        <x:f>ROUND(B141,'Config'!$B$25)</x:f>
        <x:v>0.47</x:v>
      </x:c>
      <x:c r="D141" s="120" t="n">
        <x:f>VALUE('Raw_Data'!J1140)</x:f>
        <x:v>0.000002884049324936066</x:v>
      </x:c>
      <x:c r="E141" s="117" t="n">
        <x:f>LN(ABS(D141))/LN(10)</x:f>
        <x:v>-5.53999731629506</x:v>
      </x:c>
      <x:c r="F141" s="117" t="n">
        <x:f>B141</x:f>
        <x:v>0.4700000000000004</x:v>
      </x:c>
      <x:c r="G141" s="117" t="n">
        <x:f>B161</x:f>
        <x:v>0.5700000000000005</x:v>
      </x:c>
      <x:c r="H141" s="117" t="n">
        <x:f>MAX(E141:E161)-MIN(E141:E161)</x:f>
        <x:v>0.8117311663891638</x:v>
      </x:c>
      <x:c r="I141" s="117" t="n">
        <x:f>SLOPE(E141:E161,B141:B161)</x:f>
        <x:v>8.133668372467547</x:v>
      </x:c>
      <x:c r="J141" s="123" t="n">
        <x:f>RSQ(E141:E161,B141:B161)</x:f>
        <x:v>0.9989503034104057</x:v>
      </x:c>
      <x:c r="K141" s="117" t="n">
        <x:f>IF(I141&gt;0,'Config'!$B$17/I141,"")</x:f>
        <x:v>122.9457551263091</x:v>
      </x:c>
      <x:c r="L141" s="120" t="n">
        <x:f>MAX(D141:D161)</x:f>
        <x:v>0.00001869536076189657</x:v>
      </x:c>
      <x:c r="M141" s="120" t="str">
        <x:f>IF(AND(H141&gt;='Config'!$B$14,J141&gt;='Config'!$B$15,L141&lt;=$E$4,I141&gt;0),K141,"")</x:f>
      </x:c>
      <x:c r="N141" s="17" t="str">
        <x:f>IF(AND(M141&lt;&gt;"",ABS(M141-$G$4)&lt;='Config'!$B$22),"SELECTED","")</x:f>
      </x:c>
    </x:row>
    <x:row r="142">
      <x:c r="A142" s="15" t="n">
        <x:v>1141</x:v>
      </x:c>
      <x:c r="B142" s="117" t="n">
        <x:f>VALUE('Raw_Data'!I1141)</x:f>
        <x:v>0.4750000000000004</x:v>
      </x:c>
      <x:c r="C142" s="117" t="n">
        <x:f>ROUND(B142,'Config'!$B$25)</x:f>
        <x:v>0.475</x:v>
      </x:c>
      <x:c r="D142" s="120" t="n">
        <x:f>VALUE('Raw_Data'!J1141)</x:f>
        <x:v>0.000003197822149427569</x:v>
      </x:c>
      <x:c r="E142" s="117" t="n">
        <x:f>LN(ABS(D142))/LN(10)</x:f>
        <x:v>-5.495145693707373</x:v>
      </x:c>
      <x:c r="F142" s="117" t="n">
        <x:f>B142</x:f>
        <x:v>0.4750000000000004</x:v>
      </x:c>
      <x:c r="G142" s="117" t="n">
        <x:f>B162</x:f>
        <x:v>0.5750000000000005</x:v>
      </x:c>
      <x:c r="H142" s="117" t="n">
        <x:f>MAX(E142:E162)-MIN(E142:E162)</x:f>
        <x:v>0.8017662790725142</x:v>
      </x:c>
      <x:c r="I142" s="117" t="n">
        <x:f>SLOPE(E142:E162,B142:B162)</x:f>
        <x:v>8.034429174295118</x:v>
      </x:c>
      <x:c r="J142" s="123" t="n">
        <x:f>RSQ(E142:E162,B142:B162)</x:f>
        <x:v>0.9988597495570035</x:v>
      </x:c>
      <x:c r="K142" s="117" t="n">
        <x:f>IF(I142&gt;0,'Config'!$B$17/I142,"")</x:f>
        <x:v>124.46434940261112</x:v>
      </x:c>
      <x:c r="L142" s="120" t="n">
        <x:f>MAX(D142:D162)</x:f>
        <x:v>0.00002025912039554523</x:v>
      </x:c>
      <x:c r="M142" s="120" t="str">
        <x:f>IF(AND(H142&gt;='Config'!$B$14,J142&gt;='Config'!$B$15,L142&lt;=$E$4,I142&gt;0),K142,"")</x:f>
      </x:c>
      <x:c r="N142" s="17" t="str">
        <x:f>IF(AND(M142&lt;&gt;"",ABS(M142-$G$4)&lt;='Config'!$B$22),"SELECTED","")</x:f>
      </x:c>
    </x:row>
    <x:row r="143">
      <x:c r="A143" s="15" t="n">
        <x:v>1142</x:v>
      </x:c>
      <x:c r="B143" s="117" t="n">
        <x:f>VALUE('Raw_Data'!I1142)</x:f>
        <x:v>0.4800000000000004</x:v>
      </x:c>
      <x:c r="C143" s="117" t="n">
        <x:f>ROUND(B143,'Config'!$B$25)</x:f>
        <x:v>0.48</x:v>
      </x:c>
      <x:c r="D143" s="120" t="n">
        <x:f>VALUE('Raw_Data'!J1142)</x:f>
        <x:v>0.000003542620183286753</x:v>
      </x:c>
      <x:c r="E143" s="117" t="n">
        <x:f>LN(ABS(D143))/LN(10)</x:f>
        <x:v>-5.450675407402905</x:v>
      </x:c>
      <x:c r="F143" s="117" t="n">
        <x:f>B143</x:f>
        <x:v>0.4800000000000004</x:v>
      </x:c>
      <x:c r="G143" s="117" t="n">
        <x:f>B163</x:f>
        <x:v>0.5800000000000005</x:v>
      </x:c>
      <x:c r="H143" s="117" t="n">
        <x:f>MAX(E143:E163)-MIN(E143:E163)</x:f>
        <x:v>0.7915383341615803</x:v>
      </x:c>
      <x:c r="I143" s="117" t="n">
        <x:f>SLOPE(E143:E163,B143:B163)</x:f>
        <x:v>7.932377862029102</x:v>
      </x:c>
      <x:c r="J143" s="123" t="n">
        <x:f>RSQ(E143:E163,B143:B163)</x:f>
        <x:v>0.998760954210235</x:v>
      </x:c>
      <x:c r="K143" s="117" t="n">
        <x:f>IF(I143&gt;0,'Config'!$B$17/I143,"")</x:f>
        <x:v>126.06560320163568</x:v>
      </x:c>
      <x:c r="L143" s="120" t="n">
        <x:f>MAX(D143:D163)</x:f>
        <x:v>0.00002192112945321904</x:v>
      </x:c>
      <x:c r="M143" s="120" t="str">
        <x:f>IF(AND(H143&gt;='Config'!$B$14,J143&gt;='Config'!$B$15,L143&lt;=$E$4,I143&gt;0),K143,"")</x:f>
      </x:c>
      <x:c r="N143" s="17" t="str">
        <x:f>IF(AND(M143&lt;&gt;"",ABS(M143-$G$4)&lt;='Config'!$B$22),"SELECTED","")</x:f>
      </x:c>
    </x:row>
    <x:row r="144">
      <x:c r="A144" s="15" t="n">
        <x:v>1143</x:v>
      </x:c>
      <x:c r="B144" s="117" t="n">
        <x:f>VALUE('Raw_Data'!I1143)</x:f>
        <x:v>0.4850000000000004</x:v>
      </x:c>
      <x:c r="C144" s="117" t="n">
        <x:f>ROUND(B144,'Config'!$B$25)</x:f>
        <x:v>0.485</x:v>
      </x:c>
      <x:c r="D144" s="120" t="n">
        <x:f>VALUE('Raw_Data'!J1143)</x:f>
        <x:v>0.000003921085835950356</x:v>
      </x:c>
      <x:c r="E144" s="117" t="n">
        <x:f>LN(ABS(D144))/LN(10)</x:f>
        <x:v>-5.406593650515003</x:v>
      </x:c>
      <x:c r="F144" s="117" t="n">
        <x:f>B144</x:f>
        <x:v>0.4850000000000004</x:v>
      </x:c>
      <x:c r="G144" s="117" t="n">
        <x:f>B164</x:f>
        <x:v>0.5850000000000005</x:v>
      </x:c>
      <x:c r="H144" s="117" t="n">
        <x:f>MAX(E144:E164)-MIN(E144:E164)</x:f>
        <x:v>0.7810454510368094</x:v>
      </x:c>
      <x:c r="I144" s="117" t="n">
        <x:f>SLOPE(E144:E164,B144:B164)</x:f>
        <x:v>7.827483242364233</x:v>
      </x:c>
      <x:c r="J144" s="123" t="n">
        <x:f>RSQ(E144:E164,B144:B164)</x:f>
        <x:v>0.9986538813738857</x:v>
      </x:c>
      <x:c r="K144" s="117" t="n">
        <x:f>IF(I144&gt;0,'Config'!$B$17/I144,"")</x:f>
        <x:v>127.75498446138576</x:v>
      </x:c>
      <x:c r="L144" s="120" t="n">
        <x:f>MAX(D144:D164)</x:f>
        <x:v>0.00002368382266081207</x:v>
      </x:c>
      <x:c r="M144" s="120" t="str">
        <x:f>IF(AND(H144&gt;='Config'!$B$14,J144&gt;='Config'!$B$15,L144&lt;=$E$4,I144&gt;0),K144,"")</x:f>
      </x:c>
      <x:c r="N144" s="17" t="str">
        <x:f>IF(AND(M144&lt;&gt;"",ABS(M144-$G$4)&lt;='Config'!$B$22),"SELECTED","")</x:f>
      </x:c>
    </x:row>
    <x:row r="145">
      <x:c r="A145" s="15" t="n">
        <x:v>1144</x:v>
      </x:c>
      <x:c r="B145" s="117" t="n">
        <x:f>VALUE('Raw_Data'!I1144)</x:f>
        <x:v>0.4900000000000004</x:v>
      </x:c>
      <x:c r="C145" s="117" t="n">
        <x:f>ROUND(B145,'Config'!$B$25)</x:f>
        <x:v>0.49</x:v>
      </x:c>
      <x:c r="D145" s="120" t="n">
        <x:f>VALUE('Raw_Data'!J1144)</x:f>
        <x:v>0.000004336020624975936</x:v>
      </x:c>
      <x:c r="E145" s="117" t="n">
        <x:f>LN(ABS(D145))/LN(10)</x:f>
        <x:v>-5.3629086606735585</x:v>
      </x:c>
      <x:c r="F145" s="117" t="n">
        <x:f>B145</x:f>
        <x:v>0.4900000000000004</x:v>
      </x:c>
      <x:c r="G145" s="117" t="n">
        <x:f>B165</x:f>
        <x:v>0.5900000000000005</x:v>
      </x:c>
      <x:c r="H145" s="117" t="n">
        <x:f>MAX(E145:E165)-MIN(E145:E165)</x:f>
        <x:v>0.7702883222512558</x:v>
      </x:c>
      <x:c r="I145" s="117" t="n">
        <x:f>SLOPE(E145:E165,B145:B165)</x:f>
        <x:v>7.719744656050308</x:v>
      </x:c>
      <x:c r="J145" s="123" t="n">
        <x:f>RSQ(E145:E165,B145:B165)</x:f>
        <x:v>0.9985386272490655</x:v>
      </x:c>
      <x:c r="K145" s="117" t="n">
        <x:f>IF(I145&gt;0,'Config'!$B$17/I145,"")</x:f>
        <x:v>129.5379633076666</x:v>
      </x:c>
      <x:c r="L145" s="120" t="n">
        <x:f>MAX(D145:D165)</x:f>
        <x:v>0.00002554933857736896</x:v>
      </x:c>
      <x:c r="M145" s="120" t="str">
        <x:f>IF(AND(H145&gt;='Config'!$B$14,J145&gt;='Config'!$B$15,L145&lt;=$E$4,I145&gt;0),K145,"")</x:f>
      </x:c>
      <x:c r="N145" s="17" t="str">
        <x:f>IF(AND(M145&lt;&gt;"",ABS(M145-$G$4)&lt;='Config'!$B$22),"SELECTED","")</x:f>
      </x:c>
    </x:row>
    <x:row r="146">
      <x:c r="A146" s="15" t="n">
        <x:v>1145</x:v>
      </x:c>
      <x:c r="B146" s="117" t="n">
        <x:f>VALUE('Raw_Data'!I1145)</x:f>
        <x:v>0.4950000000000004</x:v>
      </x:c>
      <x:c r="C146" s="117" t="n">
        <x:f>ROUND(B146,'Config'!$B$25)</x:f>
        <x:v>0.495</x:v>
      </x:c>
      <x:c r="D146" s="120" t="n">
        <x:f>VALUE('Raw_Data'!J1145)</x:f>
        <x:v>0.000004790382934131968</x:v>
      </x:c>
      <x:c r="E146" s="117" t="n">
        <x:f>LN(ABS(D146))/LN(10)</x:f>
        <x:v>-5.319629768520057</x:v>
      </x:c>
      <x:c r="F146" s="117" t="n">
        <x:f>B146</x:f>
        <x:v>0.4950000000000004</x:v>
      </x:c>
      <x:c r="G146" s="117" t="n">
        <x:f>B166</x:f>
        <x:v>0.5950000000000005</x:v>
      </x:c>
      <x:c r="H146" s="117" t="n">
        <x:f>MAX(E146:E166)-MIN(E146:E166)</x:f>
        <x:v>0.7592703229161977</x:v>
      </x:c>
      <x:c r="I146" s="117" t="n">
        <x:f>SLOPE(E146:E166,B146:B166)</x:f>
        <x:v>7.609193213722774</x:v>
      </x:c>
      <x:c r="J146" s="123" t="n">
        <x:f>RSQ(E146:E166,B146:B166)</x:f>
        <x:v>0.9984154293220543</x:v>
      </x:c>
      <x:c r="K146" s="117" t="n">
        <x:f>IF(I146&gt;0,'Config'!$B$17/I146,"")</x:f>
        <x:v>131.4199773763864</x:v>
      </x:c>
      <x:c r="L146" s="120" t="n">
        <x:f>MAX(D146:D166)</x:f>
        <x:v>0.00002751950097767965</x:v>
      </x:c>
      <x:c r="M146" s="120" t="str">
        <x:f>IF(AND(H146&gt;='Config'!$B$14,J146&gt;='Config'!$B$15,L146&lt;=$E$4,I146&gt;0),K146,"")</x:f>
      </x:c>
      <x:c r="N146" s="17" t="str">
        <x:f>IF(AND(M146&lt;&gt;"",ABS(M146-$G$4)&lt;='Config'!$B$22),"SELECTED","")</x:f>
      </x:c>
    </x:row>
    <x:row r="147">
      <x:c r="A147" s="15" t="n">
        <x:v>1146</x:v>
      </x:c>
      <x:c r="B147" s="117" t="n">
        <x:f>VALUE('Raw_Data'!I1146)</x:f>
        <x:v>0.5000000000000004</x:v>
      </x:c>
      <x:c r="C147" s="117" t="n">
        <x:f>ROUND(B147,'Config'!$B$25)</x:f>
        <x:v>0.5</x:v>
      </x:c>
      <x:c r="D147" s="120" t="n">
        <x:f>VALUE('Raw_Data'!J1146)</x:f>
        <x:v>0.000005287283322437928</x:v>
      </x:c>
      <x:c r="E147" s="117" t="n">
        <x:f>LN(ABS(D147))/LN(10)</x:f>
        <x:v>-5.276767417025453</x:v>
      </x:c>
      <x:c r="F147" s="117" t="n">
        <x:f>B147</x:f>
        <x:v>0.5000000000000004</x:v>
      </x:c>
      <x:c r="G147" s="117" t="n">
        <x:f>B167</x:f>
        <x:v>0.6000000000000005</x:v>
      </x:c>
      <x:c r="H147" s="117" t="n">
        <x:f>MAX(E147:E167)-MIN(E147:E167)</x:f>
        <x:v>0.7479975656305937</x:v>
      </x:c>
      <x:c r="I147" s="117" t="n">
        <x:f>SLOPE(E147:E167,B147:B167)</x:f>
        <x:v>7.495892301449481</x:v>
      </x:c>
      <x:c r="J147" s="123" t="n">
        <x:f>RSQ(E147:E167,B147:B167)</x:f>
        <x:v>0.9982846715477443</x:v>
      </x:c>
      <x:c r="K147" s="117" t="n">
        <x:f>IF(I147&gt;0,'Config'!$B$17/I147,"")</x:f>
        <x:v>133.40639910296335</x:v>
      </x:c>
      <x:c r="L147" s="120" t="n">
        <x:f>MAX(D147:D167)</x:f>
        <x:v>0.00002959580441483823</x:v>
      </x:c>
      <x:c r="M147" s="120" t="str">
        <x:f>IF(AND(H147&gt;='Config'!$B$14,J147&gt;='Config'!$B$15,L147&lt;=$E$4,I147&gt;0),K147,"")</x:f>
      </x:c>
      <x:c r="N147" s="17" t="str">
        <x:f>IF(AND(M147&lt;&gt;"",ABS(M147-$G$4)&lt;='Config'!$B$22),"SELECTED","")</x:f>
      </x:c>
    </x:row>
    <x:row r="148">
      <x:c r="A148" s="15" t="n">
        <x:v>1147</x:v>
      </x:c>
      <x:c r="B148" s="117" t="n">
        <x:f>VALUE('Raw_Data'!I1147)</x:f>
        <x:v>0.5050000000000004</x:v>
      </x:c>
      <x:c r="C148" s="117" t="n">
        <x:f>ROUND(B148,'Config'!$B$25)</x:f>
        <x:v>0.505</x:v>
      </x:c>
      <x:c r="D148" s="120" t="n">
        <x:f>VALUE('Raw_Data'!J1147)</x:f>
        <x:v>0.000005829977124361596</x:v>
      </x:c>
      <x:c r="E148" s="117" t="n">
        <x:f>LN(ABS(D148))/LN(10)</x:f>
        <x:v>-5.234333149320405</x:v>
      </x:c>
      <x:c r="F148" s="117" t="n">
        <x:f>B148</x:f>
        <x:v>0.5050000000000004</x:v>
      </x:c>
      <x:c r="G148" s="117" t="n">
        <x:f>B168</x:f>
        <x:v>0.6050000000000005</x:v>
      </x:c>
      <x:c r="H148" s="117" t="n">
        <x:f>MAX(E148:E168)-MIN(E148:E168)</x:f>
        <x:v>0.7364788997578966</x:v>
      </x:c>
      <x:c r="I148" s="117" t="n">
        <x:f>SLOPE(E148:E168,B148:B168)</x:f>
        <x:v>7.379937354796689</x:v>
      </x:c>
      <x:c r="J148" s="123" t="n">
        <x:f>RSQ(E148:E168,B148:B168)</x:f>
        <x:v>0.9981468851768228</x:v>
      </x:c>
      <x:c r="K148" s="117" t="n">
        <x:f>IF(I148&gt;0,'Config'!$B$17/I148,"")</x:f>
        <x:v>135.5025052279118</x:v>
      </x:c>
      <x:c r="L148" s="120" t="n">
        <x:f>MAX(D148:D168)</x:f>
        <x:v>0.00003177940417358866</x:v>
      </x:c>
      <x:c r="M148" s="120" t="str">
        <x:f>IF(AND(H148&gt;='Config'!$B$14,J148&gt;='Config'!$B$15,L148&lt;=$E$4,I148&gt;0),K148,"")</x:f>
      </x:c>
      <x:c r="N148" s="17" t="str">
        <x:f>IF(AND(M148&lt;&gt;"",ABS(M148-$G$4)&lt;='Config'!$B$22),"SELECTED","")</x:f>
      </x:c>
    </x:row>
    <x:row r="149">
      <x:c r="A149" s="15" t="n">
        <x:v>1148</x:v>
      </x:c>
      <x:c r="B149" s="117" t="n">
        <x:f>VALUE('Raw_Data'!I1148)</x:f>
        <x:v>0.5100000000000005</x:v>
      </x:c>
      <x:c r="C149" s="117" t="n">
        <x:f>ROUND(B149,'Config'!$B$25)</x:f>
        <x:v>0.51</x:v>
      </x:c>
      <x:c r="D149" s="120" t="n">
        <x:f>VALUE('Raw_Data'!J1148)</x:f>
        <x:v>0.000006421854124527282</x:v>
      </x:c>
      <x:c r="E149" s="117" t="n">
        <x:f>LN(ABS(D149))/LN(10)</x:f>
        <x:v>-5.1923395638633165</x:v>
      </x:c>
      <x:c r="F149" s="117" t="n">
        <x:f>B149</x:f>
        <x:v>0.5100000000000005</x:v>
      </x:c>
      <x:c r="G149" s="117" t="n">
        <x:f>B169</x:f>
        <x:v>0.6100000000000005</x:v>
      </x:c>
      <x:c r="H149" s="117" t="n">
        <x:f>MAX(E149:E169)-MIN(E149:E169)</x:f>
        <x:v>0.7247258554899769</x:v>
      </x:c>
      <x:c r="I149" s="117" t="n">
        <x:f>SLOPE(E149:E169,B149:B169)</x:f>
        <x:v>7.261454924815142</x:v>
      </x:c>
      <x:c r="J149" s="123" t="n">
        <x:f>RSQ(E149:E169,B149:B169)</x:f>
        <x:v>0.9980027450043797</x:v>
      </x:c>
      <x:c r="K149" s="117" t="n">
        <x:f>IF(I149&gt;0,'Config'!$B$17/I149,"")</x:f>
        <x:v>137.7134486620059</x:v>
      </x:c>
      <x:c r="L149" s="120" t="n">
        <x:f>MAX(D149:D169)</x:f>
        <x:v>0.00003407111070470726</x:v>
      </x:c>
      <x:c r="M149" s="120" t="str">
        <x:f>IF(AND(H149&gt;='Config'!$B$14,J149&gt;='Config'!$B$15,L149&lt;=$E$4,I149&gt;0),K149,"")</x:f>
      </x:c>
      <x:c r="N149" s="17" t="str">
        <x:f>IF(AND(M149&lt;&gt;"",ABS(M149-$G$4)&lt;='Config'!$B$22),"SELECTED","")</x:f>
      </x:c>
    </x:row>
    <x:row r="150">
      <x:c r="A150" s="15" t="n">
        <x:v>1149</x:v>
      </x:c>
      <x:c r="B150" s="117" t="n">
        <x:f>VALUE('Raw_Data'!I1149)</x:f>
        <x:v>0.5150000000000005</x:v>
      </x:c>
      <x:c r="C150" s="117" t="n">
        <x:f>ROUND(B150,'Config'!$B$25)</x:f>
        <x:v>0.515</x:v>
      </x:c>
      <x:c r="D150" s="120" t="n">
        <x:f>VALUE('Raw_Data'!J1149)</x:f>
        <x:v>0.000007066425148395598</x:v>
      </x:c>
      <x:c r="E150" s="117" t="n">
        <x:f>LN(ABS(D150))/LN(10)</x:f>
        <x:v>-5.1508002369765045</x:v>
      </x:c>
      <x:c r="F150" s="117" t="n">
        <x:f>B150</x:f>
        <x:v>0.5150000000000005</x:v>
      </x:c>
      <x:c r="G150" s="117" t="n">
        <x:f>B170</x:f>
        <x:v>0.6150000000000005</x:v>
      </x:c>
      <x:c r="H150" s="117" t="n">
        <x:f>MAX(E150:E170)-MIN(E150:E170)</x:f>
        <x:v>0.7127525347492654</x:v>
      </x:c>
      <x:c r="I150" s="117" t="n">
        <x:f>SLOPE(E150:E170,B150:B170)</x:f>
        <x:v>7.140601081987339</x:v>
      </x:c>
      <x:c r="J150" s="123" t="n">
        <x:f>RSQ(E150:E170,B150:B170)</x:f>
        <x:v>0.997853061061212</x:v>
      </x:c>
      <x:c r="K150" s="117" t="n">
        <x:f>IF(I150&gt;0,'Config'!$B$17/I150,"")</x:f>
        <x:v>140.04423276390125</x:v>
      </x:c>
      <x:c r="L150" s="120" t="n">
        <x:f>MAX(D150:D170)</x:f>
        <x:v>0.00003647138851222661</x:v>
      </x:c>
      <x:c r="M150" s="120" t="str">
        <x:f>IF(AND(H150&gt;='Config'!$B$14,J150&gt;='Config'!$B$15,L150&lt;=$E$4,I150&gt;0),K150,"")</x:f>
      </x:c>
      <x:c r="N150" s="17" t="str">
        <x:f>IF(AND(M150&lt;&gt;"",ABS(M150-$G$4)&lt;='Config'!$B$22),"SELECTED","")</x:f>
      </x:c>
    </x:row>
    <x:row r="151">
      <x:c r="A151" s="15" t="n">
        <x:v>1150</x:v>
      </x:c>
      <x:c r="B151" s="117" t="n">
        <x:f>VALUE('Raw_Data'!I1150)</x:f>
        <x:v>0.5200000000000005</x:v>
      </x:c>
      <x:c r="C151" s="117" t="n">
        <x:f>ROUND(B151,'Config'!$B$25)</x:f>
        <x:v>0.52</x:v>
      </x:c>
      <x:c r="D151" s="120" t="n">
        <x:f>VALUE('Raw_Data'!J1150)</x:f>
        <x:v>0.000007767305482719421</x:v>
      </x:c>
      <x:c r="E151" s="117" t="n">
        <x:f>LN(ABS(D151))/LN(10)</x:f>
        <x:v>-5.109729614009823</x:v>
      </x:c>
      <x:c r="F151" s="117" t="n">
        <x:f>B151</x:f>
        <x:v>0.5200000000000005</x:v>
      </x:c>
      <x:c r="G151" s="117" t="n">
        <x:f>B171</x:f>
        <x:v>0.6200000000000006</x:v>
      </x:c>
      <x:c r="H151" s="117" t="n">
        <x:f>MAX(E151:E171)-MIN(E151:E171)</x:f>
        <x:v>0.7005754525023935</x:v>
      </x:c>
      <x:c r="I151" s="117" t="n">
        <x:f>SLOPE(E151:E171,B151:B171)</x:f>
        <x:v>7.017559223917183</x:v>
      </x:c>
      <x:c r="J151" s="123" t="n">
        <x:f>RSQ(E151:E171,B151:B171)</x:f>
        <x:v>0.9976987660068766</x:v>
      </x:c>
      <x:c r="K151" s="117" t="n">
        <x:f>IF(I151&gt;0,'Config'!$B$17/I151,"")</x:f>
        <x:v>142.49968801001478</x:v>
      </x:c>
      <x:c r="L151" s="120" t="n">
        <x:f>MAX(D151:D171)</x:f>
        <x:v>0.00003898035935380108</x:v>
      </x:c>
      <x:c r="M151" s="120" t="str">
        <x:f>IF(AND(H151&gt;='Config'!$B$14,J151&gt;='Config'!$B$15,L151&lt;=$E$4,I151&gt;0),K151,"")</x:f>
      </x:c>
      <x:c r="N151" s="17" t="str">
        <x:f>IF(AND(M151&lt;&gt;"",ABS(M151-$G$4)&lt;='Config'!$B$22),"SELECTED","")</x:f>
      </x:c>
    </x:row>
    <x:row r="152">
      <x:c r="A152" s="15" t="n">
        <x:v>1151</x:v>
      </x:c>
      <x:c r="B152" s="117" t="n">
        <x:f>VALUE('Raw_Data'!I1151)</x:f>
        <x:v>0.5250000000000005</x:v>
      </x:c>
      <x:c r="C152" s="117" t="n">
        <x:f>ROUND(B152,'Config'!$B$25)</x:f>
        <x:v>0.525</x:v>
      </x:c>
      <x:c r="D152" s="120" t="n">
        <x:f>VALUE('Raw_Data'!J1151)</x:f>
        <x:v>0.000008528195124520029</x:v>
      </x:c>
      <x:c r="E152" s="117" t="n">
        <x:f>LN(ABS(D152))/LN(10)</x:f>
        <x:v>-5.069142871575842</x:v>
      </x:c>
      <x:c r="F152" s="117" t="n">
        <x:f>B152</x:f>
        <x:v>0.5250000000000005</x:v>
      </x:c>
      <x:c r="G152" s="117" t="n">
        <x:f>B172</x:f>
        <x:v>0.6250000000000006</x:v>
      </x:c>
      <x:c r="H152" s="117" t="n">
        <x:f>MAX(E152:E172)-MIN(E152:E172)</x:f>
        <x:v>0.6882133334287799</x:v>
      </x:c>
      <x:c r="I152" s="117" t="n">
        <x:f>SLOPE(E152:E172,B152:B172)</x:f>
        <x:v>6.8925373686439375</x:v>
      </x:c>
      <x:c r="J152" s="123" t="n">
        <x:f>RSQ(E152:E172,B152:B172)</x:f>
        <x:v>0.9975408986975219</x:v>
      </x:c>
      <x:c r="K152" s="117" t="n">
        <x:f>IF(I152&gt;0,'Config'!$B$17/I152,"")</x:f>
        <x:v>145.0844509816192</x:v>
      </x:c>
      <x:c r="L152" s="120" t="n">
        <x:f>MAX(D152:D172)</x:f>
        <x:v>0.00004159780951409044</x:v>
      </x:c>
      <x:c r="M152" s="120" t="str">
        <x:f>IF(AND(H152&gt;='Config'!$B$14,J152&gt;='Config'!$B$15,L152&lt;=$E$4,I152&gt;0),K152,"")</x:f>
      </x:c>
      <x:c r="N152" s="17" t="str">
        <x:f>IF(AND(M152&lt;&gt;"",ABS(M152-$G$4)&lt;='Config'!$B$22),"SELECTED","")</x:f>
      </x:c>
    </x:row>
    <x:row r="153">
      <x:c r="A153" s="15" t="n">
        <x:v>1152</x:v>
      </x:c>
      <x:c r="B153" s="117" t="n">
        <x:f>VALUE('Raw_Data'!I1152)</x:f>
        <x:v>0.5300000000000005</x:v>
      </x:c>
      <x:c r="C153" s="117" t="n">
        <x:f>ROUND(B153,'Config'!$B$25)</x:f>
        <x:v>0.53</x:v>
      </x:c>
      <x:c r="D153" s="120" t="n">
        <x:f>VALUE('Raw_Data'!J1152)</x:f>
        <x:v>0.000009352855952248095</x:v>
      </x:c>
      <x:c r="E153" s="117" t="n">
        <x:f>LN(ABS(D153))/LN(10)</x:f>
        <x:v>-5.029055754377502</x:v>
      </x:c>
      <x:c r="F153" s="117" t="n">
        <x:f>B153</x:f>
        <x:v>0.5300000000000005</x:v>
      </x:c>
      <x:c r="G153" s="117" t="n">
        <x:f>B173</x:f>
        <x:v>0.6300000000000006</x:v>
      </x:c>
      <x:c r="H153" s="117" t="n">
        <x:f>MAX(E153:E173)-MIN(E153:E173)</x:f>
        <x:v>0.6756868700506802</x:v>
      </x:c>
      <x:c r="I153" s="117" t="n">
        <x:f>SLOPE(E153:E173,B153:B173)</x:f>
        <x:v>6.765765027426125</x:v>
      </x:c>
      <x:c r="J153" s="123" t="n">
        <x:f>RSQ(E153:E173,B153:B173)</x:f>
        <x:v>0.9973805845776523</x:v>
      </x:c>
      <x:c r="K153" s="117" t="n">
        <x:f>IF(I153&gt;0,'Config'!$B$17/I153,"")</x:f>
        <x:v>147.80294555698254</x:v>
      </x:c>
      <x:c r="L153" s="120" t="n">
        <x:f>MAX(D153:D173)</x:f>
        <x:v>0.00004432320082488004</x:v>
      </x:c>
      <x:c r="M153" s="120" t="str">
        <x:f>IF(AND(H153&gt;='Config'!$B$14,J153&gt;='Config'!$B$15,L153&lt;=$E$4,I153&gt;0),K153,"")</x:f>
      </x:c>
      <x:c r="N153" s="17" t="str">
        <x:f>IF(AND(M153&lt;&gt;"",ABS(M153-$G$4)&lt;='Config'!$B$22),"SELECTED","")</x:f>
      </x:c>
    </x:row>
    <x:row r="154">
      <x:c r="A154" s="15" t="n">
        <x:v>1153</x:v>
      </x:c>
      <x:c r="B154" s="117" t="n">
        <x:f>VALUE('Raw_Data'!I1153)</x:f>
        <x:v>0.5350000000000005</x:v>
      </x:c>
      <x:c r="C154" s="117" t="n">
        <x:f>ROUND(B154,'Config'!$B$25)</x:f>
        <x:v>0.535</x:v>
      </x:c>
      <x:c r="D154" s="120" t="n">
        <x:f>VALUE('Raw_Data'!J1153)</x:f>
        <x:v>0.00001024508601424879</x:v>
      </x:c>
      <x:c r="E154" s="117" t="n">
        <x:f>LN(ABS(D154))/LN(10)</x:f>
        <x:v>-4.989484391059095</x:v>
      </x:c>
      <x:c r="F154" s="117" t="n">
        <x:f>B154</x:f>
        <x:v>0.5350000000000005</x:v>
      </x:c>
      <x:c r="G154" s="117" t="n">
        <x:f>B174</x:f>
        <x:v>0.6350000000000006</x:v>
      </x:c>
      <x:c r="H154" s="117" t="n">
        <x:f>MAX(E154:E174)-MIN(E154:E174)</x:f>
        <x:v>0.6630184493409024</x:v>
      </x:c>
      <x:c r="I154" s="117" t="n">
        <x:f>SLOPE(E154:E174,B154:B174)</x:f>
        <x:v>6.6374897584210455</x:v>
      </x:c>
      <x:c r="J154" s="123" t="n">
        <x:f>RSQ(E154:E174,B154:B174)</x:f>
        <x:v>0.9972190136735446</x:v>
      </x:c>
      <x:c r="K154" s="117" t="n">
        <x:f>IF(I154&gt;0,'Config'!$B$17/I154,"")</x:f>
        <x:v>150.65936617548684</x:v>
      </x:c>
      <x:c r="L154" s="120" t="n">
        <x:f>MAX(D154:D174)</x:f>
        <x:v>0.00004715568503611357</x:v>
      </x:c>
      <x:c r="M154" s="120" t="str">
        <x:f>IF(AND(H154&gt;='Config'!$B$14,J154&gt;='Config'!$B$15,L154&lt;=$E$4,I154&gt;0),K154,"")</x:f>
      </x:c>
      <x:c r="N154" s="17" t="str">
        <x:f>IF(AND(M154&lt;&gt;"",ABS(M154-$G$4)&lt;='Config'!$B$22),"SELECTED","")</x:f>
      </x:c>
    </x:row>
    <x:row r="155">
      <x:c r="A155" s="15" t="n">
        <x:v>1154</x:v>
      </x:c>
      <x:c r="B155" s="117" t="n">
        <x:f>VALUE('Raw_Data'!I1154)</x:f>
        <x:v>0.5400000000000005</x:v>
      </x:c>
      <x:c r="C155" s="117" t="n">
        <x:f>ROUND(B155,'Config'!$B$25)</x:f>
        <x:v>0.54</x:v>
      </x:c>
      <x:c r="D155" s="120" t="n">
        <x:f>VALUE('Raw_Data'!J1154)</x:f>
        <x:v>0.00001120869123336195</x:v>
      </x:c>
      <x:c r="E155" s="117" t="n">
        <x:f>LN(ABS(D155))/LN(10)</x:f>
        <x:v>-4.95044509421246</x:v>
      </x:c>
      <x:c r="F155" s="117" t="n">
        <x:f>B155</x:f>
        <x:v>0.5400000000000005</x:v>
      </x:c>
      <x:c r="G155" s="117" t="n">
        <x:f>B175</x:f>
        <x:v>0.6400000000000006</x:v>
      </x:c>
      <x:c r="H155" s="117" t="n">
        <x:f>MAX(E155:E175)-MIN(E155:E175)</x:f>
        <x:v>0.6502318554516942</x:v>
      </x:c>
      <x:c r="I155" s="117" t="n">
        <x:f>SLOPE(E155:E175,B155:B175)</x:f>
        <x:v>6.5079735058880255</x:v>
      </x:c>
      <x:c r="J155" s="123" t="n">
        <x:f>RSQ(E155:E175,B155:B175)</x:f>
        <x:v>0.9970574170423192</x:v>
      </x:c>
      <x:c r="K155" s="117" t="n">
        <x:f>IF(I155&gt;0,'Config'!$B$17/I155,"")</x:f>
        <x:v>153.65766303370162</x:v>
      </x:c>
      <x:c r="L155" s="120" t="n">
        <x:f>MAX(D155:D175)</x:f>
        <x:v>0.0000500941210902771</x:v>
      </x:c>
      <x:c r="M155" s="120" t="str">
        <x:f>IF(AND(H155&gt;='Config'!$B$14,J155&gt;='Config'!$B$15,L155&lt;=$E$4,I155&gt;0),K155,"")</x:f>
      </x:c>
      <x:c r="N155" s="17" t="str">
        <x:f>IF(AND(M155&lt;&gt;"",ABS(M155-$G$4)&lt;='Config'!$B$22),"SELECTED","")</x:f>
      </x:c>
    </x:row>
    <x:row r="156">
      <x:c r="A156" s="15" t="n">
        <x:v>1155</x:v>
      </x:c>
      <x:c r="B156" s="117" t="n">
        <x:f>VALUE('Raw_Data'!I1155)</x:f>
        <x:v>0.5450000000000005</x:v>
      </x:c>
      <x:c r="C156" s="117" t="n">
        <x:f>ROUND(B156,'Config'!$B$25)</x:f>
        <x:v>0.545</x:v>
      </x:c>
      <x:c r="D156" s="120" t="n">
        <x:f>VALUE('Raw_Data'!J1155)</x:f>
        <x:v>0.00001224745492774779</x:v>
      </x:c>
      <x:c r="E156" s="117" t="n">
        <x:f>LN(ABS(D156))/LN(10)</x:f>
        <x:v>-4.911954150129761</x:v>
      </x:c>
      <x:c r="F156" s="117" t="n">
        <x:f>B156</x:f>
        <x:v>0.5450000000000005</x:v>
      </x:c>
      <x:c r="G156" s="117" t="n">
        <x:f>B176</x:f>
        <x:v>0.6450000000000006</x:v>
      </x:c>
      <x:c r="H156" s="117" t="n">
        <x:f>MAX(E156:E176)-MIN(E156:E176)</x:f>
        <x:v>0.6369266539794438</x:v>
      </x:c>
      <x:c r="I156" s="117" t="n">
        <x:f>SLOPE(E156:E176,B156:B176)</x:f>
        <x:v>6.376384146632706</x:v>
      </x:c>
      <x:c r="J156" s="123" t="n">
        <x:f>RSQ(E156:E176,B156:B176)</x:f>
        <x:v>0.996873136984631</x:v>
      </x:c>
      <x:c r="K156" s="117" t="n">
        <x:f>IF(I156&gt;0,'Config'!$B$17/I156,"")</x:f>
        <x:v>156.82869428876683</x:v>
      </x:c>
      <x:c r="L156" s="120" t="n">
        <x:f>MAX(D156:D176)</x:f>
        <x:v>0.00005308508338191492</x:v>
      </x:c>
      <x:c r="M156" s="120" t="str">
        <x:f>IF(AND(H156&gt;='Config'!$B$14,J156&gt;='Config'!$B$15,L156&lt;=$E$4,I156&gt;0),K156,"")</x:f>
      </x:c>
      <x:c r="N156" s="17" t="str">
        <x:f>IF(AND(M156&lt;&gt;"",ABS(M156-$G$4)&lt;='Config'!$B$22),"SELECTED","")</x:f>
      </x:c>
    </x:row>
    <x:row r="157">
      <x:c r="A157" s="15" t="n">
        <x:v>1156</x:v>
      </x:c>
      <x:c r="B157" s="117" t="n">
        <x:f>VALUE('Raw_Data'!I1156)</x:f>
        <x:v>0.5500000000000005</x:v>
      </x:c>
      <x:c r="C157" s="117" t="n">
        <x:f>ROUND(B157,'Config'!$B$25)</x:f>
        <x:v>0.55</x:v>
      </x:c>
      <x:c r="D157" s="120" t="n">
        <x:f>VALUE('Raw_Data'!J1156)</x:f>
        <x:v>0.00001336510564176209</x:v>
      </x:c>
      <x:c r="E157" s="117" t="n">
        <x:f>LN(ABS(D157))/LN(10)</x:f>
        <x:v>-4.874027604101382</x:v>
      </x:c>
      <x:c r="F157" s="117" t="n">
        <x:f>B157</x:f>
        <x:v>0.5500000000000005</x:v>
      </x:c>
      <x:c r="G157" s="117" t="n">
        <x:f>B177</x:f>
        <x:v>0.6500000000000006</x:v>
      </x:c>
      <x:c r="H157" s="117" t="n">
        <x:f>MAX(E157:E177)-MIN(E157:E177)</x:f>
        <x:v>0.6240096051211861</x:v>
      </x:c>
      <x:c r="I157" s="117" t="n">
        <x:f>SLOPE(E157:E177,B157:B177)</x:f>
        <x:v>6.244295503883559</x:v>
      </x:c>
      <x:c r="J157" s="123" t="n">
        <x:f>RSQ(E157:E177,B157:B177)</x:f>
        <x:v>0.9966982480385735</x:v>
      </x:c>
      <x:c r="K157" s="117" t="n">
        <x:f>IF(I157&gt;0,'Config'!$B$17/I157,"")</x:f>
        <x:v>160.1461685114138</x:v>
      </x:c>
      <x:c r="L157" s="120" t="n">
        <x:f>MAX(D157:D177)</x:f>
        <x:v>0.00005623180198962222</x:v>
      </x:c>
      <x:c r="M157" s="120" t="str">
        <x:f>IF(AND(H157&gt;='Config'!$B$14,J157&gt;='Config'!$B$15,L157&lt;=$E$4,I157&gt;0),K157,"")</x:f>
      </x:c>
      <x:c r="N157" s="17" t="str">
        <x:f>IF(AND(M157&lt;&gt;"",ABS(M157-$G$4)&lt;='Config'!$B$22),"SELECTED","")</x:f>
      </x:c>
    </x:row>
    <x:row r="158">
      <x:c r="A158" s="15" t="n">
        <x:v>1157</x:v>
      </x:c>
      <x:c r="B158" s="117" t="n">
        <x:f>VALUE('Raw_Data'!I1157)</x:f>
        <x:v>0.5550000000000005</x:v>
      </x:c>
      <x:c r="C158" s="117" t="n">
        <x:f>ROUND(B158,'Config'!$B$25)</x:f>
        <x:v>0.555</x:v>
      </x:c>
      <x:c r="D158" s="120" t="n">
        <x:f>VALUE('Raw_Data'!J1157)</x:f>
        <x:v>0.00001456528386198085</x:v>
      </x:c>
      <x:c r="E158" s="117" t="n">
        <x:f>LN(ABS(D158))/LN(10)</x:f>
        <x:v>-4.836681047013615</x:v>
      </x:c>
      <x:c r="F158" s="117" t="n">
        <x:f>B158</x:f>
        <x:v>0.5550000000000005</x:v>
      </x:c>
      <x:c r="G158" s="117" t="n">
        <x:f>B178</x:f>
        <x:v>0.6550000000000006</x:v>
      </x:c>
      <x:c r="H158" s="117" t="n">
        <x:f>MAX(E158:E178)-MIN(E158:E178)</x:f>
        <x:v>0.6110491504959246</x:v>
      </x:c>
      <x:c r="I158" s="117" t="n">
        <x:f>SLOPE(E158:E178,B158:B178)</x:f>
        <x:v>6.111977479261075</x:v>
      </x:c>
      <x:c r="J158" s="123" t="n">
        <x:f>RSQ(E158:E178,B158:B178)</x:f>
        <x:v>0.9965335609585104</x:v>
      </x:c>
      <x:c r="K158" s="117" t="n">
        <x:f>IF(I158&gt;0,'Config'!$B$17/I158,"")</x:f>
        <x:v>163.61316830651967</x:v>
      </x:c>
      <x:c r="L158" s="120" t="n">
        <x:f>MAX(D158:D178)</x:f>
        <x:v>0.00005947960879957343</x:v>
      </x:c>
      <x:c r="M158" s="120" t="str">
        <x:f>IF(AND(H158&gt;='Config'!$B$14,J158&gt;='Config'!$B$15,L158&lt;=$E$4,I158&gt;0),K158,"")</x:f>
      </x:c>
      <x:c r="N158" s="17" t="str">
        <x:f>IF(AND(M158&lt;&gt;"",ABS(M158-$G$4)&lt;='Config'!$B$22),"SELECTED","")</x:f>
      </x:c>
    </x:row>
    <x:row r="159">
      <x:c r="A159" s="15" t="n">
        <x:v>1158</x:v>
      </x:c>
      <x:c r="B159" s="117" t="n">
        <x:f>VALUE('Raw_Data'!I1158)</x:f>
        <x:v>0.5600000000000005</x:v>
      </x:c>
      <x:c r="C159" s="117" t="n">
        <x:f>ROUND(B159,'Config'!$B$25)</x:f>
        <x:v>0.56</x:v>
      </x:c>
      <x:c r="D159" s="120" t="n">
        <x:f>VALUE('Raw_Data'!J1158)</x:f>
        <x:v>0.00001585150825770279</x:v>
      </x:c>
      <x:c r="E159" s="117" t="n">
        <x:f>LN(ABS(D159))/LN(10)</x:f>
        <x:v>-4.799929408724845</x:v>
      </x:c>
      <x:c r="F159" s="117" t="n">
        <x:f>B159</x:f>
        <x:v>0.5600000000000005</x:v>
      </x:c>
      <x:c r="G159" s="117" t="n">
        <x:f>B179</x:f>
        <x:v>0.6600000000000006</x:v>
      </x:c>
      <x:c r="H159" s="117" t="n">
        <x:f>MAX(E159:E179)-MIN(E159:E179)</x:f>
        <x:v>0.5980715364095595</x:v>
      </x:c>
      <x:c r="I159" s="117" t="n">
        <x:f>SLOPE(E159:E179,B159:B179)</x:f>
        <x:v>5.979700146172567</x:v>
      </x:c>
      <x:c r="J159" s="123" t="n">
        <x:f>RSQ(E159:E179,B159:B179)</x:f>
        <x:v>0.9963797699985102</x:v>
      </x:c>
      <x:c r="K159" s="117" t="n">
        <x:f>IF(I159&gt;0,'Config'!$B$17/I159,"")</x:f>
        <x:v>167.23246576838324</x:v>
      </x:c>
      <x:c r="L159" s="120" t="n">
        <x:f>MAX(D159:D179)</x:f>
        <x:v>0.00006282639315113668</x:v>
      </x:c>
      <x:c r="M159" s="120" t="str">
        <x:f>IF(AND(H159&gt;='Config'!$B$14,J159&gt;='Config'!$B$15,L159&lt;=$E$4,I159&gt;0),K159,"")</x:f>
      </x:c>
      <x:c r="N159" s="17" t="str">
        <x:f>IF(AND(M159&lt;&gt;"",ABS(M159-$G$4)&lt;='Config'!$B$22),"SELECTED","")</x:f>
      </x:c>
    </x:row>
    <x:row r="160">
      <x:c r="A160" s="15" t="n">
        <x:v>1159</x:v>
      </x:c>
      <x:c r="B160" s="117" t="n">
        <x:f>VALUE('Raw_Data'!I1159)</x:f>
        <x:v>0.5650000000000005</x:v>
      </x:c>
      <x:c r="C160" s="117" t="n">
        <x:f>ROUND(B160,'Config'!$B$25)</x:f>
        <x:v>0.565</x:v>
      </x:c>
      <x:c r="D160" s="120" t="n">
        <x:f>VALUE('Raw_Data'!J1159)</x:f>
        <x:v>0.00001722714212860912</x:v>
      </x:c>
      <x:c r="E160" s="117" t="n">
        <x:f>LN(ABS(D160))/LN(10)</x:f>
        <x:v>-4.763786763220536</x:v>
      </x:c>
      <x:c r="F160" s="117" t="n">
        <x:f>B160</x:f>
        <x:v>0.5650000000000005</x:v>
      </x:c>
      <x:c r="G160" s="117" t="n">
        <x:f>B180</x:f>
        <x:v>0.6650000000000006</x:v>
      </x:c>
      <x:c r="H160" s="117" t="n">
        <x:f>MAX(E160:E180)-MIN(E160:E180)</x:f>
        <x:v>0.5851028441734298</x:v>
      </x:c>
      <x:c r="I160" s="117" t="n">
        <x:f>SLOPE(E160:E180,B160:B180)</x:f>
        <x:v>5.847730444034688</x:v>
      </x:c>
      <x:c r="J160" s="123" t="n">
        <x:f>RSQ(E160:E180,B160:B180)</x:f>
        <x:v>0.9962374305913291</x:v>
      </x:c>
      <x:c r="K160" s="117" t="n">
        <x:f>IF(I160&gt;0,'Config'!$B$17/I160,"")</x:f>
        <x:v>171.0065143341392</x:v>
      </x:c>
      <x:c r="L160" s="120" t="n">
        <x:f>MAX(D160:D180)</x:f>
        <x:v>0.00006626986424818673</x:v>
      </x:c>
      <x:c r="M160" s="120" t="str">
        <x:f>IF(AND(H160&gt;='Config'!$B$14,J160&gt;='Config'!$B$15,L160&lt;=$E$4,I160&gt;0),K160,"")</x:f>
      </x:c>
      <x:c r="N160" s="17" t="str">
        <x:f>IF(AND(M160&lt;&gt;"",ABS(M160-$G$4)&lt;='Config'!$B$22),"SELECTED","")</x:f>
      </x:c>
    </x:row>
    <x:row r="161">
      <x:c r="A161" s="15" t="n">
        <x:v>1160</x:v>
      </x:c>
      <x:c r="B161" s="117" t="n">
        <x:f>VALUE('Raw_Data'!I1160)</x:f>
        <x:v>0.5700000000000005</x:v>
      </x:c>
      <x:c r="C161" s="117" t="n">
        <x:f>ROUND(B161,'Config'!$B$25)</x:f>
        <x:v>0.57</x:v>
      </x:c>
      <x:c r="D161" s="120" t="n">
        <x:f>VALUE('Raw_Data'!J1160)</x:f>
        <x:v>0.00001869536076189657</x:v>
      </x:c>
      <x:c r="E161" s="117" t="n">
        <x:f>LN(ABS(D161))/LN(10)</x:f>
        <x:v>-4.728266149905896</x:v>
      </x:c>
      <x:c r="F161" s="117" t="n">
        <x:f>B161</x:f>
        <x:v>0.5700000000000005</x:v>
      </x:c>
      <x:c r="G161" s="117" t="n">
        <x:f>B181</x:f>
        <x:v>0.6700000000000006</x:v>
      </x:c>
      <x:c r="H161" s="117" t="n">
        <x:f>MAX(E161:E181)-MIN(E161:E181)</x:f>
        <x:v>0.5721687071799577</x:v>
      </x:c>
      <x:c r="I161" s="117" t="n">
        <x:f>SLOPE(E161:E181,B161:B181)</x:f>
        <x:v>5.716329150749103</x:v>
      </x:c>
      <x:c r="J161" s="123" t="n">
        <x:f>RSQ(E161:E181,B161:B181)</x:f>
        <x:v>0.9961069399279225</x:v>
      </x:c>
      <x:c r="K161" s="117" t="n">
        <x:f>IF(I161&gt;0,'Config'!$B$17/I161,"")</x:f>
        <x:v>174.93744212908976</x:v>
      </x:c>
      <x:c r="L161" s="120" t="n">
        <x:f>MAX(D161:D181)</x:f>
        <x:v>0.00006980757591291327</x:v>
      </x:c>
      <x:c r="M161" s="120" t="str">
        <x:f>IF(AND(H161&gt;='Config'!$B$14,J161&gt;='Config'!$B$15,L161&lt;=$E$4,I161&gt;0),K161,"")</x:f>
      </x:c>
      <x:c r="N161" s="17" t="str">
        <x:f>IF(AND(M161&lt;&gt;"",ABS(M161-$G$4)&lt;='Config'!$B$22),"SELECTED","")</x:f>
      </x:c>
    </x:row>
    <x:row r="162">
      <x:c r="A162" s="15" t="n">
        <x:v>1161</x:v>
      </x:c>
      <x:c r="B162" s="117" t="n">
        <x:f>VALUE('Raw_Data'!I1161)</x:f>
        <x:v>0.5750000000000005</x:v>
      </x:c>
      <x:c r="C162" s="117" t="n">
        <x:f>ROUND(B162,'Config'!$B$25)</x:f>
        <x:v>0.575</x:v>
      </x:c>
      <x:c r="D162" s="120" t="n">
        <x:f>VALUE('Raw_Data'!J1161)</x:f>
        <x:v>0.00002025912039554523</x:v>
      </x:c>
      <x:c r="E162" s="117" t="n">
        <x:f>LN(ABS(D162))/LN(10)</x:f>
        <x:v>-4.693379414634859</x:v>
      </x:c>
      <x:c r="F162" s="117" t="n">
        <x:f>B162</x:f>
        <x:v>0.5750000000000005</x:v>
      </x:c>
      <x:c r="G162" s="117" t="n">
        <x:f>B182</x:f>
        <x:v>0.6750000000000006</x:v>
      </x:c>
      <x:c r="H162" s="117" t="n">
        <x:f>MAX(E162:E182)-MIN(E162:E182)</x:f>
        <x:v>0.5592940519477159</x:v>
      </x:c>
      <x:c r="I162" s="117" t="n">
        <x:f>SLOPE(E162:E182,B162:B182)</x:f>
        <x:v>5.585748175997131</x:v>
      </x:c>
      <x:c r="J162" s="123" t="n">
        <x:f>RSQ(E162:E182,B162:B182)</x:f>
        <x:v>0.995988520740975</x:v>
      </x:c>
      <x:c r="K162" s="117" t="n">
        <x:f>IF(I162&gt;0,'Config'!$B$17/I162,"")</x:f>
        <x:v>179.02704677900854</x:v>
      </x:c>
      <x:c r="L162" s="120" t="n">
        <x:f>MAX(D162:D182)</x:f>
        <x:v>0.0000734369510080869</x:v>
      </x:c>
      <x:c r="M162" s="120" t="str">
        <x:f>IF(AND(H162&gt;='Config'!$B$14,J162&gt;='Config'!$B$15,L162&lt;=$E$4,I162&gt;0),K162,"")</x:f>
      </x:c>
      <x:c r="N162" s="17" t="str">
        <x:f>IF(AND(M162&lt;&gt;"",ABS(M162-$G$4)&lt;='Config'!$B$22),"SELECTED","")</x:f>
      </x:c>
    </x:row>
    <x:row r="163">
      <x:c r="A163" s="15" t="n">
        <x:v>1162</x:v>
      </x:c>
      <x:c r="B163" s="117" t="n">
        <x:f>VALUE('Raw_Data'!I1162)</x:f>
        <x:v>0.5800000000000005</x:v>
      </x:c>
      <x:c r="C163" s="117" t="n">
        <x:f>ROUND(B163,'Config'!$B$25)</x:f>
        <x:v>0.58</x:v>
      </x:c>
      <x:c r="D163" s="120" t="n">
        <x:f>VALUE('Raw_Data'!J1162)</x:f>
        <x:v>0.00002192112945321904</x:v>
      </x:c>
      <x:c r="E163" s="117" t="n">
        <x:f>LN(ABS(D163))/LN(10)</x:f>
        <x:v>-4.659137073241324</x:v>
      </x:c>
      <x:c r="F163" s="117" t="n">
        <x:f>B163</x:f>
        <x:v>0.5800000000000005</x:v>
      </x:c>
      <x:c r="G163" s="117" t="n">
        <x:f>B183</x:f>
        <x:v>0.6800000000000006</x:v>
      </x:c>
      <x:c r="H163" s="117" t="n">
        <x:f>MAX(E163:E183)-MIN(E163:E183)</x:f>
        <x:v>0.546502866871954</x:v>
      </x:c>
      <x:c r="I163" s="117" t="n">
        <x:f>SLOPE(E163:E183,B163:B183)</x:f>
        <x:v>5.456228204866034</x:v>
      </x:c>
      <x:c r="J163" s="123" t="n">
        <x:f>RSQ(E163:E183,B163:B183)</x:f>
        <x:v>0.995882208482577</x:v>
      </x:c>
      <x:c r="K163" s="117" t="n">
        <x:f>IF(I163&gt;0,'Config'!$B$17/I163,"")</x:f>
        <x:v>183.27679166867856</x:v>
      </x:c>
      <x:c r="L163" s="120" t="n">
        <x:f>MAX(D163:D183)</x:f>
        <x:v>0.00007715530521942579</x:v>
      </x:c>
      <x:c r="M163" s="120" t="str">
        <x:f>IF(AND(H163&gt;='Config'!$B$14,J163&gt;='Config'!$B$15,L163&lt;=$E$4,I163&gt;0),K163,"")</x:f>
      </x:c>
      <x:c r="N163" s="17" t="str">
        <x:f>IF(AND(M163&lt;&gt;"",ABS(M163-$G$4)&lt;='Config'!$B$22),"SELECTED","")</x:f>
      </x:c>
    </x:row>
    <x:row r="164">
      <x:c r="A164" s="15" t="n">
        <x:v>1163</x:v>
      </x:c>
      <x:c r="B164" s="117" t="n">
        <x:f>VALUE('Raw_Data'!I1163)</x:f>
        <x:v>0.5850000000000005</x:v>
      </x:c>
      <x:c r="C164" s="117" t="n">
        <x:f>ROUND(B164,'Config'!$B$25)</x:f>
        <x:v>0.585</x:v>
      </x:c>
      <x:c r="D164" s="120" t="n">
        <x:f>VALUE('Raw_Data'!J1163)</x:f>
        <x:v>0.00002368382266081207</x:v>
      </x:c>
      <x:c r="E164" s="117" t="n">
        <x:f>LN(ABS(D164))/LN(10)</x:f>
        <x:v>-4.625548199478193</x:v>
      </x:c>
      <x:c r="F164" s="117" t="n">
        <x:f>B164</x:f>
        <x:v>0.5850000000000005</x:v>
      </x:c>
      <x:c r="G164" s="117" t="n">
        <x:f>B184</x:f>
        <x:v>0.6850000000000006</x:v>
      </x:c>
      <x:c r="H164" s="117" t="n">
        <x:f>MAX(E164:E184)-MIN(E164:E184)</x:f>
        <x:v>0.5338180005354829</x:v>
      </x:c>
      <x:c r="I164" s="117" t="n">
        <x:f>SLOPE(E164:E184,B164:B184)</x:f>
        <x:v>5.327996706807663</x:v>
      </x:c>
      <x:c r="J164" s="123" t="n">
        <x:f>RSQ(E164:E184,B164:B184)</x:f>
        <x:v>0.9957878419194255</x:v>
      </x:c>
      <x:c r="K164" s="117" t="n">
        <x:f>IF(I164&gt;0,'Config'!$B$17/I164,"")</x:f>
        <x:v>187.68780369595288</x:v>
      </x:c>
      <x:c r="L164" s="120" t="n">
        <x:f>MAX(D164:D184)</x:f>
        <x:v>0.00008095986979910509</x:v>
      </x:c>
      <x:c r="M164" s="120" t="str">
        <x:f>IF(AND(H164&gt;='Config'!$B$14,J164&gt;='Config'!$B$15,L164&lt;=$E$4,I164&gt;0),K164,"")</x:f>
      </x:c>
      <x:c r="N164" s="17" t="str">
        <x:f>IF(AND(M164&lt;&gt;"",ABS(M164-$G$4)&lt;='Config'!$B$22),"SELECTED","")</x:f>
      </x:c>
    </x:row>
    <x:row r="165">
      <x:c r="A165" s="15" t="n">
        <x:v>1164</x:v>
      </x:c>
      <x:c r="B165" s="117" t="n">
        <x:f>VALUE('Raw_Data'!I1164)</x:f>
        <x:v>0.5900000000000005</x:v>
      </x:c>
      <x:c r="C165" s="117" t="n">
        <x:f>ROUND(B165,'Config'!$B$25)</x:f>
        <x:v>0.59</x:v>
      </x:c>
      <x:c r="D165" s="120" t="n">
        <x:f>VALUE('Raw_Data'!J1164)</x:f>
        <x:v>0.00002554933857736896</x:v>
      </x:c>
      <x:c r="E165" s="117" t="n">
        <x:f>LN(ABS(D165))/LN(10)</x:f>
        <x:v>-4.592620338422303</x:v>
      </x:c>
      <x:c r="F165" s="117" t="n">
        <x:f>B165</x:f>
        <x:v>0.5900000000000005</x:v>
      </x:c>
      <x:c r="G165" s="117" t="n">
        <x:f>B185</x:f>
        <x:v>0.6900000000000006</x:v>
      </x:c>
      <x:c r="H165" s="117" t="n">
        <x:f>MAX(E165:E185)-MIN(E165:E185)</x:f>
        <x:v>0.5212609925441987</x:v>
      </x:c>
      <x:c r="I165" s="117" t="n">
        <x:f>SLOPE(E165:E185,B165:B185)</x:f>
        <x:v>5.201266317253681</x:v>
      </x:c>
      <x:c r="J165" s="123" t="n">
        <x:f>RSQ(E165:E185,B165:B185)</x:f>
        <x:v>0.9957050571810249</x:v>
      </x:c>
      <x:c r="K165" s="117" t="n">
        <x:f>IF(I165&gt;0,'Config'!$B$17/I165,"")</x:f>
        <x:v>192.2608724500017</x:v>
      </x:c>
      <x:c r="L165" s="120" t="n">
        <x:f>MAX(D165:D185)</x:f>
        <x:v>0.00008484781329460702</x:v>
      </x:c>
      <x:c r="M165" s="120" t="str">
        <x:f>IF(AND(H165&gt;='Config'!$B$14,J165&gt;='Config'!$B$15,L165&lt;=$E$4,I165&gt;0),K165,"")</x:f>
      </x:c>
      <x:c r="N165" s="17" t="str">
        <x:f>IF(AND(M165&lt;&gt;"",ABS(M165-$G$4)&lt;='Config'!$B$22),"SELECTED","")</x:f>
      </x:c>
    </x:row>
    <x:row r="166">
      <x:c r="A166" s="15" t="n">
        <x:v>1165</x:v>
      </x:c>
      <x:c r="B166" s="117" t="n">
        <x:f>VALUE('Raw_Data'!I1165)</x:f>
        <x:v>0.5950000000000005</x:v>
      </x:c>
      <x:c r="C166" s="117" t="n">
        <x:f>ROUND(B166,'Config'!$B$25)</x:f>
        <x:v>0.595</x:v>
      </x:c>
      <x:c r="D166" s="120" t="n">
        <x:f>VALUE('Raw_Data'!J1165)</x:f>
        <x:v>0.00002751950097767965</x:v>
      </x:c>
      <x:c r="E166" s="117" t="n">
        <x:f>LN(ABS(D166))/LN(10)</x:f>
        <x:v>-4.56035944560386</x:v>
      </x:c>
      <x:c r="F166" s="117" t="n">
        <x:f>B166</x:f>
        <x:v>0.5950000000000005</x:v>
      </x:c>
      <x:c r="G166" s="117" t="n">
        <x:f>B186</x:f>
        <x:v>0.6950000000000006</x:v>
      </x:c>
      <x:c r="H166" s="117" t="n">
        <x:f>MAX(E166:E186)-MIN(E166:E186)</x:f>
        <x:v>0.5088519357868941</x:v>
      </x:c>
      <x:c r="I166" s="117" t="n">
        <x:f>SLOPE(E166:E186,B166:B186)</x:f>
        <x:v>5.076233584485696</x:v>
      </x:c>
      <x:c r="J166" s="123" t="n">
        <x:f>RSQ(E166:E186,B166:B186)</x:f>
        <x:v>0.9956332850756148</x:v>
      </x:c>
      <x:c r="K166" s="117" t="n">
        <x:f>IF(I166&gt;0,'Config'!$B$17/I166,"")</x:f>
        <x:v>196.99645088363602</x:v>
      </x:c>
      <x:c r="L166" s="120" t="n">
        <x:f>MAX(D166:D186)</x:f>
        <x:v>0.00008881626180850439</x:v>
      </x:c>
      <x:c r="M166" s="120" t="str">
        <x:f>IF(AND(H166&gt;='Config'!$B$14,J166&gt;='Config'!$B$15,L166&lt;=$E$4,I166&gt;0),K166,"")</x:f>
      </x:c>
      <x:c r="N166" s="17" t="str">
        <x:f>IF(AND(M166&lt;&gt;"",ABS(M166-$G$4)&lt;='Config'!$B$22),"SELECTED","")</x:f>
      </x:c>
    </x:row>
    <x:row r="167">
      <x:c r="A167" s="15" t="n">
        <x:v>1166</x:v>
      </x:c>
      <x:c r="B167" s="117" t="n">
        <x:f>VALUE('Raw_Data'!I1166)</x:f>
        <x:v>0.6000000000000005</x:v>
      </x:c>
      <x:c r="C167" s="117" t="n">
        <x:f>ROUND(B167,'Config'!$B$25)</x:f>
        <x:v>0.6</x:v>
      </x:c>
      <x:c r="D167" s="120" t="n">
        <x:f>VALUE('Raw_Data'!J1166)</x:f>
        <x:v>0.00002959580441483823</x:v>
      </x:c>
      <x:c r="E167" s="117" t="n">
        <x:f>LN(ABS(D167))/LN(10)</x:f>
        <x:v>-4.528769851394859</x:v>
      </x:c>
      <x:c r="F167" s="117" t="n">
        <x:f>B167</x:f>
        <x:v>0.6000000000000005</x:v>
      </x:c>
      <x:c r="G167" s="117" t="n">
        <x:f>B187</x:f>
        <x:v>0.7000000000000006</x:v>
      </x:c>
      <x:c r="H167" s="117" t="n">
        <x:f>MAX(E167:E187)-MIN(E167:E187)</x:f>
        <x:v>0.496609370745543</x:v>
      </x:c>
      <x:c r="I167" s="117" t="n">
        <x:f>SLOPE(E167:E187,B167:B187)</x:f>
        <x:v>4.953078068360317</x:v>
      </x:c>
      <x:c r="J167" s="123" t="n">
        <x:f>RSQ(E167:E187,B167:B187)</x:f>
        <x:v>0.9955717514977455</x:v>
      </x:c>
      <x:c r="K167" s="117" t="n">
        <x:f>IF(I167&gt;0,'Config'!$B$17/I167,"")</x:f>
        <x:v>201.89465746318092</x:v>
      </x:c>
      <x:c r="L167" s="120" t="n">
        <x:f>MAX(D167:D187)</x:f>
        <x:v>0.00009286231782099647</x:v>
      </x:c>
      <x:c r="M167" s="120" t="str">
        <x:f>IF(AND(H167&gt;='Config'!$B$14,J167&gt;='Config'!$B$15,L167&lt;=$E$4,I167&gt;0),K167,"")</x:f>
      </x:c>
      <x:c r="N167" s="17" t="str">
        <x:f>IF(AND(M167&lt;&gt;"",ABS(M167-$G$4)&lt;='Config'!$B$22),"SELECTED","")</x:f>
      </x:c>
    </x:row>
    <x:row r="168">
      <x:c r="A168" s="15" t="n">
        <x:v>1167</x:v>
      </x:c>
      <x:c r="B168" s="117" t="n">
        <x:f>VALUE('Raw_Data'!I1167)</x:f>
        <x:v>0.6050000000000005</x:v>
      </x:c>
      <x:c r="C168" s="117" t="n">
        <x:f>ROUND(B168,'Config'!$B$25)</x:f>
        <x:v>0.605</x:v>
      </x:c>
      <x:c r="D168" s="120" t="n">
        <x:f>VALUE('Raw_Data'!J1167)</x:f>
        <x:v>0.00003177940417358866</x:v>
      </x:c>
      <x:c r="E168" s="117" t="n">
        <x:f>LN(ABS(D168))/LN(10)</x:f>
        <x:v>-4.497854249562509</x:v>
      </x:c>
      <x:c r="F168" s="117" t="n">
        <x:f>B168</x:f>
        <x:v>0.6050000000000005</x:v>
      </x:c>
      <x:c r="G168" s="117" t="n">
        <x:f>B188</x:f>
        <x:v>0.7050000000000006</x:v>
      </x:c>
      <x:c r="H168" s="117" t="n">
        <x:f>MAX(E168:E188)-MIN(E168:E188)</x:f>
        <x:v>0.4845502104795063</x:v>
      </x:c>
      <x:c r="I168" s="117" t="n">
        <x:f>SLOPE(E168:E188,B168:B188)</x:f>
        <x:v>4.831961769639509</x:v>
      </x:c>
      <x:c r="J168" s="123" t="n">
        <x:f>RSQ(E168:E188,B168:B188)</x:f>
        <x:v>0.9955194806718652</x:v>
      </x:c>
      <x:c r="K168" s="117" t="n">
        <x:f>IF(I168&gt;0,'Config'!$B$17/I168,"")</x:f>
        <x:v>206.95527979614076</x:v>
      </x:c>
      <x:c r="L168" s="120" t="n">
        <x:f>MAX(D168:D188)</x:f>
        <x:v>0.00009698307744163202</x:v>
      </x:c>
      <x:c r="M168" s="120" t="str">
        <x:f>IF(AND(H168&gt;='Config'!$B$14,J168&gt;='Config'!$B$15,L168&lt;=$E$4,I168&gt;0),K168,"")</x:f>
      </x:c>
      <x:c r="N168" s="17" t="str">
        <x:f>IF(AND(M168&lt;&gt;"",ABS(M168-$G$4)&lt;='Config'!$B$22),"SELECTED","")</x:f>
      </x:c>
    </x:row>
    <x:row r="169">
      <x:c r="A169" s="15" t="n">
        <x:v>1168</x:v>
      </x:c>
      <x:c r="B169" s="117" t="n">
        <x:f>VALUE('Raw_Data'!I1168)</x:f>
        <x:v>0.6100000000000005</x:v>
      </x:c>
      <x:c r="C169" s="117" t="n">
        <x:f>ROUND(B169,'Config'!$B$25)</x:f>
        <x:v>0.61</x:v>
      </x:c>
      <x:c r="D169" s="120" t="n">
        <x:f>VALUE('Raw_Data'!J1168)</x:f>
        <x:v>0.00003407111070470726</x:v>
      </x:c>
      <x:c r="E169" s="117" t="n">
        <x:f>LN(ABS(D169))/LN(10)</x:f>
        <x:v>-4.46761370837334</x:v>
      </x:c>
      <x:c r="F169" s="117" t="n">
        <x:f>B169</x:f>
        <x:v>0.6100000000000005</x:v>
      </x:c>
      <x:c r="G169" s="117" t="n">
        <x:f>B189</x:f>
        <x:v>0.7100000000000006</x:v>
      </x:c>
      <x:c r="H169" s="117" t="n">
        <x:f>MAX(E169:E189)-MIN(E169:E189)</x:f>
        <x:v>0.472689694593317</x:v>
      </x:c>
      <x:c r="I169" s="117" t="n">
        <x:f>SLOPE(E169:E189,B169:B189)</x:f>
        <x:v>4.713028863353451</x:v>
      </x:c>
      <x:c r="J169" s="123" t="n">
        <x:f>RSQ(E169:E189,B169:B189)</x:f>
        <x:v>0.9954753009399702</x:v>
      </x:c>
      <x:c r="K169" s="117" t="n">
        <x:f>IF(I169&gt;0,'Config'!$B$17/I169,"")</x:f>
        <x:v>212.17777972368964</x:v>
      </x:c>
      <x:c r="L169" s="120" t="n">
        <x:f>MAX(D169:D189)</x:f>
        <x:v>0.0001011756460477936</x:v>
      </x:c>
      <x:c r="M169" s="120" t="str">
        <x:f>IF(AND(H169&gt;='Config'!$B$14,J169&gt;='Config'!$B$15,L169&lt;=$E$4,I169&gt;0),K169,"")</x:f>
      </x:c>
      <x:c r="N169" s="17" t="str">
        <x:f>IF(AND(M169&lt;&gt;"",ABS(M169-$G$4)&lt;='Config'!$B$22),"SELECTED","")</x:f>
      </x:c>
    </x:row>
    <x:row r="170">
      <x:c r="A170" s="15" t="n">
        <x:v>1169</x:v>
      </x:c>
      <x:c r="B170" s="117" t="n">
        <x:f>VALUE('Raw_Data'!I1169)</x:f>
        <x:v>0.6150000000000005</x:v>
      </x:c>
      <x:c r="C170" s="117" t="n">
        <x:f>ROUND(B170,'Config'!$B$25)</x:f>
        <x:v>0.615</x:v>
      </x:c>
      <x:c r="D170" s="120" t="n">
        <x:f>VALUE('Raw_Data'!J1169)</x:f>
        <x:v>0.00003647138851222661</x:v>
      </x:c>
      <x:c r="E170" s="117" t="n">
        <x:f>LN(ABS(D170))/LN(10)</x:f>
        <x:v>-4.438047702227239</x:v>
      </x:c>
      <x:c r="F170" s="117" t="n">
        <x:f>B170</x:f>
        <x:v>0.6150000000000005</x:v>
      </x:c>
      <x:c r="G170" s="117" t="n">
        <x:f>B190</x:f>
        <x:v>0.7150000000000006</x:v>
      </x:c>
      <x:c r="H170" s="117" t="n">
        <x:f>MAX(E170:E190)-MIN(E170:E190)</x:f>
        <x:v>0.46104136997919953</x:v>
      </x:c>
      <x:c r="I170" s="117" t="n">
        <x:f>SLOPE(E170:E190,B170:B190)</x:f>
        <x:v>4.5964057057993974</x:v>
      </x:c>
      <x:c r="J170" s="123" t="n">
        <x:f>RSQ(E170:E190,B170:B190)</x:f>
        <x:v>0.9954378527776061</x:v>
      </x:c>
      <x:c r="K170" s="117" t="n">
        <x:f>IF(I170&gt;0,'Config'!$B$17/I170,"")</x:f>
        <x:v>217.5612998518115</x:v>
      </x:c>
      <x:c r="L170" s="120" t="n">
        <x:f>MAX(D170:D190)</x:f>
        <x:v>0.0001054371522973078</x:v>
      </x:c>
      <x:c r="M170" s="120" t="str">
        <x:f>IF(AND(H170&gt;='Config'!$B$14,J170&gt;='Config'!$B$15,L170&lt;=$E$4,I170&gt;0),K170,"")</x:f>
      </x:c>
      <x:c r="N170" s="17" t="str">
        <x:f>IF(AND(M170&lt;&gt;"",ABS(M170-$G$4)&lt;='Config'!$B$22),"SELECTED","")</x:f>
      </x:c>
    </x:row>
    <x:row r="171">
      <x:c r="A171" s="15" t="n">
        <x:v>1170</x:v>
      </x:c>
      <x:c r="B171" s="117" t="n">
        <x:f>VALUE('Raw_Data'!I1170)</x:f>
        <x:v>0.6200000000000006</x:v>
      </x:c>
      <x:c r="C171" s="117" t="n">
        <x:f>ROUND(B171,'Config'!$B$25)</x:f>
        <x:v>0.62</x:v>
      </x:c>
      <x:c r="D171" s="120" t="n">
        <x:f>VALUE('Raw_Data'!J1170)</x:f>
        <x:v>0.00003898035935380108</x:v>
      </x:c>
      <x:c r="E171" s="117" t="n">
        <x:f>LN(ABS(D171))/LN(10)</x:f>
        <x:v>-4.40915416150743</x:v>
      </x:c>
      <x:c r="F171" s="117" t="n">
        <x:f>B171</x:f>
        <x:v>0.6200000000000006</x:v>
      </x:c>
      <x:c r="G171" s="117" t="n">
        <x:f>B191</x:f>
        <x:v>0.7200000000000006</x:v>
      </x:c>
      <x:c r="H171" s="117" t="n">
        <x:f>MAX(E171:E191)-MIN(E171:E191)</x:f>
        <x:v>0.4496170957662997</x:v>
      </x:c>
      <x:c r="I171" s="117" t="n">
        <x:f>SLOPE(E171:E191,B171:B191)</x:f>
        <x:v>4.4822010824144085</x:v>
      </x:c>
      <x:c r="J171" s="123" t="n">
        <x:f>RSQ(E171:E191,B171:B191)</x:f>
        <x:v>0.9954055987122267</x:v>
      </x:c>
      <x:c r="K171" s="117" t="n">
        <x:f>IF(I171&gt;0,'Config'!$B$17/I171,"")</x:f>
        <x:v>223.10467148014123</x:v>
      </x:c>
      <x:c r="L171" s="120" t="n">
        <x:f>MAX(D171:D191)</x:f>
        <x:v>0.00010976476053205</x:v>
      </x:c>
      <x:c r="M171" s="120" t="str">
        <x:f>IF(AND(H171&gt;='Config'!$B$14,J171&gt;='Config'!$B$15,L171&lt;=$E$4,I171&gt;0),K171,"")</x:f>
      </x:c>
      <x:c r="N171" s="17" t="str">
        <x:f>IF(AND(M171&lt;&gt;"",ABS(M171-$G$4)&lt;='Config'!$B$22),"SELECTED","")</x:f>
      </x:c>
    </x:row>
    <x:row r="172">
      <x:c r="A172" s="15" t="n">
        <x:v>1171</x:v>
      </x:c>
      <x:c r="B172" s="117" t="n">
        <x:f>VALUE('Raw_Data'!I1171)</x:f>
        <x:v>0.6250000000000006</x:v>
      </x:c>
      <x:c r="C172" s="117" t="n">
        <x:f>ROUND(B172,'Config'!$B$25)</x:f>
        <x:v>0.625</x:v>
      </x:c>
      <x:c r="D172" s="120" t="n">
        <x:f>VALUE('Raw_Data'!J1171)</x:f>
        <x:v>0.00004159780951409044</x:v>
      </x:c>
      <x:c r="E172" s="117" t="n">
        <x:f>LN(ABS(D172))/LN(10)</x:f>
        <x:v>-4.380929538147062</x:v>
      </x:c>
      <x:c r="F172" s="117" t="n">
        <x:f>B172</x:f>
        <x:v>0.6250000000000006</x:v>
      </x:c>
      <x:c r="G172" s="117" t="n">
        <x:f>B192</x:f>
        <x:v>0.7250000000000006</x:v>
      </x:c>
      <x:c r="H172" s="117" t="n">
        <x:f>MAX(E172:E192)-MIN(E172:E192)</x:f>
        <x:v>0.4384270696740611</x:v>
      </x:c>
      <x:c r="I172" s="117" t="n">
        <x:f>SLOPE(E172:E192,B172:B192)</x:f>
        <x:v>4.370506662695155</x:v>
      </x:c>
      <x:c r="J172" s="123" t="n">
        <x:f>RSQ(E172:E192,B172:B192)</x:f>
        <x:v>0.9953768348190862</x:v>
      </x:c>
      <x:c r="K172" s="117" t="n">
        <x:f>IF(I172&gt;0,'Config'!$B$17/I172,"")</x:f>
        <x:v>228.80642387199362</x:v>
      </x:c>
      <x:c r="L172" s="120" t="n">
        <x:f>MAX(D172:D192)</x:f>
        <x:v>0.0001141556816140852</x:v>
      </x:c>
      <x:c r="M172" s="120" t="str">
        <x:f>IF(AND(H172&gt;='Config'!$B$14,J172&gt;='Config'!$B$15,L172&lt;=$E$4,I172&gt;0),K172,"")</x:f>
      </x:c>
      <x:c r="N172" s="17" t="str">
        <x:f>IF(AND(M172&lt;&gt;"",ABS(M172-$G$4)&lt;='Config'!$B$22),"SELECTED","")</x:f>
      </x:c>
    </x:row>
    <x:row r="173">
      <x:c r="A173" s="15" t="n">
        <x:v>1172</x:v>
      </x:c>
      <x:c r="B173" s="117" t="n">
        <x:f>VALUE('Raw_Data'!I1172)</x:f>
        <x:v>0.6300000000000006</x:v>
      </x:c>
      <x:c r="C173" s="117" t="n">
        <x:f>ROUND(B173,'Config'!$B$25)</x:f>
        <x:v>0.63</x:v>
      </x:c>
      <x:c r="D173" s="120" t="n">
        <x:f>VALUE('Raw_Data'!J1172)</x:f>
        <x:v>0.00004432320082488004</x:v>
      </x:c>
      <x:c r="E173" s="117" t="n">
        <x:f>LN(ABS(D173))/LN(10)</x:f>
        <x:v>-4.353368884326822</x:v>
      </x:c>
      <x:c r="F173" s="117" t="n">
        <x:f>B173</x:f>
        <x:v>0.6300000000000006</x:v>
      </x:c>
      <x:c r="G173" s="117" t="n">
        <x:f>B193</x:f>
        <x:v>0.7300000000000006</x:v>
      </x:c>
      <x:c r="H173" s="117" t="n">
        <x:f>MAX(E173:E193)-MIN(E173:E193)</x:f>
        <x:v>0.4274798728456748</x:v>
      </x:c>
      <x:c r="I173" s="117" t="n">
        <x:f>SLOPE(E173:E193,B173:B193)</x:f>
        <x:v>4.261397628391006</x:v>
      </x:c>
      <x:c r="J173" s="123" t="n">
        <x:f>RSQ(E173:E193,B173:B193)</x:f>
        <x:v>0.9953497034803519</x:v>
      </x:c>
      <x:c r="K173" s="117" t="n">
        <x:f>IF(I173&gt;0,'Config'!$B$17/I173,"")</x:f>
        <x:v>234.66479479352742</x:v>
      </x:c>
      <x:c r="L173" s="120" t="n">
        <x:f>MAX(D173:D193)</x:f>
        <x:v>0.0001186071822557276</x:v>
      </x:c>
      <x:c r="M173" s="120" t="str">
        <x:f>IF(AND(H173&gt;='Config'!$B$14,J173&gt;='Config'!$B$15,L173&lt;=$E$4,I173&gt;0),K173,"")</x:f>
      </x:c>
      <x:c r="N173" s="17" t="str">
        <x:f>IF(AND(M173&lt;&gt;"",ABS(M173-$G$4)&lt;='Config'!$B$22),"SELECTED","")</x:f>
      </x:c>
    </x:row>
    <x:row r="174">
      <x:c r="A174" s="15" t="n">
        <x:v>1173</x:v>
      </x:c>
      <x:c r="B174" s="117" t="n">
        <x:f>VALUE('Raw_Data'!I1173)</x:f>
        <x:v>0.6350000000000006</x:v>
      </x:c>
      <x:c r="C174" s="117" t="n">
        <x:f>ROUND(B174,'Config'!$B$25)</x:f>
        <x:v>0.635</x:v>
      </x:c>
      <x:c r="D174" s="120" t="n">
        <x:f>VALUE('Raw_Data'!J1173)</x:f>
        <x:v>0.00004715568503611357</x:v>
      </x:c>
      <x:c r="E174" s="117" t="n">
        <x:f>LN(ABS(D174))/LN(10)</x:f>
        <x:v>-4.326465941718193</x:v>
      </x:c>
      <x:c r="F174" s="117" t="n">
        <x:f>B174</x:f>
        <x:v>0.6350000000000006</x:v>
      </x:c>
      <x:c r="G174" s="117" t="n">
        <x:f>B194</x:f>
        <x:v>0.7350000000000007</x:v>
      </x:c>
      <x:c r="H174" s="117" t="n">
        <x:f>MAX(E174:E194)-MIN(E174:E194)</x:f>
        <x:v>0.4167825302149839</x:v>
      </x:c>
      <x:c r="I174" s="117" t="n">
        <x:f>SLOPE(E174:E194,B174:B194)</x:f>
        <x:v>4.1549334421741575</x:v>
      </x:c>
      <x:c r="J174" s="123" t="n">
        <x:f>RSQ(E174:E194,B174:B194)</x:f>
        <x:v>0.9953222071108518</x:v>
      </x:c>
      <x:c r="K174" s="117" t="n">
        <x:f>IF(I174&gt;0,'Config'!$B$17/I174,"")</x:f>
        <x:v>240.677742235199</x:v>
      </x:c>
      <x:c r="L174" s="120" t="n">
        <x:f>MAX(D174:D194)</x:f>
        <x:v>0.0001231165929203276</x:v>
      </x:c>
      <x:c r="M174" s="120" t="str">
        <x:f>IF(AND(H174&gt;='Config'!$B$14,J174&gt;='Config'!$B$15,L174&lt;=$E$4,I174&gt;0),K174,"")</x:f>
      </x:c>
      <x:c r="N174" s="17" t="str">
        <x:f>IF(AND(M174&lt;&gt;"",ABS(M174-$G$4)&lt;='Config'!$B$22),"SELECTED","")</x:f>
      </x:c>
    </x:row>
    <x:row r="175">
      <x:c r="A175" s="15" t="n">
        <x:v>1174</x:v>
      </x:c>
      <x:c r="B175" s="117" t="n">
        <x:f>VALUE('Raw_Data'!I1174)</x:f>
        <x:v>0.6400000000000006</x:v>
      </x:c>
      <x:c r="C175" s="117" t="n">
        <x:f>ROUND(B175,'Config'!$B$25)</x:f>
        <x:v>0.64</x:v>
      </x:c>
      <x:c r="D175" s="120" t="n">
        <x:f>VALUE('Raw_Data'!J1174)</x:f>
        <x:v>0.0000500941210902771</x:v>
      </x:c>
      <x:c r="E175" s="117" t="n">
        <x:f>LN(ABS(D175))/LN(10)</x:f>
        <x:v>-4.300213238760766</x:v>
      </x:c>
      <x:c r="F175" s="117" t="n">
        <x:f>B175</x:f>
        <x:v>0.6400000000000006</x:v>
      </x:c>
      <x:c r="G175" s="117" t="n">
        <x:f>B195</x:f>
        <x:v>0.7400000000000007</x:v>
      </x:c>
      <x:c r="H175" s="117" t="n">
        <x:f>MAX(E175:E195)-MIN(E175:E195)</x:f>
        <x:v>0.4063405835217342</x:v>
      </x:c>
      <x:c r="I175" s="117" t="n">
        <x:f>SLOPE(E175:E195,B175:B195)</x:f>
        <x:v>4.051158725700965</x:v>
      </x:c>
      <x:c r="J175" s="123" t="n">
        <x:f>RSQ(E175:E195,B175:B195)</x:f>
        <x:v>0.995292222576823</x:v>
      </x:c>
      <x:c r="K175" s="117" t="n">
        <x:f>IF(I175&gt;0,'Config'!$B$17/I175,"")</x:f>
        <x:v>246.84295721515372</x:v>
      </x:c>
      <x:c r="L175" s="120" t="n">
        <x:f>MAX(D175:D195)</x:f>
        <x:v>0.000127681314381998</x:v>
      </x:c>
      <x:c r="M175" s="120" t="str">
        <x:f>IF(AND(H175&gt;='Config'!$B$14,J175&gt;='Config'!$B$15,L175&lt;=$E$4,I175&gt;0),K175,"")</x:f>
      </x:c>
      <x:c r="N175" s="17" t="str">
        <x:f>IF(AND(M175&lt;&gt;"",ABS(M175-$G$4)&lt;='Config'!$B$22),"SELECTED","")</x:f>
      </x:c>
    </x:row>
    <x:row r="176">
      <x:c r="A176" s="15" t="n">
        <x:v>1175</x:v>
      </x:c>
      <x:c r="B176" s="117" t="n">
        <x:f>VALUE('Raw_Data'!I1175)</x:f>
        <x:v>0.6450000000000006</x:v>
      </x:c>
      <x:c r="C176" s="117" t="n">
        <x:f>ROUND(B176,'Config'!$B$25)</x:f>
        <x:v>0.645</x:v>
      </x:c>
      <x:c r="D176" s="120" t="n">
        <x:f>VALUE('Raw_Data'!J1175)</x:f>
        <x:v>0.00005308508338191492</x:v>
      </x:c>
      <x:c r="E176" s="117" t="n">
        <x:f>LN(ABS(D176))/LN(10)</x:f>
        <x:v>-4.275027496150317</x:v>
      </x:c>
      <x:c r="F176" s="117" t="n">
        <x:f>B176</x:f>
        <x:v>0.6450000000000006</x:v>
      </x:c>
      <x:c r="G176" s="117" t="n">
        <x:f>B196</x:f>
        <x:v>0.7450000000000007</x:v>
      </x:c>
      <x:c r="H176" s="117" t="n">
        <x:f>MAX(E176:E196)-MIN(E176:E196)</x:f>
        <x:v>0.3965834767745915</x:v>
      </x:c>
      <x:c r="I176" s="117" t="n">
        <x:f>SLOPE(E176:E196,B176:B196)</x:f>
        <x:v>3.9501042182370205</x:v>
      </x:c>
      <x:c r="J176" s="123" t="n">
        <x:f>RSQ(E176:E196,B176:B196)</x:f>
        <x:v>0.9952575160602988</x:v>
      </x:c>
      <x:c r="K176" s="117" t="n">
        <x:f>IF(I176&gt;0,'Config'!$B$17/I176,"")</x:f>
        <x:v>253.15787755248445</x:v>
      </x:c>
      <x:c r="L176" s="120" t="n">
        <x:f>MAX(D176:D196)</x:f>
        <x:v>0.0001322988230402122</x:v>
      </x:c>
      <x:c r="M176" s="120" t="str">
        <x:f>IF(AND(H176&gt;='Config'!$B$14,J176&gt;='Config'!$B$15,L176&lt;=$E$4,I176&gt;0),K176,"")</x:f>
      </x:c>
      <x:c r="N176" s="17" t="str">
        <x:f>IF(AND(M176&lt;&gt;"",ABS(M176-$G$4)&lt;='Config'!$B$22),"SELECTED","")</x:f>
      </x:c>
    </x:row>
    <x:row r="177">
      <x:c r="A177" s="15" t="n">
        <x:v>1176</x:v>
      </x:c>
      <x:c r="B177" s="117" t="n">
        <x:f>VALUE('Raw_Data'!I1176)</x:f>
        <x:v>0.6500000000000006</x:v>
      </x:c>
      <x:c r="C177" s="117" t="n">
        <x:f>ROUND(B177,'Config'!$B$25)</x:f>
        <x:v>0.65</x:v>
      </x:c>
      <x:c r="D177" s="120" t="n">
        <x:f>VALUE('Raw_Data'!J1176)</x:f>
        <x:v>0.00005623180198962222</x:v>
      </x:c>
      <x:c r="E177" s="117" t="n">
        <x:f>LN(ABS(D177))/LN(10)</x:f>
        <x:v>-4.250017998980196</x:v>
      </x:c>
      <x:c r="F177" s="117" t="n">
        <x:f>B177</x:f>
        <x:v>0.6500000000000006</x:v>
      </x:c>
      <x:c r="G177" s="117" t="n">
        <x:f>B197</x:f>
        <x:v>0.7500000000000007</x:v>
      </x:c>
      <x:c r="H177" s="117" t="n">
        <x:f>MAX(E177:E197)-MIN(E177:E197)</x:f>
        <x:v>0.3866329122307355</x:v>
      </x:c>
      <x:c r="I177" s="117" t="n">
        <x:f>SLOPE(E177:E197,B177:B197)</x:f>
        <x:v>3.850572639498412</x:v>
      </x:c>
      <x:c r="J177" s="123" t="n">
        <x:f>RSQ(E177:E197,B177:B197)</x:f>
        <x:v>0.9952771991039515</x:v>
      </x:c>
      <x:c r="K177" s="117" t="n">
        <x:f>IF(I177&gt;0,'Config'!$B$17/I177,"")</x:f>
        <x:v>259.7016323603918</x:v>
      </x:c>
      <x:c r="L177" s="120" t="n">
        <x:f>MAX(D177:D197)</x:f>
        <x:v>0.0001369666750898708</x:v>
      </x:c>
      <x:c r="M177" s="120" t="str">
        <x:f>IF(AND(H177&gt;='Config'!$B$14,J177&gt;='Config'!$B$15,L177&lt;=$E$4,I177&gt;0),K177,"")</x:f>
      </x:c>
      <x:c r="N177" s="17" t="str">
        <x:f>IF(AND(M177&lt;&gt;"",ABS(M177-$G$4)&lt;='Config'!$B$22),"SELECTED","")</x:f>
      </x:c>
    </x:row>
    <x:row r="178">
      <x:c r="A178" s="15" t="n">
        <x:v>1177</x:v>
      </x:c>
      <x:c r="B178" s="117" t="n">
        <x:f>VALUE('Raw_Data'!I1177)</x:f>
        <x:v>0.6550000000000006</x:v>
      </x:c>
      <x:c r="C178" s="117" t="n">
        <x:f>ROUND(B178,'Config'!$B$25)</x:f>
        <x:v>0.655</x:v>
      </x:c>
      <x:c r="D178" s="120" t="n">
        <x:f>VALUE('Raw_Data'!J1177)</x:f>
        <x:v>0.00005947960879957343</x:v>
      </x:c>
      <x:c r="E178" s="117" t="n">
        <x:f>LN(ABS(D178))/LN(10)</x:f>
        <x:v>-4.22563189651769</x:v>
      </x:c>
      <x:c r="F178" s="117" t="n">
        <x:f>B178</x:f>
        <x:v>0.6550000000000006</x:v>
      </x:c>
      <x:c r="G178" s="117" t="n">
        <x:f>B198</x:f>
        <x:v>0.7550000000000007</x:v>
      </x:c>
      <x:c r="H178" s="117" t="n">
        <x:f>MAX(E178:E198)-MIN(E178:E198)</x:f>
        <x:v>0.3769481375089794</x:v>
      </x:c>
      <x:c r="I178" s="117" t="n">
        <x:f>SLOPE(E178:E198,B178:B198)</x:f>
        <x:v>3.753761927481357</x:v>
      </x:c>
      <x:c r="J178" s="123" t="n">
        <x:f>RSQ(E178:E198,B178:B198)</x:f>
        <x:v>0.9953047154415224</x:v>
      </x:c>
      <x:c r="K178" s="117" t="n">
        <x:f>IF(I178&gt;0,'Config'!$B$17/I178,"")</x:f>
        <x:v>266.3994199203158</x:v>
      </x:c>
      <x:c r="L178" s="120" t="n">
        <x:f>MAX(D178:D198)</x:f>
        <x:v>0.0001416825096493646</x:v>
      </x:c>
      <x:c r="M178" s="120" t="str">
        <x:f>IF(AND(H178&gt;='Config'!$B$14,J178&gt;='Config'!$B$15,L178&lt;=$E$4,I178&gt;0),K178,"")</x:f>
      </x:c>
      <x:c r="N178" s="17" t="str">
        <x:f>IF(AND(M178&lt;&gt;"",ABS(M178-$G$4)&lt;='Config'!$B$22),"SELECTED","")</x:f>
      </x:c>
    </x:row>
    <x:row r="179">
      <x:c r="A179" s="15" t="n">
        <x:v>1178</x:v>
      </x:c>
      <x:c r="B179" s="117" t="n">
        <x:f>VALUE('Raw_Data'!I1178)</x:f>
        <x:v>0.6600000000000006</x:v>
      </x:c>
      <x:c r="C179" s="117" t="n">
        <x:f>ROUND(B179,'Config'!$B$25)</x:f>
        <x:v>0.66</x:v>
      </x:c>
      <x:c r="D179" s="120" t="n">
        <x:f>VALUE('Raw_Data'!J1178)</x:f>
        <x:v>0.00006282639315113668</x:v>
      </x:c>
      <x:c r="E179" s="117" t="n">
        <x:f>LN(ABS(D179))/LN(10)</x:f>
        <x:v>-4.201857872315285</x:v>
      </x:c>
      <x:c r="F179" s="117" t="n">
        <x:f>B179</x:f>
        <x:v>0.6600000000000006</x:v>
      </x:c>
      <x:c r="G179" s="117" t="n">
        <x:f>B199</x:f>
        <x:v>0.7600000000000007</x:v>
      </x:c>
      <x:c r="H179" s="117" t="n">
        <x:f>MAX(E179:E199)-MIN(E179:E199)</x:f>
        <x:v>0.3675296061850859</x:v>
      </x:c>
      <x:c r="I179" s="117" t="n">
        <x:f>SLOPE(E179:E199,B179:B199)</x:f>
        <x:v>3.6596701286853888</x:v>
      </x:c>
      <x:c r="J179" s="123" t="n">
        <x:f>RSQ(E179:E199,B179:B199)</x:f>
        <x:v>0.9953395007377775</x:v>
      </x:c>
      <x:c r="K179" s="117" t="n">
        <x:f>IF(I179&gt;0,'Config'!$B$17/I179,"")</x:f>
        <x:v>273.24867128371915</x:v>
      </x:c>
      <x:c r="L179" s="120" t="n">
        <x:f>MAX(D179:D199)</x:f>
        <x:v>0.0001464440509488882</x:v>
      </x:c>
      <x:c r="M179" s="120" t="str">
        <x:f>IF(AND(H179&gt;='Config'!$B$14,J179&gt;='Config'!$B$15,L179&lt;=$E$4,I179&gt;0),K179,"")</x:f>
      </x:c>
      <x:c r="N179" s="17" t="str">
        <x:f>IF(AND(M179&lt;&gt;"",ABS(M179-$G$4)&lt;='Config'!$B$22),"SELECTED","")</x:f>
      </x:c>
    </x:row>
    <x:row r="180">
      <x:c r="A180" s="15" t="n">
        <x:v>1179</x:v>
      </x:c>
      <x:c r="B180" s="117" t="n">
        <x:f>VALUE('Raw_Data'!I1179)</x:f>
        <x:v>0.6650000000000006</x:v>
      </x:c>
      <x:c r="C180" s="117" t="n">
        <x:f>ROUND(B180,'Config'!$B$25)</x:f>
        <x:v>0.665</x:v>
      </x:c>
      <x:c r="D180" s="120" t="n">
        <x:f>VALUE('Raw_Data'!J1179)</x:f>
        <x:v>0.00006626986424818673</x:v>
      </x:c>
      <x:c r="E180" s="117" t="n">
        <x:f>LN(ABS(D180))/LN(10)</x:f>
        <x:v>-4.178683919047106</x:v>
      </x:c>
      <x:c r="F180" s="117" t="n">
        <x:f>B180</x:f>
        <x:v>0.6650000000000006</x:v>
      </x:c>
      <x:c r="G180" s="117" t="n">
        <x:f>B200</x:f>
        <x:v>0.7650000000000007</x:v>
      </x:c>
      <x:c r="H180" s="117" t="n">
        <x:f>MAX(E180:E200)-MIN(E180:E200)</x:f>
        <x:v>0.35837674592482927</x:v>
      </x:c>
      <x:c r="I180" s="117" t="n">
        <x:f>SLOPE(E180:E200,B180:B200)</x:f>
        <x:v>3.5682852301279113</x:v>
      </x:c>
      <x:c r="J180" s="123" t="n">
        <x:f>RSQ(E180:E200,B180:B200)</x:f>
        <x:v>0.9953809806184564</x:v>
      </x:c>
      <x:c r="K180" s="117" t="n">
        <x:f>IF(I180&gt;0,'Config'!$B$17/I180,"")</x:f>
        <x:v>280.24665504785145</x:v>
      </x:c>
      <x:c r="L180" s="120" t="n">
        <x:f>MAX(D180:D200)</x:f>
        <x:v>0.0001512491096791367</x:v>
      </x:c>
      <x:c r="M180" s="120" t="str">
        <x:f>IF(AND(H180&gt;='Config'!$B$14,J180&gt;='Config'!$B$15,L180&lt;=$E$4,I180&gt;0),K180,"")</x:f>
      </x:c>
      <x:c r="N180" s="17" t="str">
        <x:f>IF(AND(M180&lt;&gt;"",ABS(M180-$G$4)&lt;='Config'!$B$22),"SELECTED","")</x:f>
      </x:c>
    </x:row>
    <x:row r="181">
      <x:c r="A181" s="15" t="n">
        <x:v>1180</x:v>
      </x:c>
      <x:c r="B181" s="117" t="n">
        <x:f>VALUE('Raw_Data'!I1180)</x:f>
        <x:v>0.6700000000000006</x:v>
      </x:c>
      <x:c r="C181" s="117" t="n">
        <x:f>ROUND(B181,'Config'!$B$25)</x:f>
        <x:v>0.67</x:v>
      </x:c>
      <x:c r="D181" s="120" t="n">
        <x:f>VALUE('Raw_Data'!J1180)</x:f>
        <x:v>0.00006980757591291327</x:v>
      </x:c>
      <x:c r="E181" s="117" t="n">
        <x:f>LN(ABS(D181))/LN(10)</x:f>
        <x:v>-4.1560974427259385</x:v>
      </x:c>
      <x:c r="F181" s="117" t="n">
        <x:f>B181</x:f>
        <x:v>0.6700000000000006</x:v>
      </x:c>
      <x:c r="G181" s="117" t="n">
        <x:f>B201</x:f>
        <x:v>0.7700000000000007</x:v>
      </x:c>
      <x:c r="H181" s="117" t="n">
        <x:f>MAX(E181:E201)-MIN(E181:E201)</x:f>
        <x:v>0.34948805849441644</x:v>
      </x:c>
      <x:c r="I181" s="117" t="n">
        <x:f>SLOPE(E181:E201,B181:B201)</x:f>
        <x:v>3.4795862213534234</x:v>
      </x:c>
      <x:c r="J181" s="123" t="n">
        <x:f>RSQ(E181:E201,B181:B201)</x:f>
        <x:v>0.9954285779934472</x:v>
      </x:c>
      <x:c r="K181" s="117" t="n">
        <x:f>IF(I181&gt;0,'Config'!$B$17/I181,"")</x:f>
        <x:v>287.39049311760954</x:v>
      </x:c>
      <x:c r="L181" s="120" t="n">
        <x:f>MAX(D181:D201)</x:f>
        <x:v>0.0001560955835970038</x:v>
      </x:c>
      <x:c r="M181" s="120" t="str">
        <x:f>IF(AND(H181&gt;='Config'!$B$14,J181&gt;='Config'!$B$15,L181&lt;=$E$4,I181&gt;0),K181,"")</x:f>
      </x:c>
      <x:c r="N181" s="17" t="str">
        <x:f>IF(AND(M181&lt;&gt;"",ABS(M181-$G$4)&lt;='Config'!$B$22),"SELECTED","")</x:f>
      </x:c>
    </x:row>
    <x:row r="182">
      <x:c r="A182" s="15" t="n">
        <x:v>1181</x:v>
      </x:c>
      <x:c r="B182" s="117" t="n">
        <x:f>VALUE('Raw_Data'!I1181)</x:f>
        <x:v>0.6750000000000006</x:v>
      </x:c>
      <x:c r="C182" s="117" t="n">
        <x:f>ROUND(B182,'Config'!$B$25)</x:f>
        <x:v>0.675</x:v>
      </x:c>
      <x:c r="D182" s="120" t="n">
        <x:f>VALUE('Raw_Data'!J1181)</x:f>
        <x:v>0.0000734369510080869</x:v>
      </x:c>
      <x:c r="E182" s="117" t="n">
        <x:f>LN(ABS(D182))/LN(10)</x:f>
        <x:v>-4.134085362687143</x:v>
      </x:c>
      <x:c r="F182" s="117" t="n">
        <x:f>B182</x:f>
        <x:v>0.6750000000000006</x:v>
      </x:c>
      <x:c r="G182" s="117" t="n">
        <x:f>B202</x:f>
        <x:v>0.7750000000000007</x:v>
      </x:c>
      <x:c r="H182" s="117" t="n">
        <x:f>MAX(E182:E202)-MIN(E182:E202)</x:f>
        <x:v>0.3408612177392545</x:v>
      </x:c>
      <x:c r="I182" s="117" t="n">
        <x:f>SLOPE(E182:E202,B182:B202)</x:f>
        <x:v>3.393544121034415</x:v>
      </x:c>
      <x:c r="J182" s="123" t="n">
        <x:f>RSQ(E182:E202,B182:B202)</x:f>
        <x:v>0.9954817195304532</x:v>
      </x:c>
      <x:c r="K182" s="117" t="n">
        <x:f>IF(I182&gt;0,'Config'!$B$17/I182,"")</x:f>
        <x:v>294.6771765251667</x:v>
      </x:c>
      <x:c r="L182" s="120" t="n">
        <x:f>MAX(D182:D202)</x:f>
        <x:v>0.000160981457480334</x:v>
      </x:c>
      <x:c r="M182" s="120" t="str">
        <x:f>IF(AND(H182&gt;='Config'!$B$14,J182&gt;='Config'!$B$15,L182&lt;=$E$4,I182&gt;0),K182,"")</x:f>
      </x:c>
      <x:c r="N182" s="17" t="str">
        <x:f>IF(AND(M182&lt;&gt;"",ABS(M182-$G$4)&lt;='Config'!$B$22),"SELECTED","")</x:f>
      </x:c>
    </x:row>
    <x:row r="183">
      <x:c r="A183" s="15" t="n">
        <x:v>1182</x:v>
      </x:c>
      <x:c r="B183" s="117" t="n">
        <x:f>VALUE('Raw_Data'!I1182)</x:f>
        <x:v>0.6800000000000006</x:v>
      </x:c>
      <x:c r="C183" s="117" t="n">
        <x:f>ROUND(B183,'Config'!$B$25)</x:f>
        <x:v>0.68</x:v>
      </x:c>
      <x:c r="D183" s="120" t="n">
        <x:f>VALUE('Raw_Data'!J1182)</x:f>
        <x:v>0.00007715530521942579</x:v>
      </x:c>
      <x:c r="E183" s="117" t="n">
        <x:f>LN(ABS(D183))/LN(10)</x:f>
        <x:v>-4.11263420636937</x:v>
      </x:c>
      <x:c r="F183" s="117" t="n">
        <x:f>B183</x:f>
        <x:v>0.6800000000000006</x:v>
      </x:c>
      <x:c r="G183" s="117" t="n">
        <x:f>B203</x:f>
        <x:v>0.7800000000000007</x:v>
      </x:c>
      <x:c r="H183" s="117" t="n">
        <x:f>MAX(E183:E203)-MIN(E183:E203)</x:f>
        <x:v>0.33249316428651143</x:v>
      </x:c>
      <x:c r="I183" s="117" t="n">
        <x:f>SLOPE(E183:E203,B183:B203)</x:f>
        <x:v>3.3101229587151453</x:v>
      </x:c>
      <x:c r="J183" s="123" t="n">
        <x:f>RSQ(E183:E203,B183:B203)</x:f>
        <x:v>0.9955398412781219</x:v>
      </x:c>
      <x:c r="K183" s="117" t="n">
        <x:f>IF(I183&gt;0,'Config'!$B$17/I183,"")</x:f>
        <x:v>302.1035811878599</x:v>
      </x:c>
      <x:c r="L183" s="120" t="n">
        <x:f>MAX(D183:D203)</x:f>
        <x:v>0.0001659048025183079</x:v>
      </x:c>
      <x:c r="M183" s="120" t="str">
        <x:f>IF(AND(H183&gt;='Config'!$B$14,J183&gt;='Config'!$B$15,L183&lt;=$E$4,I183&gt;0),K183,"")</x:f>
      </x:c>
      <x:c r="N183" s="17" t="str">
        <x:f>IF(AND(M183&lt;&gt;"",ABS(M183-$G$4)&lt;='Config'!$B$22),"SELECTED","")</x:f>
      </x:c>
    </x:row>
    <x:row r="184">
      <x:c r="A184" s="15" t="n">
        <x:v>1183</x:v>
      </x:c>
      <x:c r="B184" s="117" t="n">
        <x:f>VALUE('Raw_Data'!I1183)</x:f>
        <x:v>0.6850000000000006</x:v>
      </x:c>
      <x:c r="C184" s="117" t="n">
        <x:f>ROUND(B184,'Config'!$B$25)</x:f>
        <x:v>0.685</x:v>
      </x:c>
      <x:c r="D184" s="120" t="n">
        <x:f>VALUE('Raw_Data'!J1183)</x:f>
        <x:v>0.00008095986979910509</x:v>
      </x:c>
      <x:c r="E184" s="117" t="n">
        <x:f>LN(ABS(D184))/LN(10)</x:f>
        <x:v>-4.09173019894271</x:v>
      </x:c>
      <x:c r="F184" s="117" t="n">
        <x:f>B184</x:f>
        <x:v>0.6850000000000006</x:v>
      </x:c>
      <x:c r="G184" s="117" t="n">
        <x:f>B204</x:f>
        <x:v>0.7850000000000007</x:v>
      </x:c>
      <x:c r="H184" s="117" t="n">
        <x:f>MAX(E184:E204)-MIN(E184:E204)</x:f>
        <x:v>0.32438019676926233</x:v>
      </x:c>
      <x:c r="I184" s="117" t="n">
        <x:f>SLOPE(E184:E204,B184:B204)</x:f>
        <x:v>3.2292807049634926</x:v>
      </x:c>
      <x:c r="J184" s="123" t="n">
        <x:f>RSQ(E184:E204,B184:B204)</x:f>
        <x:v>0.9956023934352176</x:v>
      </x:c>
      <x:c r="K184" s="117" t="n">
        <x:f>IF(I184&gt;0,'Config'!$B$17/I184,"")</x:f>
        <x:v>309.6664834565087</x:v>
      </x:c>
      <x:c r="L184" s="120" t="n">
        <x:f>MAX(D184:D204)</x:f>
        <x:v>0.0001708637752182043</x:v>
      </x:c>
      <x:c r="M184" s="120" t="str">
        <x:f>IF(AND(H184&gt;='Config'!$B$14,J184&gt;='Config'!$B$15,L184&lt;=$E$4,I184&gt;0),K184,"")</x:f>
      </x:c>
      <x:c r="N184" s="17" t="str">
        <x:f>IF(AND(M184&lt;&gt;"",ABS(M184-$G$4)&lt;='Config'!$B$22),"SELECTED","")</x:f>
      </x:c>
    </x:row>
    <x:row r="185">
      <x:c r="A185" s="15" t="n">
        <x:v>1184</x:v>
      </x:c>
      <x:c r="B185" s="117" t="n">
        <x:f>VALUE('Raw_Data'!I1184)</x:f>
        <x:v>0.6900000000000006</x:v>
      </x:c>
      <x:c r="C185" s="117" t="n">
        <x:f>ROUND(B185,'Config'!$B$25)</x:f>
        <x:v>0.69</x:v>
      </x:c>
      <x:c r="D185" s="120" t="n">
        <x:f>VALUE('Raw_Data'!J1184)</x:f>
        <x:v>0.00008484781329460702</x:v>
      </x:c>
      <x:c r="E185" s="117" t="n">
        <x:f>LN(ABS(D185))/LN(10)</x:f>
        <x:v>-4.071359345878104</x:v>
      </x:c>
      <x:c r="F185" s="117" t="n">
        <x:f>B185</x:f>
        <x:v>0.6900000000000006</x:v>
      </x:c>
      <x:c r="G185" s="117" t="n">
        <x:f>B205</x:f>
        <x:v>0.7900000000000007</x:v>
      </x:c>
      <x:c r="H185" s="117" t="n">
        <x:f>MAX(E185:E205)-MIN(E185:E205)</x:f>
        <x:v>0.31651805743434824</x:v>
      </x:c>
      <x:c r="I185" s="117" t="n">
        <x:f>SLOPE(E185:E205,B185:B205)</x:f>
        <x:v>3.150970143366193</x:v>
      </x:c>
      <x:c r="J185" s="123" t="n">
        <x:f>RSQ(E185:E205,B185:B205)</x:f>
        <x:v>0.9956688443864513</x:v>
      </x:c>
      <x:c r="K185" s="117" t="n">
        <x:f>IF(I185&gt;0,'Config'!$B$17/I185,"")</x:f>
        <x:v>317.36257549292304</x:v>
      </x:c>
      <x:c r="L185" s="120" t="n">
        <x:f>MAX(D185:D205)</x:f>
        <x:v>0.0001758566159030563</x:v>
      </x:c>
      <x:c r="M185" s="120" t="str">
        <x:f>IF(AND(H185&gt;='Config'!$B$14,J185&gt;='Config'!$B$15,L185&lt;=$E$4,I185&gt;0),K185,"")</x:f>
      </x:c>
      <x:c r="N185" s="17" t="str">
        <x:f>IF(AND(M185&lt;&gt;"",ABS(M185-$G$4)&lt;='Config'!$B$22),"SELECTED","")</x:f>
      </x:c>
    </x:row>
    <x:row r="186">
      <x:c r="A186" s="15" t="n">
        <x:v>1185</x:v>
      </x:c>
      <x:c r="B186" s="117" t="n">
        <x:f>VALUE('Raw_Data'!I1185)</x:f>
        <x:v>0.6950000000000006</x:v>
      </x:c>
      <x:c r="C186" s="117" t="n">
        <x:f>ROUND(B186,'Config'!$B$25)</x:f>
        <x:v>0.695</x:v>
      </x:c>
      <x:c r="D186" s="120" t="n">
        <x:f>VALUE('Raw_Data'!J1185)</x:f>
        <x:v>0.00008881626180850439</x:v>
      </x:c>
      <x:c r="E186" s="117" t="n">
        <x:f>LN(ABS(D186))/LN(10)</x:f>
        <x:v>-4.0515075098169655</x:v>
      </x:c>
      <x:c r="F186" s="117" t="n">
        <x:f>B186</x:f>
        <x:v>0.6950000000000006</x:v>
      </x:c>
      <x:c r="G186" s="117" t="n">
        <x:f>B206</x:f>
        <x:v>0.7950000000000007</x:v>
      </x:c>
      <x:c r="H186" s="117" t="n">
        <x:f>MAX(E186:E206)-MIN(E186:E206)</x:f>
        <x:v>0.3089020132817124</x:v>
      </x:c>
      <x:c r="I186" s="117" t="n">
        <x:f>SLOPE(E186:E206,B186:B206)</x:f>
        <x:v>3.075139683664153</x:v>
      </x:c>
      <x:c r="J186" s="123" t="n">
        <x:f>RSQ(E186:E206,B186:B206)</x:f>
        <x:v>0.9957386839196868</x:v>
      </x:c>
      <x:c r="K186" s="117" t="n">
        <x:f>IF(I186&gt;0,'Config'!$B$17/I186,"")</x:f>
        <x:v>325.1884801566021</x:v>
      </x:c>
      <x:c r="L186" s="120" t="n">
        <x:f>MAX(D186:D206)</x:f>
        <x:v>0.0001808816468683295</x:v>
      </x:c>
      <x:c r="M186" s="120" t="str">
        <x:f>IF(AND(H186&gt;='Config'!$B$14,J186&gt;='Config'!$B$15,L186&lt;=$E$4,I186&gt;0),K186,"")</x:f>
      </x:c>
      <x:c r="N186" s="17" t="str">
        <x:f>IF(AND(M186&lt;&gt;"",ABS(M186-$G$4)&lt;='Config'!$B$22),"SELECTED","")</x:f>
      </x:c>
    </x:row>
    <x:row r="187">
      <x:c r="A187" s="15" t="n">
        <x:v>1186</x:v>
      </x:c>
      <x:c r="B187" s="117" t="n">
        <x:f>VALUE('Raw_Data'!I1186)</x:f>
        <x:v>0.7000000000000006</x:v>
      </x:c>
      <x:c r="C187" s="117" t="n">
        <x:f>ROUND(B187,'Config'!$B$25)</x:f>
        <x:v>0.7</x:v>
      </x:c>
      <x:c r="D187" s="120" t="n">
        <x:f>VALUE('Raw_Data'!J1186)</x:f>
        <x:v>0.00009286231782099647</x:v>
      </x:c>
      <x:c r="E187" s="117" t="n">
        <x:f>LN(ABS(D187))/LN(10)</x:f>
        <x:v>-4.032160480649316</x:v>
      </x:c>
      <x:c r="F187" s="117" t="n">
        <x:f>B187</x:f>
        <x:v>0.7000000000000006</x:v>
      </x:c>
      <x:c r="G187" s="117" t="n">
        <x:f>B207</x:f>
        <x:v>0.8000000000000007</x:v>
      </x:c>
      <x:c r="H187" s="117" t="n">
        <x:f>MAX(E187:E207)-MIN(E187:E207)</x:f>
        <x:v>0.30152693145251774</x:v>
      </x:c>
      <x:c r="I187" s="117" t="n">
        <x:f>SLOPE(E187:E207,B187:B207)</x:f>
        <x:v>3.0017341124593115</x:v>
      </x:c>
      <x:c r="J187" s="123" t="n">
        <x:f>RSQ(E187:E207,B187:B207)</x:f>
        <x:v>0.9958114257739152</x:v>
      </x:c>
      <x:c r="K187" s="117" t="n">
        <x:f>IF(I187&gt;0,'Config'!$B$17/I187,"")</x:f>
        <x:v>333.140765482624</x:v>
      </x:c>
      <x:c r="L187" s="120" t="n">
        <x:f>MAX(D187:D207)</x:f>
        <x:v>0.000185937270259543</x:v>
      </x:c>
      <x:c r="M187" s="120" t="str">
        <x:f>IF(AND(H187&gt;='Config'!$B$14,J187&gt;='Config'!$B$15,L187&lt;=$E$4,I187&gt;0),K187,"")</x:f>
      </x:c>
      <x:c r="N187" s="17" t="str">
        <x:f>IF(AND(M187&lt;&gt;"",ABS(M187-$G$4)&lt;='Config'!$B$22),"SELECTED","")</x:f>
      </x:c>
    </x:row>
    <x:row r="188">
      <x:c r="A188" s="15" t="n">
        <x:v>1187</x:v>
      </x:c>
      <x:c r="B188" s="117" t="n">
        <x:f>VALUE('Raw_Data'!I1187)</x:f>
        <x:v>0.7050000000000006</x:v>
      </x:c>
      <x:c r="C188" s="117" t="n">
        <x:f>ROUND(B188,'Config'!$B$25)</x:f>
        <x:v>0.705</x:v>
      </x:c>
      <x:c r="D188" s="120" t="n">
        <x:f>VALUE('Raw_Data'!J1187)</x:f>
        <x:v>0.00009698307744163202</x:v>
      </x:c>
      <x:c r="E188" s="117" t="n">
        <x:f>LN(ABS(D188))/LN(10)</x:f>
        <x:v>-4.013304039083002</x:v>
      </x:c>
      <x:c r="F188" s="16" t="n">
        <x:f>B188</x:f>
        <x:v>0.7050000000000006</x:v>
      </x:c>
      <x:c r="G188" s="16" t="n">
        <x:f>B208</x:f>
        <x:v>0.8050000000000007</x:v>
      </x:c>
      <x:c r="H188" s="16" t="n">
        <x:f>MAX(E188:E208)-MIN(E188:E208)</x:f>
        <x:v>0.2943873489762323</x:v>
      </x:c>
      <x:c r="I188" s="16" t="n">
        <x:f>SLOPE(E188:E208,B188:B208)</x:f>
        <x:v>2.930695281806226</x:v>
      </x:c>
      <x:c r="J188" s="16" t="n">
        <x:f>RSQ(E188:E208,B188:B208)</x:f>
        <x:v>0.9958866095469711</x:v>
      </x:c>
      <x:c r="K188" s="16" t="n">
        <x:f>IF(I188&gt;0,'Config'!$B$17/I188,"")</x:f>
        <x:v>341.21595861842275</x:v>
      </x:c>
      <x:c r="L188" s="16" t="n">
        <x:f>MAX(D188:D208)</x:f>
        <x:v>0.0001910219657264625</x:v>
      </x:c>
      <x:c r="M188" s="16" t="str">
        <x:f>IF(AND(H188&gt;='Config'!$B$14,J188&gt;='Config'!$B$15,L188&lt;=$E$4,I188&gt;0),K188,"")</x:f>
      </x:c>
      <x:c r="N188" s="17" t="str">
        <x:f>IF(AND(M188&lt;&gt;"",ABS(M188-$G$4)&lt;='Config'!$B$22),"SELECTED","")</x:f>
      </x:c>
    </x:row>
    <x:row r="189">
      <x:c r="A189" s="15" t="n">
        <x:v>1188</x:v>
      </x:c>
      <x:c r="B189" s="117" t="n">
        <x:f>VALUE('Raw_Data'!I1188)</x:f>
        <x:v>0.7100000000000006</x:v>
      </x:c>
      <x:c r="C189" s="117" t="n">
        <x:f>ROUND(B189,'Config'!$B$25)</x:f>
        <x:v>0.71</x:v>
      </x:c>
      <x:c r="D189" s="120" t="n">
        <x:f>VALUE('Raw_Data'!J1188)</x:f>
        <x:v>0.0001011756460477936</x:v>
      </x:c>
      <x:c r="E189" s="117" t="n">
        <x:f>LN(ABS(D189))/LN(10)</x:f>
        <x:v>-3.9949240137800226</x:v>
      </x:c>
      <x:c r="F189" s="16" t="n">
        <x:f>B189</x:f>
        <x:v>0.7100000000000006</x:v>
      </x:c>
      <x:c r="G189" s="16" t="n">
        <x:f>B209</x:f>
        <x:v>0.8100000000000007</x:v>
      </x:c>
      <x:c r="H189" s="16" t="n">
        <x:f>MAX(E189:E209)-MIN(E189:E209)</x:f>
        <x:v>0.28747753679853005</x:v>
      </x:c>
      <x:c r="I189" s="16" t="n">
        <x:f>SLOPE(E189:E209,B189:B209)</x:f>
        <x:v>2.861962736332279</x:v>
      </x:c>
      <x:c r="J189" s="16" t="n">
        <x:f>RSQ(E189:E209,B189:B209)</x:f>
        <x:v>0.9959638020297534</x:v>
      </x:c>
      <x:c r="K189" s="16" t="n">
        <x:f>IF(I189&gt;0,'Config'!$B$17/I189,"")</x:f>
        <x:v>349.4105591610674</x:v>
      </x:c>
      <x:c r="L189" s="16" t="n">
        <x:f>MAX(D189:D209)</x:f>
        <x:v>0.0001961342879036885</x:v>
      </x:c>
      <x:c r="M189" s="16" t="str">
        <x:f>IF(AND(H189&gt;='Config'!$B$14,J189&gt;='Config'!$B$15,L189&lt;=$E$4,I189&gt;0),K189,"")</x:f>
      </x:c>
      <x:c r="N189" s="17" t="str">
        <x:f>IF(AND(M189&lt;&gt;"",ABS(M189-$G$4)&lt;='Config'!$B$22),"SELECTED","")</x:f>
      </x:c>
    </x:row>
    <x:row r="190">
      <x:c r="A190" s="15" t="n">
        <x:v>1189</x:v>
      </x:c>
      <x:c r="B190" s="117" t="n">
        <x:f>VALUE('Raw_Data'!I1189)</x:f>
        <x:v>0.7150000000000006</x:v>
      </x:c>
      <x:c r="C190" s="117" t="n">
        <x:f>ROUND(B190,'Config'!$B$25)</x:f>
        <x:v>0.715</x:v>
      </x:c>
      <x:c r="D190" s="120" t="n">
        <x:f>VALUE('Raw_Data'!J1189)</x:f>
        <x:v>0.0001054371522973078</x:v>
      </x:c>
      <x:c r="E190" s="117" t="n">
        <x:f>LN(ABS(D190))/LN(10)</x:f>
        <x:v>-3.9770063322480396</x:v>
      </x:c>
      <x:c r="F190" s="16" t="n">
        <x:f>B190</x:f>
        <x:v>0.7150000000000006</x:v>
      </x:c>
      <x:c r="G190" s="16" t="n">
        <x:f>B210</x:f>
        <x:v>0.8150000000000007</x:v>
      </x:c>
      <x:c r="H190" s="16" t="n">
        <x:f>MAX(E190:E210)-MIN(E190:E210)</x:f>
        <x:v>0.28079155814030043</x:v>
      </x:c>
      <x:c r="I190" s="16" t="n">
        <x:f>SLOPE(E190:E210,B190:B210)</x:f>
        <x:v>2.7954742804606156</x:v>
      </x:c>
      <x:c r="J190" s="16" t="n">
        <x:f>RSQ(E190:E210,B190:B210)</x:f>
        <x:v>0.9960425980312322</x:v>
      </x:c>
      <x:c r="K190" s="16" t="n">
        <x:f>IF(I190&gt;0,'Config'!$B$17/I190,"")</x:f>
        <x:v>357.72105184070165</x:v>
      </x:c>
      <x:c r="L190" s="16" t="n">
        <x:f>MAX(D190:D210)</x:f>
        <x:v>0.0002012728637616925</x:v>
      </x:c>
      <x:c r="M190" s="16" t="str">
        <x:f>IF(AND(H190&gt;='Config'!$B$14,J190&gt;='Config'!$B$15,L190&lt;=$E$4,I190&gt;0),K190,"")</x:f>
      </x:c>
      <x:c r="N190" s="17" t="str">
        <x:f>IF(AND(M190&lt;&gt;"",ABS(M190-$G$4)&lt;='Config'!$B$22),"SELECTED","")</x:f>
      </x:c>
    </x:row>
    <x:row r="191">
      <x:c r="A191" s="15" t="n">
        <x:v>1190</x:v>
      </x:c>
      <x:c r="B191" s="117" t="n">
        <x:f>VALUE('Raw_Data'!I1190)</x:f>
        <x:v>0.7200000000000006</x:v>
      </x:c>
      <x:c r="C191" s="117" t="n">
        <x:f>ROUND(B191,'Config'!$B$25)</x:f>
        <x:v>0.72</x:v>
      </x:c>
      <x:c r="D191" s="120" t="n">
        <x:f>VALUE('Raw_Data'!J1190)</x:f>
        <x:v>0.00010976476053205</x:v>
      </x:c>
      <x:c r="E191" s="117" t="n">
        <x:f>LN(ABS(D191))/LN(10)</x:f>
        <x:v>-3.95953706574113</x:v>
      </x:c>
      <x:c r="F191" s="16" t="n">
        <x:f>B191</x:f>
        <x:v>0.7200000000000006</x:v>
      </x:c>
      <x:c r="G191" s="16" t="n">
        <x:f>B211</x:f>
        <x:v>0.8200000000000007</x:v>
      </x:c>
      <x:c r="H191" s="16" t="n">
        <x:f>MAX(E191:E211)-MIN(E191:E211)</x:f>
        <x:v>0.27432332131977244</x:v>
      </x:c>
      <x:c r="I191" s="16" t="n">
        <x:f>SLOPE(E191:E211,B191:B211)</x:f>
        <x:v>2.731166487976837</x:v>
      </x:c>
      <x:c r="J191" s="16" t="n">
        <x:f>RSQ(E191:E211,B191:B211)</x:f>
        <x:v>0.9961226207577591</x:v>
      </x:c>
      <x:c r="K191" s="16" t="n">
        <x:f>IF(I191&gt;0,'Config'!$B$17/I191,"")</x:f>
        <x:v>366.14391850595996</x:v>
      </x:c>
      <x:c r="L191" s="16" t="n">
        <x:f>MAX(D191:D211)</x:f>
        <x:v>0.0002064363898671368</x:v>
      </x:c>
      <x:c r="M191" s="16" t="str">
        <x:f>IF(AND(H191&gt;='Config'!$B$14,J191&gt;='Config'!$B$15,L191&lt;=$E$4,I191&gt;0),K191,"")</x:f>
      </x:c>
      <x:c r="N191" s="17" t="str">
        <x:f>IF(AND(M191&lt;&gt;"",ABS(M191-$G$4)&lt;='Config'!$B$22),"SELECTED","")</x:f>
      </x:c>
    </x:row>
    <x:row r="192">
      <x:c r="A192" s="15" t="n">
        <x:v>1191</x:v>
      </x:c>
      <x:c r="B192" s="117" t="n">
        <x:f>VALUE('Raw_Data'!I1191)</x:f>
        <x:v>0.7250000000000006</x:v>
      </x:c>
      <x:c r="C192" s="117" t="n">
        <x:f>ROUND(B192,'Config'!$B$25)</x:f>
        <x:v>0.725</x:v>
      </x:c>
      <x:c r="D192" s="120" t="n">
        <x:f>VALUE('Raw_Data'!J1191)</x:f>
        <x:v>0.0001141556816140852</x:v>
      </x:c>
      <x:c r="E192" s="117" t="n">
        <x:f>LN(ABS(D192))/LN(10)</x:f>
        <x:v>-3.942502468473001</x:v>
      </x:c>
      <x:c r="F192" s="16" t="n">
        <x:f>B192</x:f>
        <x:v>0.7250000000000006</x:v>
      </x:c>
      <x:c r="G192" s="16" t="n">
        <x:f>B212</x:f>
        <x:v>0.8250000000000007</x:v>
      </x:c>
      <x:c r="H192" s="16" t="n">
        <x:f>MAX(E192:E212)-MIN(E192:E212)</x:f>
        <x:v>0.2680666272331589</x:v>
      </x:c>
      <x:c r="I192" s="16" t="n">
        <x:f>SLOPE(E192:E212,B192:B212)</x:f>
        <x:v>2.668975156678636</x:v>
      </x:c>
      <x:c r="J192" s="16" t="n">
        <x:f>RSQ(E192:E212,B192:B212)</x:f>
        <x:v>0.9962035218080675</x:v>
      </x:c>
      <x:c r="K192" s="16" t="n">
        <x:f>IF(I192&gt;0,'Config'!$B$17/I192,"")</x:f>
        <x:v>374.6756493771318</x:v>
      </x:c>
      <x:c r="L192" s="16" t="n">
        <x:f>MAX(D192:D212)</x:f>
        <x:v>0.0002116236295863458</x:v>
      </x:c>
      <x:c r="M192" s="16" t="str">
        <x:f>IF(AND(H192&gt;='Config'!$B$14,J192&gt;='Config'!$B$15,L192&lt;=$E$4,I192&gt;0),K192,"")</x:f>
      </x:c>
      <x:c r="N192" s="17" t="str">
        <x:f>IF(AND(M192&lt;&gt;"",ABS(M192-$G$4)&lt;='Config'!$B$22),"SELECTED","")</x:f>
      </x:c>
    </x:row>
    <x:row r="193">
      <x:c r="A193" s="15" t="n">
        <x:v>1192</x:v>
      </x:c>
      <x:c r="B193" s="117" t="n">
        <x:f>VALUE('Raw_Data'!I1192)</x:f>
        <x:v>0.7300000000000006</x:v>
      </x:c>
      <x:c r="C193" s="117" t="n">
        <x:f>ROUND(B193,'Config'!$B$25)</x:f>
        <x:v>0.73</x:v>
      </x:c>
      <x:c r="D193" s="120" t="n">
        <x:f>VALUE('Raw_Data'!J1192)</x:f>
        <x:v>0.0001186071822557276</x:v>
      </x:c>
      <x:c r="E193" s="117" t="n">
        <x:f>LN(ABS(D193))/LN(10)</x:f>
        <x:v>-3.9258890114811473</x:v>
      </x:c>
      <x:c r="F193" s="16" t="n">
        <x:f>B193</x:f>
        <x:v>0.7300000000000006</x:v>
      </x:c>
      <x:c r="G193" s="16" t="n">
        <x:f>B213</x:f>
        <x:v>0.8300000000000007</x:v>
      </x:c>
      <x:c r="H193" s="16" t="n">
        <x:f>MAX(E193:E213)-MIN(E193:E213)</x:f>
        <x:v>0.2620152117375554</x:v>
      </x:c>
      <x:c r="I193" s="16" t="n">
        <x:f>SLOPE(E193:E213,B193:B213)</x:f>
        <x:v>2.6088357112013787</x:v>
      </x:c>
      <x:c r="J193" s="16" t="n">
        <x:f>RSQ(E193:E213,B193:B213)</x:f>
        <x:v>0.996284980842238</x:v>
      </x:c>
      <x:c r="K193" s="16" t="n">
        <x:f>IF(I193&gt;0,'Config'!$B$17/I193,"")</x:f>
        <x:v>383.3127535422674</x:v>
      </x:c>
      <x:c r="L193" s="16" t="n">
        <x:f>MAX(D193:D213)</x:f>
        <x:v>0.0002168334102612119</x:v>
      </x:c>
      <x:c r="M193" s="16" t="str">
        <x:f>IF(AND(H193&gt;='Config'!$B$14,J193&gt;='Config'!$B$15,L193&lt;=$E$4,I193&gt;0),K193,"")</x:f>
      </x:c>
      <x:c r="N193" s="17" t="str">
        <x:f>IF(AND(M193&lt;&gt;"",ABS(M193-$G$4)&lt;='Config'!$B$22),"SELECTED","")</x:f>
      </x:c>
    </x:row>
    <x:row r="194">
      <x:c r="A194" s="15" t="n">
        <x:v>1193</x:v>
      </x:c>
      <x:c r="B194" s="117" t="n">
        <x:f>VALUE('Raw_Data'!I1193)</x:f>
        <x:v>0.7350000000000007</x:v>
      </x:c>
      <x:c r="C194" s="117" t="n">
        <x:f>ROUND(B194,'Config'!$B$25)</x:f>
        <x:v>0.735</x:v>
      </x:c>
      <x:c r="D194" s="120" t="n">
        <x:f>VALUE('Raw_Data'!J1193)</x:f>
        <x:v>0.0001231165929203276</x:v>
      </x:c>
      <x:c r="E194" s="117" t="n">
        <x:f>LN(ABS(D194))/LN(10)</x:f>
        <x:v>-3.909683411503209</x:v>
      </x:c>
      <x:c r="F194" s="16" t="n">
        <x:f>B194</x:f>
        <x:v>0.7350000000000007</x:v>
      </x:c>
      <x:c r="G194" s="16" t="n">
        <x:f>B214</x:f>
        <x:v>0.8350000000000007</x:v>
      </x:c>
      <x:c r="H194" s="16" t="n">
        <x:f>MAX(E194:E214)-MIN(E194:E214)</x:f>
        <x:v>0.2561627832146893</x:v>
      </x:c>
      <x:c r="I194" s="16" t="n">
        <x:f>SLOPE(E194:E214,B194:B214)</x:f>
        <x:v>2.550683557342746</x:v>
      </x:c>
      <x:c r="J194" s="16" t="n">
        <x:f>RSQ(E194:E214,B194:B214)</x:f>
        <x:v>0.9963667049789945</x:v>
      </x:c>
      <x:c r="K194" s="16" t="n">
        <x:f>IF(I194&gt;0,'Config'!$B$17/I194,"")</x:f>
        <x:v>392.0517686803067</x:v>
      </x:c>
      <x:c r="L194" s="16" t="n">
        <x:f>MAX(D194:D214)</x:f>
        <x:v>0.0002220646203827073</x:v>
      </x:c>
      <x:c r="M194" s="16" t="str">
        <x:f>IF(AND(H194&gt;='Config'!$B$14,J194&gt;='Config'!$B$15,L194&lt;=$E$4,I194&gt;0),K194,"")</x:f>
      </x:c>
      <x:c r="N194" s="17" t="str">
        <x:f>IF(AND(M194&lt;&gt;"",ABS(M194-$G$4)&lt;='Config'!$B$22),"SELECTED","")</x:f>
      </x:c>
    </x:row>
    <x:row r="195">
      <x:c r="A195" s="15" t="n">
        <x:v>1194</x:v>
      </x:c>
      <x:c r="B195" s="117" t="n">
        <x:f>VALUE('Raw_Data'!I1194)</x:f>
        <x:v>0.7400000000000007</x:v>
      </x:c>
      <x:c r="C195" s="117" t="n">
        <x:f>ROUND(B195,'Config'!$B$25)</x:f>
        <x:v>0.74</x:v>
      </x:c>
      <x:c r="D195" s="120" t="n">
        <x:f>VALUE('Raw_Data'!J1194)</x:f>
        <x:v>0.000127681314381998</x:v>
      </x:c>
      <x:c r="E195" s="117" t="n">
        <x:f>LN(ABS(D195))/LN(10)</x:f>
        <x:v>-3.893872655239032</x:v>
      </x:c>
      <x:c r="F195" s="16" t="n">
        <x:f>B195</x:f>
        <x:v>0.7400000000000007</x:v>
      </x:c>
      <x:c r="G195" s="16" t="n">
        <x:f>B215</x:f>
        <x:v>0.8400000000000007</x:v>
      </x:c>
      <x:c r="H195" s="16" t="n">
        <x:f>MAX(E195:E215)-MIN(E195:E215)</x:f>
        <x:v>0.2505030556170844</x:v>
      </x:c>
      <x:c r="I195" s="16" t="n">
        <x:f>SLOPE(E195:E215,B195:B215)</x:f>
        <x:v>2.494454391336168</x:v>
      </x:c>
      <x:c r="J195" s="16" t="n">
        <x:f>RSQ(E195:E215,B195:B215)</x:f>
        <x:v>0.9964484279714011</x:v>
      </x:c>
      <x:c r="K195" s="16" t="n">
        <x:f>IF(I195&gt;0,'Config'!$B$17/I195,"")</x:f>
        <x:v>400.8892700035877</x:v>
      </x:c>
      <x:c r="L195" s="16" t="n">
        <x:f>MAX(D195:D215)</x:f>
        <x:v>0.0002273162067833103</x:v>
      </x:c>
      <x:c r="M195" s="16" t="str">
        <x:f>IF(AND(H195&gt;='Config'!$B$14,J195&gt;='Config'!$B$15,L195&lt;=$E$4,I195&gt;0),K195,"")</x:f>
      </x:c>
      <x:c r="N195" s="17" t="str">
        <x:f>IF(AND(M195&lt;&gt;"",ABS(M195-$G$4)&lt;='Config'!$B$22),"SELECTED","")</x:f>
      </x:c>
    </x:row>
    <x:row r="196">
      <x:c r="A196" s="15" t="n">
        <x:v>1195</x:v>
      </x:c>
      <x:c r="B196" s="117" t="n">
        <x:f>VALUE('Raw_Data'!I1195)</x:f>
        <x:v>0.7450000000000007</x:v>
      </x:c>
      <x:c r="C196" s="117" t="n">
        <x:f>ROUND(B196,'Config'!$B$25)</x:f>
        <x:v>0.745</x:v>
      </x:c>
      <x:c r="D196" s="120" t="n">
        <x:f>VALUE('Raw_Data'!J1195)</x:f>
        <x:v>0.0001322988230402122</x:v>
      </x:c>
      <x:c r="E196" s="117" t="n">
        <x:f>LN(ABS(D196))/LN(10)</x:f>
        <x:v>-3.8784440193757255</x:v>
      </x:c>
      <x:c r="F196" s="16" t="n">
        <x:f>B196</x:f>
        <x:v>0.7450000000000007</x:v>
      </x:c>
      <x:c r="G196" s="16" t="n">
        <x:f>B216</x:f>
        <x:v>0.8450000000000008</x:v>
      </x:c>
      <x:c r="H196" s="16" t="n">
        <x:f>MAX(E196:E216)-MIN(E196:E216)</x:f>
        <x:v>0.24502977731199582</x:v>
      </x:c>
      <x:c r="I196" s="16" t="n">
        <x:f>SLOPE(E196:E216,B196:B216)</x:f>
        <x:v>2.44008446756514</x:v>
      </x:c>
      <x:c r="J196" s="16" t="n">
        <x:f>RSQ(E196:E216,B196:B216)</x:f>
        <x:v>0.9965299092063702</x:v>
      </x:c>
      <x:c r="K196" s="16" t="n">
        <x:f>IF(I196&gt;0,'Config'!$B$17/I196,"")</x:f>
        <x:v>409.8218784195856</x:v>
      </x:c>
      <x:c r="L196" s="16" t="n">
        <x:f>MAX(D196:D216)</x:f>
        <x:v>0.0002325871718663239</x:v>
      </x:c>
      <x:c r="M196" s="16" t="str">
        <x:f>IF(AND(H196&gt;='Config'!$B$14,J196&gt;='Config'!$B$15,L196&lt;=$E$4,I196&gt;0),K196,"")</x:f>
      </x:c>
      <x:c r="N196" s="17" t="str">
        <x:f>IF(AND(M196&lt;&gt;"",ABS(M196-$G$4)&lt;='Config'!$B$22),"SELECTED","")</x:f>
      </x:c>
    </x:row>
    <x:row r="197">
      <x:c r="A197" s="15" t="n">
        <x:v>1196</x:v>
      </x:c>
      <x:c r="B197" s="117" t="n">
        <x:f>VALUE('Raw_Data'!I1196)</x:f>
        <x:v>0.7500000000000007</x:v>
      </x:c>
      <x:c r="C197" s="117" t="n">
        <x:f>ROUND(B197,'Config'!$B$25)</x:f>
        <x:v>0.75</x:v>
      </x:c>
      <x:c r="D197" s="120" t="n">
        <x:f>VALUE('Raw_Data'!J1196)</x:f>
        <x:v>0.0001369666750898708</x:v>
      </x:c>
      <x:c r="E197" s="117" t="n">
        <x:f>LN(ABS(D197))/LN(10)</x:f>
        <x:v>-3.8633850867494606</x:v>
      </x:c>
      <x:c r="F197" s="16" t="n">
        <x:f>B197</x:f>
        <x:v>0.7500000000000007</x:v>
      </x:c>
      <x:c r="G197" s="16" t="n">
        <x:f>B217</x:f>
        <x:v>0.8500000000000008</x:v>
      </x:c>
      <x:c r="H197" s="16" t="n">
        <x:f>MAX(E197:E217)-MIN(E197:E217)</x:f>
        <x:v>0.2397367560435293</x:v>
      </x:c>
      <x:c r="I197" s="16" t="n">
        <x:f>SLOPE(E197:E217,B197:B217)</x:f>
        <x:v>2.387510828183477</x:v>
      </x:c>
      <x:c r="J197" s="16" t="n">
        <x:f>RSQ(E197:E217,B197:B217)</x:f>
        <x:v>0.9966109325687161</x:v>
      </x:c>
      <x:c r="K197" s="16" t="n">
        <x:f>IF(I197&gt;0,'Config'!$B$17/I197,"")</x:f>
        <x:v>418.8462679186439</x:v>
      </x:c>
      <x:c r="L197" s="16" t="n">
        <x:f>MAX(D197:D217)</x:f>
        <x:v>0.0002378765708869011</x:v>
      </x:c>
      <x:c r="M197" s="16" t="str">
        <x:f>IF(AND(H197&gt;='Config'!$B$14,J197&gt;='Config'!$B$15,L197&lt;=$E$4,I197&gt;0),K197,"")</x:f>
      </x:c>
      <x:c r="N197" s="17" t="str">
        <x:f>IF(AND(M197&lt;&gt;"",ABS(M197-$G$4)&lt;='Config'!$B$22),"SELECTED","")</x:f>
      </x:c>
    </x:row>
    <x:row r="198">
      <x:c r="A198" s="15" t="n">
        <x:v>1197</x:v>
      </x:c>
      <x:c r="B198" s="117" t="n">
        <x:f>VALUE('Raw_Data'!I1197)</x:f>
        <x:v>0.7550000000000007</x:v>
      </x:c>
      <x:c r="C198" s="117" t="n">
        <x:f>ROUND(B198,'Config'!$B$25)</x:f>
        <x:v>0.755</x:v>
      </x:c>
      <x:c r="D198" s="120" t="n">
        <x:f>VALUE('Raw_Data'!J1197)</x:f>
        <x:v>0.0001416825096493646</x:v>
      </x:c>
      <x:c r="E198" s="117" t="n">
        <x:f>LN(ABS(D198))/LN(10)</x:f>
        <x:v>-3.848683759008711</x:v>
      </x:c>
      <x:c r="F198" s="16" t="n">
        <x:f>B198</x:f>
        <x:v>0.7550000000000007</x:v>
      </x:c>
      <x:c r="G198" s="16" t="n">
        <x:f>B218</x:f>
        <x:v>0.8550000000000008</x:v>
      </x:c>
      <x:c r="H198" s="16" t="n">
        <x:f>MAX(E198:E218)-MIN(E198:E218)</x:f>
        <x:v>0.23461788033242836</x:v>
      </x:c>
      <x:c r="I198" s="16" t="n">
        <x:f>SLOPE(E198:E218,B198:B218)</x:f>
        <x:v>2.336671498026647</x:v>
      </x:c>
      <x:c r="J198" s="16" t="n">
        <x:f>RSQ(E198:E218,B198:B218)</x:f>
        <x:v>0.9966913052058104</x:v>
      </x:c>
      <x:c r="K198" s="16" t="n">
        <x:f>IF(I198&gt;0,'Config'!$B$17/I198,"")</x:f>
        <x:v>427.9591722005059</x:v>
      </x:c>
      <x:c r="L198" s="16" t="n">
        <x:f>MAX(D198:D218)</x:f>
        <x:v>0.0002431835092969457</x:v>
      </x:c>
      <x:c r="M198" s="16" t="str">
        <x:f>IF(AND(H198&gt;='Config'!$B$14,J198&gt;='Config'!$B$15,L198&lt;=$E$4,I198&gt;0),K198,"")</x:f>
      </x:c>
      <x:c r="N198" s="17" t="str">
        <x:f>IF(AND(M198&lt;&gt;"",ABS(M198-$G$4)&lt;='Config'!$B$22),"SELECTED","")</x:f>
      </x:c>
    </x:row>
    <x:row r="199">
      <x:c r="A199" s="15" t="n">
        <x:v>1198</x:v>
      </x:c>
      <x:c r="B199" s="117" t="n">
        <x:f>VALUE('Raw_Data'!I1198)</x:f>
        <x:v>0.7600000000000007</x:v>
      </x:c>
      <x:c r="C199" s="117" t="n">
        <x:f>ROUND(B199,'Config'!$B$25)</x:f>
        <x:v>0.76</x:v>
      </x:c>
      <x:c r="D199" s="120" t="n">
        <x:f>VALUE('Raw_Data'!J1198)</x:f>
        <x:v>0.0001464440509488882</x:v>
      </x:c>
      <x:c r="E199" s="117" t="n">
        <x:f>LN(ABS(D199))/LN(10)</x:f>
        <x:v>-3.8343282661301994</x:v>
      </x:c>
      <x:c r="F199" s="16" t="n">
        <x:f>B199</x:f>
        <x:v>0.7600000000000007</x:v>
      </x:c>
      <x:c r="G199" s="16" t="n">
        <x:f>B219</x:f>
        <x:v>0.8600000000000008</x:v>
      </x:c>
      <x:c r="H199" s="16" t="n">
        <x:f>MAX(E199:E219)-MIN(E199:E219)</x:f>
        <x:v>0.22966713762652535</x:v>
      </x:c>
      <x:c r="I199" s="16" t="n">
        <x:f>SLOPE(E199:E219,B199:B219)</x:f>
        <x:v>2.2875056480779086</x:v>
      </x:c>
      <x:c r="J199" s="16" t="n">
        <x:f>RSQ(E199:E219,B199:B219)</x:f>
        <x:v>0.9967708562243892</x:v>
      </x:c>
      <x:c r="K199" s="16" t="n">
        <x:f>IF(I199&gt;0,'Config'!$B$17/I199,"")</x:f>
        <x:v>437.15739055781415</x:v>
      </x:c>
      <x:c r="L199" s="16" t="n">
        <x:f>MAX(D199:D219)</x:f>
        <x:v>0.0002485071401636014</x:v>
      </x:c>
      <x:c r="M199" s="16" t="str">
        <x:f>IF(AND(H199&gt;='Config'!$B$14,J199&gt;='Config'!$B$15,L199&lt;=$E$4,I199&gt;0),K199,"")</x:f>
      </x:c>
      <x:c r="N199" s="17" t="str">
        <x:f>IF(AND(M199&lt;&gt;"",ABS(M199-$G$4)&lt;='Config'!$B$22),"SELECTED","")</x:f>
      </x:c>
    </x:row>
    <x:row r="200">
      <x:c r="A200" s="15" t="n">
        <x:v>1199</x:v>
      </x:c>
      <x:c r="B200" s="117" t="n">
        <x:f>VALUE('Raw_Data'!I1199)</x:f>
        <x:v>0.7650000000000007</x:v>
      </x:c>
      <x:c r="C200" s="117" t="n">
        <x:f>ROUND(B200,'Config'!$B$25)</x:f>
        <x:v>0.765</x:v>
      </x:c>
      <x:c r="D200" s="120" t="n">
        <x:f>VALUE('Raw_Data'!J1199)</x:f>
        <x:v>0.0001512491096791367</x:v>
      </x:c>
      <x:c r="E200" s="117" t="n">
        <x:f>LN(ABS(D200))/LN(10)</x:f>
        <x:v>-3.820307173122277</x:v>
      </x:c>
      <x:c r="F200" s="16" t="n">
        <x:f>B200</x:f>
        <x:v>0.7650000000000007</x:v>
      </x:c>
      <x:c r="G200" s="16" t="n">
        <x:f>B220</x:f>
        <x:v>0.8650000000000008</x:v>
      </x:c>
      <x:c r="H200" s="16" t="n">
        <x:f>MAX(E200:E220)-MIN(E200:E220)</x:f>
        <x:v>0.22487862950459991</x:v>
      </x:c>
      <x:c r="I200" s="16" t="n">
        <x:f>SLOPE(E200:E220,B200:B220)</x:f>
        <x:v>2.2399537306015227</x:v>
      </x:c>
      <x:c r="J200" s="16" t="n">
        <x:f>RSQ(E200:E220,B200:B220)</x:f>
        <x:v>0.9968494353467365</x:v>
      </x:c>
      <x:c r="K200" s="16" t="n">
        <x:f>IF(I200&gt;0,'Config'!$B$17/I200,"")</x:f>
        <x:v>446.4377930393489</x:v>
      </x:c>
      <x:c r="L200" s="16" t="n">
        <x:f>MAX(D200:D220)</x:f>
        <x:v>0.0002538466616689089</x:v>
      </x:c>
      <x:c r="M200" s="16" t="str">
        <x:f>IF(AND(H200&gt;='Config'!$B$14,J200&gt;='Config'!$B$15,L200&lt;=$E$4,I200&gt;0),K200,"")</x:f>
      </x:c>
      <x:c r="N200" s="17" t="str">
        <x:f>IF(AND(M200&lt;&gt;"",ABS(M200-$G$4)&lt;='Config'!$B$22),"SELECTED","")</x:f>
      </x:c>
    </x:row>
    <x:row r="201">
      <x:c r="A201" s="15" t="n">
        <x:v>1200</x:v>
      </x:c>
      <x:c r="B201" s="117" t="n">
        <x:f>VALUE('Raw_Data'!I1200)</x:f>
        <x:v>0.7700000000000007</x:v>
      </x:c>
      <x:c r="C201" s="117" t="n">
        <x:f>ROUND(B201,'Config'!$B$25)</x:f>
        <x:v>0.77</x:v>
      </x:c>
      <x:c r="D201" s="120" t="n">
        <x:f>VALUE('Raw_Data'!J1200)</x:f>
        <x:v>0.0001560955835970038</x:v>
      </x:c>
      <x:c r="E201" s="117" t="n">
        <x:f>LN(ABS(D201))/LN(10)</x:f>
        <x:v>-3.806609384231522</x:v>
      </x:c>
      <x:c r="F201" s="16" t="n">
        <x:f>B201</x:f>
        <x:v>0.7700000000000007</x:v>
      </x:c>
      <x:c r="G201" s="16" t="n">
        <x:f>B221</x:f>
        <x:v>0.8700000000000008</x:v>
      </x:c>
      <x:c r="H201" s="16" t="n">
        <x:f>MAX(E201:E221)-MIN(E201:E221)</x:f>
        <x:v>0.22024658422306587</x:v>
      </x:c>
      <x:c r="I201" s="16" t="n">
        <x:f>SLOPE(E201:E221,B201:B221)</x:f>
        <x:v>2.1939575888827556</x:v>
      </x:c>
      <x:c r="J201" s="16" t="n">
        <x:f>RSQ(E201:E221,B201:B221)</x:f>
        <x:v>0.9969269115494899</x:v>
      </x:c>
      <x:c r="K201" s="16" t="n">
        <x:f>IF(I201&gt;0,'Config'!$B$17/I201,"")</x:f>
        <x:v>455.79732491968406</x:v>
      </x:c>
      <x:c r="L201" s="16" t="n">
        <x:f>MAX(D201:D221)</x:f>
        <x:v>0.0002592013146963965</x:v>
      </x:c>
      <x:c r="M201" s="16" t="str">
        <x:f>IF(AND(H201&gt;='Config'!$B$14,J201&gt;='Config'!$B$15,L201&lt;=$E$4,I201&gt;0),K201,"")</x:f>
      </x:c>
      <x:c r="N201" s="17" t="str">
        <x:f>IF(AND(M201&lt;&gt;"",ABS(M201-$G$4)&lt;='Config'!$B$22),"SELECTED","")</x:f>
      </x:c>
    </x:row>
    <x:row r="202">
      <x:c r="A202" s="15" t="n">
        <x:v>1201</x:v>
      </x:c>
      <x:c r="B202" s="117" t="n">
        <x:f>VALUE('Raw_Data'!I1201)</x:f>
        <x:v>0.7750000000000007</x:v>
      </x:c>
      <x:c r="C202" s="117" t="n">
        <x:f>ROUND(B202,'Config'!$B$25)</x:f>
        <x:v>0.775</x:v>
      </x:c>
      <x:c r="D202" s="120" t="n">
        <x:f>VALUE('Raw_Data'!J1201)</x:f>
        <x:v>0.000160981457480334</x:v>
      </x:c>
      <x:c r="E202" s="117" t="n">
        <x:f>LN(ABS(D202))/LN(10)</x:f>
        <x:v>-3.7932241449478887</x:v>
      </x:c>
      <x:c r="F202" s="16" t="n">
        <x:f>B202</x:f>
        <x:v>0.7750000000000007</x:v>
      </x:c>
      <x:c r="G202" s="16" t="n">
        <x:f>B222</x:f>
        <x:v>0.8750000000000008</x:v>
      </x:c>
      <x:c r="H202" s="16" t="n">
        <x:f>MAX(E202:E222)-MIN(E202:E222)</x:f>
        <x:v>0.21576536687925874</x:v>
      </x:c>
      <x:c r="I202" s="16" t="n">
        <x:f>SLOPE(E202:E222,B202:B222)</x:f>
        <x:v>2.1494605443283388</x:v>
      </x:c>
      <x:c r="J202" s="16" t="n">
        <x:f>RSQ(E202:E222,B202:B222)</x:f>
        <x:v>0.9970031717045871</x:v>
      </x:c>
      <x:c r="K202" s="16" t="n">
        <x:f>IF(I202&gt;0,'Config'!$B$17/I202,"")</x:f>
        <x:v>465.2330105051912</x:v>
      </x:c>
      <x:c r="L202" s="16" t="n">
        <x:f>MAX(D202:D222)</x:f>
        <x:v>0.0002645703805086977</x:v>
      </x:c>
      <x:c r="M202" s="16" t="str">
        <x:f>IF(AND(H202&gt;='Config'!$B$14,J202&gt;='Config'!$B$15,L202&lt;=$E$4,I202&gt;0),K202,"")</x:f>
      </x:c>
      <x:c r="N202" s="17" t="str">
        <x:f>IF(AND(M202&lt;&gt;"",ABS(M202-$G$4)&lt;='Config'!$B$22),"SELECTED","")</x:f>
      </x:c>
    </x:row>
    <x:row r="203">
      <x:c r="A203" s="15" t="n">
        <x:v>1202</x:v>
      </x:c>
      <x:c r="B203" s="117" t="n">
        <x:f>VALUE('Raw_Data'!I1202)</x:f>
        <x:v>0.7800000000000007</x:v>
      </x:c>
      <x:c r="C203" s="117" t="n">
        <x:f>ROUND(B203,'Config'!$B$25)</x:f>
        <x:v>0.78</x:v>
      </x:c>
      <x:c r="D203" s="120" t="n">
        <x:f>VALUE('Raw_Data'!J1202)</x:f>
        <x:v>0.0001659048025183079</x:v>
      </x:c>
      <x:c r="E203" s="117" t="n">
        <x:f>LN(ABS(D203))/LN(10)</x:f>
        <x:v>-3.780141042082859</x:v>
      </x:c>
      <x:c r="F203" s="16" t="n">
        <x:f>B203</x:f>
        <x:v>0.7800000000000007</x:v>
      </x:c>
      <x:c r="G203" s="16" t="n">
        <x:f>B223</x:f>
        <x:v>0.8800000000000008</x:v>
      </x:c>
      <x:c r="H203" s="16" t="n">
        <x:f>MAX(E203:E223)-MIN(E203:E223)</x:f>
        <x:v>0.21142948744860224</x:v>
      </x:c>
      <x:c r="I203" s="16" t="n">
        <x:f>SLOPE(E203:E223,B203:B223)</x:f>
        <x:v>2.106407463488417</x:v>
      </x:c>
      <x:c r="J203" s="16" t="n">
        <x:f>RSQ(E203:E223,B203:B223)</x:f>
        <x:v>0.9970781192385026</x:v>
      </x:c>
      <x:c r="K203" s="16" t="n">
        <x:f>IF(I203&gt;0,'Config'!$B$17/I203,"")</x:f>
        <x:v>474.74195630882457</x:v>
      </x:c>
      <x:c r="L203" s="16" t="n">
        <x:f>MAX(D203:D223)</x:f>
        <x:v>0.0002699531785189462</x:v>
      </x:c>
      <x:c r="M203" s="16" t="str">
        <x:f>IF(AND(H203&gt;='Config'!$B$14,J203&gt;='Config'!$B$15,L203&lt;=$E$4,I203&gt;0),K203,"")</x:f>
      </x:c>
      <x:c r="N203" s="17" t="str">
        <x:f>IF(AND(M203&lt;&gt;"",ABS(M203-$G$4)&lt;='Config'!$B$22),"SELECTED","")</x:f>
      </x:c>
    </x:row>
    <x:row r="204">
      <x:c r="A204" s="15" t="n">
        <x:v>1203</x:v>
      </x:c>
      <x:c r="B204" s="117" t="n">
        <x:f>VALUE('Raw_Data'!I1203)</x:f>
        <x:v>0.7850000000000007</x:v>
      </x:c>
      <x:c r="C204" s="117" t="n">
        <x:f>ROUND(B204,'Config'!$B$25)</x:f>
        <x:v>0.785</x:v>
      </x:c>
      <x:c r="D204" s="120" t="n">
        <x:f>VALUE('Raw_Data'!J1203)</x:f>
        <x:v>0.0001708637752182043</x:v>
      </x:c>
      <x:c r="E204" s="117" t="n">
        <x:f>LN(ABS(D204))/LN(10)</x:f>
        <x:v>-3.767350002173448</x:v>
      </x:c>
      <x:c r="F204" s="16" t="n">
        <x:f>B204</x:f>
        <x:v>0.7850000000000007</x:v>
      </x:c>
      <x:c r="G204" s="16" t="n">
        <x:f>B224</x:f>
        <x:v>0.8850000000000008</x:v>
      </x:c>
      <x:c r="H204" s="16" t="n">
        <x:f>MAX(E204:E224)-MIN(E204:E224)</x:f>
        <x:v>0.20723360693509862</x:v>
      </x:c>
      <x:c r="I204" s="16" t="n">
        <x:f>SLOPE(E204:E224,B204:B224)</x:f>
        <x:v>2.0647448073655785</x:v>
      </x:c>
      <x:c r="J204" s="16" t="n">
        <x:f>RSQ(E204:E224,B204:B224)</x:f>
        <x:v>0.9971516728229082</x:v>
      </x:c>
      <x:c r="K204" s="16" t="n">
        <x:f>IF(I204&gt;0,'Config'!$B$17/I204,"")</x:f>
        <x:v>484.32135362815444</x:v>
      </x:c>
      <x:c r="L204" s="16" t="n">
        <x:f>MAX(D204:D224)</x:f>
        <x:v>0.0002753490641575017</x:v>
      </x:c>
      <x:c r="M204" s="16" t="str">
        <x:f>IF(AND(H204&gt;='Config'!$B$14,J204&gt;='Config'!$B$15,L204&lt;=$E$4,I204&gt;0),K204,"")</x:f>
      </x:c>
      <x:c r="N204" s="17" t="str">
        <x:f>IF(AND(M204&lt;&gt;"",ABS(M204-$G$4)&lt;='Config'!$B$22),"SELECTED","")</x:f>
      </x:c>
    </x:row>
    <x:row r="205">
      <x:c r="A205" s="15" t="n">
        <x:v>1204</x:v>
      </x:c>
      <x:c r="B205" s="117" t="n">
        <x:f>VALUE('Raw_Data'!I1204)</x:f>
        <x:v>0.7900000000000007</x:v>
      </x:c>
      <x:c r="C205" s="117" t="n">
        <x:f>ROUND(B205,'Config'!$B$25)</x:f>
        <x:v>0.79</x:v>
      </x:c>
      <x:c r="D205" s="120" t="n">
        <x:f>VALUE('Raw_Data'!J1204)</x:f>
        <x:v>0.0001758566159030563</x:v>
      </x:c>
      <x:c r="E205" s="117" t="n">
        <x:f>LN(ABS(D205))/LN(10)</x:f>
        <x:v>-3.754841288443756</x:v>
      </x:c>
      <x:c r="F205" s="16" t="n">
        <x:f>B205</x:f>
        <x:v>0.7900000000000007</x:v>
      </x:c>
      <x:c r="G205" s="16" t="n">
        <x:f>B225</x:f>
        <x:v>0.8900000000000008</x:v>
      </x:c>
      <x:c r="H205" s="16" t="n">
        <x:f>MAX(E205:E225)-MIN(E205:E225)</x:f>
        <x:v>0.20317254185663858</x:v>
      </x:c>
      <x:c r="I205" s="16" t="n">
        <x:f>SLOPE(E205:E225,B205:B225)</x:f>
        <x:v>2.024420665183345</x:v>
      </x:c>
      <x:c r="J205" s="16" t="n">
        <x:f>RSQ(E205:E225,B205:B225)</x:f>
        <x:v>0.9972237651071642</x:v>
      </x:c>
      <x:c r="K205" s="16" t="n">
        <x:f>IF(I205&gt;0,'Config'!$B$17/I205,"")</x:f>
        <x:v>493.96848056252844</x:v>
      </x:c>
      <x:c r="L205" s="16" t="n">
        <x:f>MAX(D205:D225)</x:f>
        <x:v>0.0002807574268345184</x:v>
      </x:c>
      <x:c r="M205" s="16" t="str">
        <x:f>IF(AND(H205&gt;='Config'!$B$14,J205&gt;='Config'!$B$15,L205&lt;=$E$4,I205&gt;0),K205,"")</x:f>
      </x:c>
      <x:c r="N205" s="17" t="str">
        <x:f>IF(AND(M205&lt;&gt;"",ABS(M205-$G$4)&lt;='Config'!$B$22),"SELECTED","")</x:f>
      </x:c>
    </x:row>
    <x:row r="206">
      <x:c r="A206" s="15" t="n">
        <x:v>1205</x:v>
      </x:c>
      <x:c r="B206" s="117" t="n">
        <x:f>VALUE('Raw_Data'!I1205)</x:f>
        <x:v>0.7950000000000007</x:v>
      </x:c>
      <x:c r="C206" s="117" t="n">
        <x:f>ROUND(B206,'Config'!$B$25)</x:f>
        <x:v>0.795</x:v>
      </x:c>
      <x:c r="D206" s="120" t="n">
        <x:f>VALUE('Raw_Data'!J1205)</x:f>
        <x:v>0.0001808816468683295</x:v>
      </x:c>
      <x:c r="E206" s="117" t="n">
        <x:f>LN(ABS(D206))/LN(10)</x:f>
        <x:v>-3.742605496535253</x:v>
      </x:c>
      <x:c r="F206" s="16" t="n">
        <x:f>B206</x:f>
        <x:v>0.7950000000000007</x:v>
      </x:c>
      <x:c r="G206" s="16" t="n">
        <x:f>B226</x:f>
        <x:v>0.8950000000000008</x:v>
      </x:c>
      <x:c r="H206" s="16" t="n">
        <x:f>MAX(E206:E226)-MIN(E206:E226)</x:f>
        <x:v>0.19924126726905156</x:v>
      </x:c>
      <x:c r="I206" s="16" t="n">
        <x:f>SLOPE(E206:E226,B206:B226)</x:f>
        <x:v>1.9853847745983688</x:v>
      </x:c>
      <x:c r="J206" s="16" t="n">
        <x:f>RSQ(E206:E226,B206:B226)</x:f>
        <x:v>0.9972943415006971</x:v>
      </x:c>
      <x:c r="K206" s="16" t="n">
        <x:f>IF(I206&gt;0,'Config'!$B$17/I206,"")</x:f>
        <x:v>503.6807035060969</x:v>
      </x:c>
      <x:c r="L206" s="16" t="n">
        <x:f>MAX(D206:D226)</x:f>
        <x:v>0.0002861776879980341</x:v>
      </x:c>
      <x:c r="M206" s="16" t="str">
        <x:f>IF(AND(H206&gt;='Config'!$B$14,J206&gt;='Config'!$B$15,L206&lt;=$E$4,I206&gt;0),K206,"")</x:f>
      </x:c>
      <x:c r="N206" s="17" t="str">
        <x:f>IF(AND(M206&lt;&gt;"",ABS(M206-$G$4)&lt;='Config'!$B$22),"SELECTED","")</x:f>
      </x:c>
    </x:row>
    <x:row r="207">
      <x:c r="A207" s="18" t="n">
        <x:v>1206</x:v>
      </x:c>
      <x:c r="B207" s="118" t="n">
        <x:f>VALUE('Raw_Data'!I1206)</x:f>
        <x:v>0.8000000000000007</x:v>
      </x:c>
      <x:c r="C207" s="118" t="n">
        <x:f>ROUND(B207,'Config'!$B$25)</x:f>
        <x:v>0.8</x:v>
      </x:c>
      <x:c r="D207" s="121" t="n">
        <x:f>VALUE('Raw_Data'!J1206)</x:f>
        <x:v>0.000185937270259543</x:v>
      </x:c>
      <x:c r="E207" s="118" t="n">
        <x:f>LN(ABS(D207))/LN(10)</x:f>
        <x:v>-3.7306335491967983</x:v>
      </x:c>
      <x:c r="F207" s="19" t="n">
        <x:f>B207</x:f>
        <x:v>0.8000000000000007</x:v>
      </x:c>
      <x:c r="G207" s="19" t="n">
        <x:f>B227</x:f>
        <x:v>0.9000000000000008</x:v>
      </x:c>
      <x:c r="H207" s="19" t="n">
        <x:f>MAX(E207:E227)-MIN(E207:E227)</x:f>
        <x:v>0.195434918515081</x:v>
      </x:c>
      <x:c r="I207" s="19" t="n">
        <x:f>SLOPE(E207:E227,B207:B227)</x:f>
        <x:v>1.9475885301590596</x:v>
      </x:c>
      <x:c r="J207" s="19" t="n">
        <x:f>RSQ(E207:E227,B207:B227)</x:f>
        <x:v>0.9973633590112413</x:v>
      </x:c>
      <x:c r="K207" s="19" t="n">
        <x:f>IF(I207&gt;0,'Config'!$B$17/I207,"")</x:f>
        <x:v>513.455478153966</x:v>
      </x:c>
      <x:c r="L207" s="19" t="n">
        <x:f>MAX(D207:D227)</x:f>
        <x:v>0.0002916092992865899</x:v>
      </x:c>
      <x:c r="M207" s="19" t="str">
        <x:f>IF(AND(H207&gt;='Config'!$B$14,J207&gt;='Config'!$B$15,L207&lt;=$E$4,I207&gt;0),K207,"")</x:f>
      </x:c>
      <x:c r="N207" s="20" t="str">
        <x:f>IF(AND(M207&lt;&gt;"",ABS(M207-$G$4)&lt;='Config'!$B$22),"SELECTED","")</x:f>
      </x:c>
    </x:row>
    <x:row r="208">
      <x:c r="A208" t="n">
        <x:v>1207</x:v>
      </x:c>
      <x:c r="B208" t="n">
        <x:f>VALUE('Raw_Data'!I1207)</x:f>
        <x:v>0.8050000000000007</x:v>
      </x:c>
      <x:c r="C208" t="n">
        <x:f>ROUND(B208,'Config'!$B$25)</x:f>
        <x:v>0.805</x:v>
      </x:c>
      <x:c r="D208" t="n">
        <x:f>VALUE('Raw_Data'!J1207)</x:f>
        <x:v>0.0001910219657264625</x:v>
      </x:c>
      <x:c r="E208" t="n">
        <x:f>LN(ABS(D208))/LN(10)</x:f>
        <x:v>-3.71891669010677</x:v>
      </x:c>
      <x:c r="F208" t="n">
        <x:f>B208</x:f>
        <x:v>0.8050000000000007</x:v>
      </x:c>
      <x:c r="G208" t="n">
        <x:f>B228</x:f>
        <x:v>0.9050000000000008</x:v>
      </x:c>
      <x:c r="H208" t="n">
        <x:f>MAX(E208:E228)-MIN(E208:E228)</x:f>
        <x:v>0.19174879186791216</x:v>
      </x:c>
      <x:c r="I208" t="n">
        <x:f>SLOPE(E208:E228,B208:B228)</x:f>
        <x:v>1.9109849816413251</x:v>
      </x:c>
      <x:c r="J208" t="n">
        <x:f>RSQ(E208:E228,B208:B228)</x:f>
        <x:v>0.9974307851431252</x:v>
      </x:c>
      <x:c r="K208" t="n">
        <x:f>IF(I208&gt;0,'Config'!$B$17/I208,"")</x:f>
        <x:v>523.2903500586962</x:v>
      </x:c>
      <x:c r="L208" t="n">
        <x:f>MAX(D208:D228)</x:f>
        <x:v>0.0002970517407747155</x:v>
      </x:c>
      <x:c r="M208" t="str">
        <x:f>IF(AND(H208&gt;='Config'!$B$14,J208&gt;='Config'!$B$15,L208&lt;=$E$4,I208&gt;0),K208,"")</x:f>
      </x:c>
      <x:c r="N208" t="str">
        <x:f>IF(AND(M208&lt;&gt;"",ABS(M208-$G$4)&lt;='Config'!$B$22),"SELECTED","")</x:f>
      </x:c>
    </x:row>
    <x:row r="209">
      <x:c r="A209" t="n">
        <x:v>1208</x:v>
      </x:c>
      <x:c r="B209" t="n">
        <x:f>VALUE('Raw_Data'!I1208)</x:f>
        <x:v>0.8100000000000007</x:v>
      </x:c>
      <x:c r="C209" t="n">
        <x:f>ROUND(B209,'Config'!$B$25)</x:f>
        <x:v>0.81</x:v>
      </x:c>
      <x:c r="D209" t="n">
        <x:f>VALUE('Raw_Data'!J1208)</x:f>
        <x:v>0.0001961342879036885</x:v>
      </x:c>
      <x:c r="E209" t="n">
        <x:f>LN(ABS(D209))/LN(10)</x:f>
        <x:v>-3.7074464769814925</x:v>
      </x:c>
      <x:c r="F209" t="n">
        <x:f>B209</x:f>
        <x:v>0.8100000000000007</x:v>
      </x:c>
      <x:c r="G209" t="n">
        <x:f>B229</x:f>
        <x:v>0.9100000000000008</x:v>
      </x:c>
      <x:c r="H209" t="n">
        <x:f>MAX(E209:E229)-MIN(E209:E229)</x:f>
        <x:v>0.188178344222532</x:v>
      </x:c>
      <x:c r="I209" t="n">
        <x:f>SLOPE(E209:E229,B209:B229)</x:f>
        <x:v>1.8755288237291343</x:v>
      </x:c>
      <x:c r="J209" t="n">
        <x:f>RSQ(E209:E229,B209:B229)</x:f>
        <x:v>0.9974965968582808</x:v>
      </x:c>
      <x:c r="K209" t="n">
        <x:f>IF(I209&gt;0,'Config'!$B$17/I209,"")</x:f>
        <x:v>533.1829547741576</x:v>
      </x:c>
      <x:c r="L209" t="n">
        <x:f>MAX(D209:D229)</x:f>
        <x:v>0.000302504519309224</x:v>
      </x:c>
      <x:c r="M209" t="str">
        <x:f>IF(AND(H209&gt;='Config'!$B$14,J209&gt;='Config'!$B$15,L209&lt;=$E$4,I209&gt;0),K209,"")</x:f>
      </x:c>
      <x:c r="N209" t="str">
        <x:f>IF(AND(M209&lt;&gt;"",ABS(M209-$G$4)&lt;='Config'!$B$22),"SELECTED","")</x:f>
      </x:c>
    </x:row>
    <x:row r="210">
      <x:c r="A210" t="n">
        <x:v>1209</x:v>
      </x:c>
      <x:c r="B210" t="n">
        <x:f>VALUE('Raw_Data'!I1209)</x:f>
        <x:v>0.8150000000000007</x:v>
      </x:c>
      <x:c r="C210" t="n">
        <x:f>ROUND(B210,'Config'!$B$25)</x:f>
        <x:v>0.815</x:v>
      </x:c>
      <x:c r="D210" t="n">
        <x:f>VALUE('Raw_Data'!J1209)</x:f>
        <x:v>0.0002012728637616925</x:v>
      </x:c>
      <x:c r="E210" t="n">
        <x:f>LN(ABS(D210))/LN(10)</x:f>
        <x:v>-3.696214774107739</x:v>
      </x:c>
      <x:c r="F210" t="n">
        <x:f>B210</x:f>
        <x:v>0.8150000000000007</x:v>
      </x:c>
      <x:c r="G210" t="n">
        <x:f>B230</x:f>
        <x:v>0.9150000000000008</x:v>
      </x:c>
      <x:c r="H210" t="n">
        <x:f>MAX(E210:E230)-MIN(E210:E230)</x:f>
        <x:v>0.18471919197336506</x:v>
      </x:c>
      <x:c r="I210" t="n">
        <x:f>SLOPE(E210:E230,B210:B230)</x:f>
        <x:v>1.8411763783561923</x:v>
      </x:c>
      <x:c r="J210" t="n">
        <x:f>RSQ(E210:E230,B210:B230)</x:f>
        <x:v>0.9975607796013636</x:v>
      </x:c>
      <x:c r="K210" t="n">
        <x:f>IF(I210&gt;0,'Config'!$B$17/I210,"")</x:f>
        <x:v>543.1310176229846</x:v>
      </x:c>
      <x:c r="L210" t="n">
        <x:f>MAX(D210:D230)</x:f>
        <x:v>0.0003079671669338621</x:v>
      </x:c>
      <x:c r="M210" t="str">
        <x:f>IF(AND(H210&gt;='Config'!$B$14,J210&gt;='Config'!$B$15,L210&lt;=$E$4,I210&gt;0),K210,"")</x:f>
      </x:c>
      <x:c r="N210" t="str">
        <x:f>IF(AND(M210&lt;&gt;"",ABS(M210-$G$4)&lt;='Config'!$B$22),"SELECTED","")</x:f>
      </x:c>
    </x:row>
    <x:row r="211">
      <x:c r="A211" t="n">
        <x:v>1210</x:v>
      </x:c>
      <x:c r="B211" t="n">
        <x:f>VALUE('Raw_Data'!I1210)</x:f>
        <x:v>0.8200000000000007</x:v>
      </x:c>
      <x:c r="C211" t="n">
        <x:f>ROUND(B211,'Config'!$B$25)</x:f>
        <x:v>0.82</x:v>
      </x:c>
      <x:c r="D211" t="n">
        <x:f>VALUE('Raw_Data'!J1210)</x:f>
        <x:v>0.0002064363898671368</x:v>
      </x:c>
      <x:c r="E211" t="n">
        <x:f>LN(ABS(D211))/LN(10)</x:f>
        <x:v>-3.6852137444213575</x:v>
      </x:c>
      <x:c r="F211" t="n">
        <x:f>B211</x:f>
        <x:v>0.8200000000000007</x:v>
      </x:c>
      <x:c r="G211" t="n">
        <x:f>B231</x:f>
        <x:v>0.9200000000000008</x:v>
      </x:c>
      <x:c r="H211" t="n">
        <x:f>MAX(E211:E231)-MIN(E211:E231)</x:f>
        <x:v>0.1813671092020943</x:v>
      </x:c>
      <x:c r="I211" t="n">
        <x:f>SLOPE(E211:E231,B211:B231)</x:f>
        <x:v>1.8078855708833226</x:v>
      </x:c>
      <x:c r="J211" t="n">
        <x:f>RSQ(E211:E231,B211:B231)</x:f>
        <x:v>0.9976233263892997</x:v>
      </x:c>
      <x:c r="K211" t="n">
        <x:f>IF(I211&gt;0,'Config'!$B$17/I211,"")</x:f>
        <x:v>553.1323531231048</x:v>
      </x:c>
      <x:c r="L211" t="n">
        <x:f>MAX(D211:D231)</x:f>
        <x:v>0.0003134392393995268</x:v>
      </x:c>
      <x:c r="M211" t="str">
        <x:f>IF(AND(H211&gt;='Config'!$B$14,J211&gt;='Config'!$B$15,L211&lt;=$E$4,I211&gt;0),K211,"")</x:f>
      </x:c>
      <x:c r="N211" t="str">
        <x:f>IF(AND(M211&lt;&gt;"",ABS(M211-$G$4)&lt;='Config'!$B$22),"SELECTED","")</x:f>
      </x:c>
    </x:row>
    <x:row r="212">
      <x:c r="A212" t="n">
        <x:v>1211</x:v>
      </x:c>
      <x:c r="B212" t="n">
        <x:f>VALUE('Raw_Data'!I1211)</x:f>
        <x:v>0.8250000000000007</x:v>
      </x:c>
      <x:c r="C212" t="n">
        <x:f>ROUND(B212,'Config'!$B$25)</x:f>
        <x:v>0.825</x:v>
      </x:c>
      <x:c r="D212" t="n">
        <x:f>VALUE('Raw_Data'!J1211)</x:f>
        <x:v>0.0002116236295863458</x:v>
      </x:c>
      <x:c r="E212" t="n">
        <x:f>LN(ABS(D212))/LN(10)</x:f>
        <x:v>-3.674435841239842</x:v>
      </x:c>
      <x:c r="F212" t="n">
        <x:f>B212</x:f>
        <x:v>0.8250000000000007</x:v>
      </x:c>
      <x:c r="G212" t="n">
        <x:f>B232</x:f>
        <x:v>0.9250000000000008</x:v>
      </x:c>
      <x:c r="H212" t="n">
        <x:f>MAX(E212:E232)-MIN(E212:E232)</x:f>
        <x:v>0.1781180252865151</x:v>
      </x:c>
      <x:c r="I212" t="n">
        <x:f>SLOPE(E212:E232,B212:B232)</x:f>
        <x:v>1.775615901156189</x:v>
      </x:c>
      <x:c r="J212" t="n">
        <x:f>RSQ(E212:E232,B212:B232)</x:f>
        <x:v>0.9976842369647063</x:v>
      </x:c>
      <x:c r="K212" t="n">
        <x:f>IF(I212&gt;0,'Config'!$B$17/I212,"")</x:f>
        <x:v>563.1848641076326</x:v>
      </x:c>
      <x:c r="L212" t="n">
        <x:f>MAX(D212:D232)</x:f>
        <x:v>0.0003189203147570849</x:v>
      </x:c>
      <x:c r="M212" t="str">
        <x:f>IF(AND(H212&gt;='Config'!$B$14,J212&gt;='Config'!$B$15,L212&lt;=$E$4,I212&gt;0),K212,"")</x:f>
      </x:c>
      <x:c r="N212" t="str">
        <x:f>IF(AND(M212&lt;&gt;"",ABS(M212-$G$4)&lt;='Config'!$B$22),"SELECTED","")</x:f>
      </x:c>
    </x:row>
    <x:row r="213">
      <x:c r="A213" t="n">
        <x:v>1212</x:v>
      </x:c>
      <x:c r="B213" t="n">
        <x:f>VALUE('Raw_Data'!I1212)</x:f>
        <x:v>0.8300000000000007</x:v>
      </x:c>
      <x:c r="C213" t="n">
        <x:f>ROUND(B213,'Config'!$B$25)</x:f>
        <x:v>0.83</x:v>
      </x:c>
      <x:c r="D213" t="n">
        <x:f>VALUE('Raw_Data'!J1212)</x:f>
        <x:v>0.0002168334102612119</x:v>
      </x:c>
      <x:c r="E213" t="n">
        <x:f>LN(ABS(D213))/LN(10)</x:f>
        <x:v>-3.663873799743592</x:v>
      </x:c>
      <x:c r="F213" t="n">
        <x:f>B213</x:f>
        <x:v>0.8300000000000007</x:v>
      </x:c>
      <x:c r="G213" t="n">
        <x:f>B233</x:f>
        <x:v>0.9300000000000008</x:v>
      </x:c>
      <x:c r="H213" t="n">
        <x:f>MAX(E213:E233)-MIN(E213:E233)</x:f>
        <x:v>0.17496802202907213</x:v>
      </x:c>
      <x:c r="I213" t="n">
        <x:f>SLOPE(E213:E233,B213:B233)</x:f>
        <x:v>1.74432841036846</x:v>
      </x:c>
      <x:c r="J213" t="n">
        <x:f>RSQ(E213:E233,B213:B233)</x:f>
        <x:v>0.997743517011937</x:v>
      </x:c>
      <x:c r="K213" t="n">
        <x:f>IF(I213&gt;0,'Config'!$B$17/I213,"")</x:f>
        <x:v>573.2865405710883</x:v>
      </x:c>
      <x:c r="L213" t="n">
        <x:f>MAX(D213:D233)</x:f>
        <x:v>0.0003244099920296725</x:v>
      </x:c>
      <x:c r="M213" t="str">
        <x:f>IF(AND(H213&gt;='Config'!$B$14,J213&gt;='Config'!$B$15,L213&lt;=$E$4,I213&gt;0),K213,"")</x:f>
      </x:c>
      <x:c r="N213" t="str">
        <x:f>IF(AND(M213&lt;&gt;"",ABS(M213-$G$4)&lt;='Config'!$B$22),"SELECTED","")</x:f>
      </x:c>
    </x:row>
    <x:row r="214">
      <x:c r="A214" t="n">
        <x:v>1213</x:v>
      </x:c>
      <x:c r="B214" t="n">
        <x:f>VALUE('Raw_Data'!I1213)</x:f>
        <x:v>0.8350000000000007</x:v>
      </x:c>
      <x:c r="C214" t="n">
        <x:f>ROUND(B214,'Config'!$B$25)</x:f>
        <x:v>0.835</x:v>
      </x:c>
      <x:c r="D214" t="n">
        <x:f>VALUE('Raw_Data'!J1213)</x:f>
        <x:v>0.0002220646203827073</x:v>
      </x:c>
      <x:c r="E214" t="n">
        <x:f>LN(ABS(D214))/LN(10)</x:f>
        <x:v>-3.6535206282885198</x:v>
      </x:c>
      <x:c r="F214" t="n">
        <x:f>B214</x:f>
        <x:v>0.8350000000000007</x:v>
      </x:c>
      <x:c r="G214" t="n">
        <x:f>B234</x:f>
        <x:v>0.9350000000000008</x:v>
      </x:c>
      <x:c r="H214" t="n">
        <x:f>MAX(E214:E234)-MIN(E214:E234)</x:f>
        <x:v>0.17191333039232815</x:v>
      </x:c>
      <x:c r="I214" t="n">
        <x:f>SLOPE(E214:E234,B214:B234)</x:f>
        <x:v>1.7139856445461117</x:v>
      </x:c>
      <x:c r="J214" t="n">
        <x:f>RSQ(E214:E234,B214:B234)</x:f>
        <x:v>0.9978011774339233</x:v>
      </x:c>
      <x:c r="K214" t="n">
        <x:f>IF(I214&gt;0,'Config'!$B$17/I214,"")</x:f>
        <x:v>583.4354582735228</x:v>
      </x:c>
      <x:c r="L214" t="n">
        <x:f>MAX(D214:D234)</x:f>
        <x:v>0.0003299078899612007</x:v>
      </x:c>
      <x:c r="M214" t="str">
        <x:f>IF(AND(H214&gt;='Config'!$B$14,J214&gt;='Config'!$B$15,L214&lt;=$E$4,I214&gt;0),K214,"")</x:f>
      </x:c>
      <x:c r="N214" t="str">
        <x:f>IF(AND(M214&lt;&gt;"",ABS(M214-$G$4)&lt;='Config'!$B$22),"SELECTED","")</x:f>
      </x:c>
    </x:row>
    <x:row r="215">
      <x:c r="A215" t="n">
        <x:v>1214</x:v>
      </x:c>
      <x:c r="B215" t="n">
        <x:f>VALUE('Raw_Data'!I1214)</x:f>
        <x:v>0.8400000000000007</x:v>
      </x:c>
      <x:c r="C215" t="n">
        <x:f>ROUND(B215,'Config'!$B$25)</x:f>
        <x:v>0.84</x:v>
      </x:c>
      <x:c r="D215" t="n">
        <x:f>VALUE('Raw_Data'!J1214)</x:f>
        <x:v>0.0002273162067833103</x:v>
      </x:c>
      <x:c r="E215" t="n">
        <x:f>LN(ABS(D215))/LN(10)</x:f>
        <x:v>-3.6433695996219475</x:v>
      </x:c>
      <x:c r="F215" t="n">
        <x:f>B215</x:f>
        <x:v>0.8400000000000007</x:v>
      </x:c>
      <x:c r="G215" t="n">
        <x:f>B235</x:f>
        <x:v>0.9400000000000008</x:v>
      </x:c>
      <x:c r="H215" t="n">
        <x:f>MAX(E215:E235)-MIN(E215:E235)</x:f>
        <x:v>0.16895032691852307</x:v>
      </x:c>
      <x:c r="I215" t="n">
        <x:f>SLOPE(E215:E235,B215:B235)</x:f>
        <x:v>1.6845516153694944</x:v>
      </x:c>
      <x:c r="J215" t="n">
        <x:f>RSQ(E215:E235,B215:B235)</x:f>
        <x:v>0.9978572336875775</x:v>
      </x:c>
      <x:c r="K215" t="n">
        <x:f>IF(I215&gt;0,'Config'!$B$17/I215,"")</x:f>
        <x:v>593.6297771325085</x:v>
      </x:c>
      <x:c r="L215" t="n">
        <x:f>MAX(D215:D235)</x:f>
        <x:v>0.00033541364583777</x:v>
      </x:c>
      <x:c r="M215" t="str">
        <x:f>IF(AND(H215&gt;='Config'!$B$14,J215&gt;='Config'!$B$15,L215&lt;=$E$4,I215&gt;0),K215,"")</x:f>
      </x:c>
      <x:c r="N215" t="str">
        <x:f>IF(AND(M215&lt;&gt;"",ABS(M215-$G$4)&lt;='Config'!$B$22),"SELECTED","")</x:f>
      </x:c>
    </x:row>
    <x:row r="216">
      <x:c r="A216" t="n">
        <x:v>1215</x:v>
      </x:c>
      <x:c r="B216" t="n">
        <x:f>VALUE('Raw_Data'!I1215)</x:f>
        <x:v>0.8450000000000008</x:v>
      </x:c>
      <x:c r="C216" t="n">
        <x:f>ROUND(B216,'Config'!$B$25)</x:f>
        <x:v>0.845</x:v>
      </x:c>
      <x:c r="D216" t="n">
        <x:f>VALUE('Raw_Data'!J1215)</x:f>
        <x:v>0.0002325871718663239</x:v>
      </x:c>
      <x:c r="E216" t="n">
        <x:f>LN(ABS(D216))/LN(10)</x:f>
        <x:v>-3.6334142420637296</x:v>
      </x:c>
      <x:c r="F216" t="n">
        <x:f>B216</x:f>
        <x:v>0.8450000000000008</x:v>
      </x:c>
      <x:c r="G216" t="n">
        <x:f>B236</x:f>
        <x:v>0.9450000000000008</x:v>
      </x:c>
      <x:c r="H216" t="n">
        <x:f>MAX(E216:E236)-MIN(E216:E236)</x:f>
        <x:v>0.1660755299008656</x:v>
      </x:c>
      <x:c r="I216" t="n">
        <x:f>SLOPE(E216:E236,B216:B236)</x:f>
        <x:v>1.6559917589598385</x:v>
      </x:c>
      <x:c r="J216" t="n">
        <x:f>RSQ(E216:E236,B216:B236)</x:f>
        <x:v>0.9979117051751989</x:v>
      </x:c>
      <x:c r="K216" t="n">
        <x:f>IF(I216&gt;0,'Config'!$B$17/I216,"")</x:f>
        <x:v>603.8677394313363</x:v>
      </x:c>
      <x:c r="L216" t="n">
        <x:f>MAX(D216:D236)</x:f>
        <x:v>0.000340926914378683</x:v>
      </x:c>
      <x:c r="M216" t="str">
        <x:f>IF(AND(H216&gt;='Config'!$B$14,J216&gt;='Config'!$B$15,L216&lt;=$E$4,I216&gt;0),K216,"")</x:f>
      </x:c>
      <x:c r="N216" t="str">
        <x:f>IF(AND(M216&lt;&gt;"",ABS(M216-$G$4)&lt;='Config'!$B$22),"SELECTED","")</x:f>
      </x:c>
    </x:row>
    <x:row r="217">
      <x:c r="A217" t="n">
        <x:v>1216</x:v>
      </x:c>
      <x:c r="B217" t="n">
        <x:f>VALUE('Raw_Data'!I1216)</x:f>
        <x:v>0.8500000000000008</x:v>
      </x:c>
      <x:c r="C217" t="n">
        <x:f>ROUND(B217,'Config'!$B$25)</x:f>
        <x:v>0.85</x:v>
      </x:c>
      <x:c r="D217" t="n">
        <x:f>VALUE('Raw_Data'!J1216)</x:f>
        <x:v>0.0002378765708869011</x:v>
      </x:c>
      <x:c r="E217" t="n">
        <x:f>LN(ABS(D217))/LN(10)</x:f>
        <x:v>-3.6236483307059313</x:v>
      </x:c>
      <x:c r="F217" t="n">
        <x:f>B217</x:f>
        <x:v>0.8500000000000008</x:v>
      </x:c>
      <x:c r="G217" t="n">
        <x:f>B237</x:f>
        <x:v>0.9500000000000008</x:v>
      </x:c>
      <x:c r="H217" t="n">
        <x:f>MAX(E217:E237)-MIN(E217:E237)</x:f>
        <x:v>0.16328559536585496</x:v>
      </x:c>
      <x:c r="I217" t="n">
        <x:f>SLOPE(E217:E237,B217:B237)</x:f>
        <x:v>1.6282728931759465</x:v>
      </x:c>
      <x:c r="J217" t="n">
        <x:f>RSQ(E217:E237,B217:B237)</x:f>
        <x:v>0.9979646146890909</x:v>
      </x:c>
      <x:c r="K217" t="n">
        <x:f>IF(I217&gt;0,'Config'!$B$17/I217,"")</x:f>
        <x:v>614.1476678700337</x:v>
      </x:c>
      <x:c r="L217" t="n">
        <x:f>MAX(D217:D237)</x:f>
        <x:v>0.0003464473666936973</x:v>
      </x:c>
      <x:c r="M217" t="str">
        <x:f>IF(AND(H217&gt;='Config'!$B$14,J217&gt;='Config'!$B$15,L217&lt;=$E$4,I217&gt;0),K217,"")</x:f>
      </x:c>
      <x:c r="N217" t="str">
        <x:f>IF(AND(M217&lt;&gt;"",ABS(M217-$G$4)&lt;='Config'!$B$22),"SELECTED","")</x:f>
      </x:c>
    </x:row>
    <x:row r="218">
      <x:c r="A218" t="n">
        <x:v>1217</x:v>
      </x:c>
      <x:c r="B218" t="n">
        <x:f>VALUE('Raw_Data'!I1217)</x:f>
        <x:v>0.8550000000000008</x:v>
      </x:c>
      <x:c r="C218" t="n">
        <x:f>ROUND(B218,'Config'!$B$25)</x:f>
        <x:v>0.855</x:v>
      </x:c>
      <x:c r="D218" t="n">
        <x:f>VALUE('Raw_Data'!J1217)</x:f>
        <x:v>0.0002431835092969457</x:v>
      </x:c>
      <x:c r="E218" t="n">
        <x:f>LN(ABS(D218))/LN(10)</x:f>
        <x:v>-3.6140658786762825</x:v>
      </x:c>
      <x:c r="F218" t="n">
        <x:f>B218</x:f>
        <x:v>0.8550000000000008</x:v>
      </x:c>
      <x:c r="G218" t="n">
        <x:f>B238</x:f>
        <x:v>0.9550000000000008</x:v>
      </x:c>
      <x:c r="H218" t="n">
        <x:f>MAX(E218:E238)-MIN(E218:E238)</x:f>
        <x:v>0.16057731291820598</x:v>
      </x:c>
      <x:c r="I218" t="n">
        <x:f>SLOPE(E218:E238,B218:B238)</x:f>
        <x:v>1.6013631738939063</x:v>
      </x:c>
      <x:c r="J218" t="n">
        <x:f>RSQ(E218:E238,B218:B238)</x:f>
        <x:v>0.9980159879064743</x:v>
      </x:c>
      <x:c r="K218" t="n">
        <x:f>IF(I218&gt;0,'Config'!$B$17/I218,"")</x:f>
        <x:v>624.4679634841235</x:v>
      </x:c>
      <x:c r="L218" t="n">
        <x:f>MAX(D218:D238)</x:f>
        <x:v>0.0003519746893032687</x:v>
      </x:c>
      <x:c r="M218" t="str">
        <x:f>IF(AND(H218&gt;='Config'!$B$14,J218&gt;='Config'!$B$15,L218&lt;=$E$4,I218&gt;0),K218,"")</x:f>
      </x:c>
      <x:c r="N218" t="str">
        <x:f>IF(AND(M218&lt;&gt;"",ABS(M218-$G$4)&lt;='Config'!$B$22),"SELECTED","")</x:f>
      </x:c>
    </x:row>
    <x:row r="219">
      <x:c r="A219" t="n">
        <x:v>1218</x:v>
      </x:c>
      <x:c r="B219" t="n">
        <x:f>VALUE('Raw_Data'!I1218)</x:f>
        <x:v>0.8600000000000008</x:v>
      </x:c>
      <x:c r="C219" t="n">
        <x:f>ROUND(B219,'Config'!$B$25)</x:f>
        <x:v>0.86</x:v>
      </x:c>
      <x:c r="D219" t="n">
        <x:f>VALUE('Raw_Data'!J1218)</x:f>
        <x:v>0.0002485071401636014</x:v>
      </x:c>
      <x:c r="E219" t="n">
        <x:f>LN(ABS(D219))/LN(10)</x:f>
        <x:v>-3.604661128503674</x:v>
      </x:c>
      <x:c r="F219" t="n">
        <x:f>B219</x:f>
        <x:v>0.8600000000000008</x:v>
      </x:c>
      <x:c r="G219" t="n">
        <x:f>B239</x:f>
        <x:v>0.9600000000000009</x:v>
      </x:c>
      <x:c r="H219" t="n">
        <x:f>MAX(E219:E239)-MIN(E219:E239)</x:f>
        <x:v>0.15794760149305764</x:v>
      </x:c>
      <x:c r="I219" t="n">
        <x:f>SLOPE(E219:E239,B219:B239)</x:f>
        <x:v>1.5752320506775495</x:v>
      </x:c>
      <x:c r="J219" t="n">
        <x:f>RSQ(E219:E239,B219:B239)</x:f>
        <x:v>0.9980658529316709</x:v>
      </x:c>
      <x:c r="K219" t="n">
        <x:f>IF(I219&gt;0,'Config'!$B$17/I219,"")</x:f>
        <x:v>634.8271034542963</x:v>
      </x:c>
      <x:c r="L219" t="n">
        <x:f>MAX(D219:D239)</x:f>
        <x:v>0.0003575085832185178</x:v>
      </x:c>
      <x:c r="M219" t="str">
        <x:f>IF(AND(H219&gt;='Config'!$B$14,J219&gt;='Config'!$B$15,L219&lt;=$E$4,I219&gt;0),K219,"")</x:f>
      </x:c>
      <x:c r="N219" t="str">
        <x:f>IF(AND(M219&lt;&gt;"",ABS(M219-$G$4)&lt;='Config'!$B$22),"SELECTED","")</x:f>
      </x:c>
    </x:row>
    <x:row r="220">
      <x:c r="A220" t="n">
        <x:v>1219</x:v>
      </x:c>
      <x:c r="B220" t="n">
        <x:f>VALUE('Raw_Data'!I1219)</x:f>
        <x:v>0.8650000000000008</x:v>
      </x:c>
      <x:c r="C220" t="n">
        <x:f>ROUND(B220,'Config'!$B$25)</x:f>
        <x:v>0.865</x:v>
      </x:c>
      <x:c r="D220" t="n">
        <x:f>VALUE('Raw_Data'!J1219)</x:f>
        <x:v>0.0002538466616689089</x:v>
      </x:c>
      <x:c r="E220" t="n">
        <x:f>LN(ABS(D220))/LN(10)</x:f>
        <x:v>-3.595428543617677</x:v>
      </x:c>
      <x:c r="F220" t="n">
        <x:f>B220</x:f>
        <x:v>0.8650000000000008</x:v>
      </x:c>
      <x:c r="G220" t="n">
        <x:f>B240</x:f>
        <x:v>0.9650000000000009</x:v>
      </x:c>
      <x:c r="H220" t="n">
        <x:f>MAX(E220:E240)-MIN(E220:E240)</x:f>
        <x:v>0.15539350505408356</x:v>
      </x:c>
      <x:c r="I220" t="n">
        <x:f>SLOPE(E220:E240,B220:B240)</x:f>
        <x:v>1.5498502221893111</x:v>
      </x:c>
      <x:c r="J220" t="n">
        <x:f>RSQ(E220:E240,B220:B240)</x:f>
        <x:v>0.9981142398825535</x:v>
      </x:c>
      <x:c r="K220" t="n">
        <x:f>IF(I220&gt;0,'Config'!$B$17/I220,"")</x:f>
        <x:v>645.2236388284055</x:v>
      </x:c>
      <x:c r="L220" t="n">
        <x:f>MAX(D220:D240)</x:f>
        <x:v>0.0003630487630777926</x:v>
      </x:c>
      <x:c r="M220" t="str">
        <x:f>IF(AND(H220&gt;='Config'!$B$14,J220&gt;='Config'!$B$15,L220&lt;=$E$4,I220&gt;0),K220,"")</x:f>
      </x:c>
      <x:c r="N220" t="str">
        <x:f>IF(AND(M220&lt;&gt;"",ABS(M220-$G$4)&lt;='Config'!$B$22),"SELECTED","")</x:f>
      </x:c>
    </x:row>
    <x:row r="221">
      <x:c r="A221" t="n">
        <x:v>1220</x:v>
      </x:c>
      <x:c r="B221" t="n">
        <x:f>VALUE('Raw_Data'!I1220)</x:f>
        <x:v>0.8700000000000008</x:v>
      </x:c>
      <x:c r="C221" t="n">
        <x:f>ROUND(B221,'Config'!$B$25)</x:f>
        <x:v>0.87</x:v>
      </x:c>
      <x:c r="D221" t="n">
        <x:f>VALUE('Raw_Data'!J1220)</x:f>
        <x:v>0.0002592013146963965</x:v>
      </x:c>
      <x:c r="E221" t="n">
        <x:f>LN(ABS(D221))/LN(10)</x:f>
        <x:v>-3.586362800008456</x:v>
      </x:c>
      <x:c r="F221" t="n">
        <x:f>B221</x:f>
        <x:v>0.8700000000000008</x:v>
      </x:c>
      <x:c r="G221" t="n">
        <x:f>B241</x:f>
        <x:v>0.9700000000000009</x:v>
      </x:c>
      <x:c r="H221" t="n">
        <x:f>MAX(E221:E241)-MIN(E221:E241)</x:f>
        <x:v>0.15291218827049002</x:v>
      </x:c>
      <x:c r="I221" t="n">
        <x:f>SLOPE(E221:E241,B221:B241)</x:f>
        <x:v>1.5251895916392955</x:v>
      </x:c>
      <x:c r="J221" t="n">
        <x:f>RSQ(E221:E241,B221:B241)</x:f>
        <x:v>0.9981611805182296</x:v>
      </x:c>
      <x:c r="K221" t="n">
        <x:f>IF(I221&gt;0,'Config'!$B$17/I221,"")</x:f>
        <x:v>655.6561921755483</x:v>
      </x:c>
      <x:c r="L221" t="n">
        <x:f>MAX(D221:D241)</x:f>
        <x:v>0.0003685949563367402</x:v>
      </x:c>
      <x:c r="M221" t="str">
        <x:f>IF(AND(H221&gt;='Config'!$B$14,J221&gt;='Config'!$B$15,L221&lt;=$E$4,I221&gt;0),K221,"")</x:f>
      </x:c>
      <x:c r="N221" t="str">
        <x:f>IF(AND(M221&lt;&gt;"",ABS(M221-$G$4)&lt;='Config'!$B$22),"SELECTED","")</x:f>
      </x:c>
    </x:row>
    <x:row r="222">
      <x:c r="A222" t="n">
        <x:v>1221</x:v>
      </x:c>
      <x:c r="B222" t="n">
        <x:f>VALUE('Raw_Data'!I1221)</x:f>
        <x:v>0.8750000000000008</x:v>
      </x:c>
      <x:c r="C222" t="n">
        <x:f>ROUND(B222,'Config'!$B$25)</x:f>
        <x:v>0.875</x:v>
      </x:c>
      <x:c r="D222" t="n">
        <x:f>VALUE('Raw_Data'!J1221)</x:f>
        <x:v>0.0002645703805086977</x:v>
      </x:c>
      <x:c r="E222" t="n">
        <x:f>LN(ABS(D222))/LN(10)</x:f>
        <x:v>-3.57745877806863</x:v>
      </x:c>
      <x:c r="F222" t="n">
        <x:f>B222</x:f>
        <x:v>0.8750000000000008</x:v>
      </x:c>
      <x:c r="G222" t="n">
        <x:f>B242</x:f>
        <x:v>0.9750000000000009</x:v>
      </x:c>
      <x:c r="H222" t="n">
        <x:f>MAX(E222:E242)-MIN(E222:E242)</x:f>
        <x:v>0.15050093220108796</x:v>
      </x:c>
      <x:c r="I222" t="n">
        <x:f>SLOPE(E222:E242,B222:B242)</x:f>
        <x:v>1.5012232225245945</x:v>
      </x:c>
      <x:c r="J222" t="n">
        <x:f>RSQ(E222:E242,B222:B242)</x:f>
        <x:v>0.9982067079050166</x:v>
      </x:c>
      <x:c r="K222" t="n">
        <x:f>IF(I222&gt;0,'Config'!$B$17/I222,"")</x:f>
        <x:v>666.1234551903003</x:v>
      </x:c>
      <x:c r="L222" t="n">
        <x:f>MAX(D222:D242)</x:f>
        <x:v>0.0003741469025088997</x:v>
      </x:c>
      <x:c r="M222" t="str">
        <x:f>IF(AND(H222&gt;='Config'!$B$14,J222&gt;='Config'!$B$15,L222&lt;=$E$4,I222&gt;0),K222,"")</x:f>
      </x:c>
      <x:c r="N222" t="str">
        <x:f>IF(AND(M222&lt;&gt;"",ABS(M222-$G$4)&lt;='Config'!$B$22),"SELECTED","")</x:f>
      </x:c>
    </x:row>
    <x:row r="223">
      <x:c r="A223" t="n">
        <x:v>1222</x:v>
      </x:c>
      <x:c r="B223" t="n">
        <x:f>VALUE('Raw_Data'!I1222)</x:f>
        <x:v>0.8800000000000008</x:v>
      </x:c>
      <x:c r="C223" t="n">
        <x:f>ROUND(B223,'Config'!$B$25)</x:f>
        <x:v>0.88</x:v>
      </x:c>
      <x:c r="D223" t="n">
        <x:f>VALUE('Raw_Data'!J1222)</x:f>
        <x:v>0.0002699531785189462</x:v>
      </x:c>
      <x:c r="E223" t="n">
        <x:f>LN(ABS(D223))/LN(10)</x:f>
        <x:v>-3.5687115546342567</x:v>
      </x:c>
      <x:c r="F223" t="n">
        <x:f>B223</x:f>
        <x:v>0.8800000000000008</x:v>
      </x:c>
      <x:c r="G223" t="n">
        <x:f>B243</x:f>
        <x:v>0.9800000000000009</x:v>
      </x:c>
      <x:c r="H223" t="n">
        <x:f>MAX(E223:E243)-MIN(E223:E243)</x:f>
        <x:v>0.14815713000927389</x:v>
      </x:c>
      <x:c r="I223" t="n">
        <x:f>SLOPE(E223:E243,B223:B243)</x:f>
        <x:v>1.4779252948703527</x:v>
      </x:c>
      <x:c r="J223" t="n">
        <x:f>RSQ(E223:E243,B223:B243)</x:f>
        <x:v>0.9982508561178367</x:v>
      </x:c>
      <x:c r="K223" t="n">
        <x:f>IF(I223&gt;0,'Config'!$B$17/I223,"")</x:f>
        <x:v>676.6241862635706</x:v>
      </x:c>
      <x:c r="L223" t="n">
        <x:f>MAX(D223:D243)</x:f>
        <x:v>0.0003797043524539811</x:v>
      </x:c>
      <x:c r="M223" t="str">
        <x:f>IF(AND(H223&gt;='Config'!$B$14,J223&gt;='Config'!$B$15,L223&lt;=$E$4,I223&gt;0),K223,"")</x:f>
      </x:c>
      <x:c r="N223" t="str">
        <x:f>IF(AND(M223&lt;&gt;"",ABS(M223-$G$4)&lt;='Config'!$B$22),"SELECTED","")</x:f>
      </x:c>
    </x:row>
    <x:row r="224">
      <x:c r="A224" t="n">
        <x:v>1223</x:v>
      </x:c>
      <x:c r="B224" t="n">
        <x:f>VALUE('Raw_Data'!I1223)</x:f>
        <x:v>0.8850000000000008</x:v>
      </x:c>
      <x:c r="C224" t="n">
        <x:f>ROUND(B224,'Config'!$B$25)</x:f>
        <x:v>0.885</x:v>
      </x:c>
      <x:c r="D224" t="n">
        <x:f>VALUE('Raw_Data'!J1223)</x:f>
        <x:v>0.0002753490641575017</x:v>
      </x:c>
      <x:c r="E224" t="n">
        <x:f>LN(ABS(D224))/LN(10)</x:f>
        <x:v>-3.5601163952383494</x:v>
      </x:c>
      <x:c r="F224" t="n">
        <x:f>B224</x:f>
        <x:v>0.8850000000000008</x:v>
      </x:c>
      <x:c r="G224" t="n">
        <x:f>B244</x:f>
        <x:v>0.9850000000000009</x:v>
      </x:c>
      <x:c r="H224" t="n">
        <x:f>MAX(E224:E244)-MIN(E224:E244)</x:f>
        <x:v>0.1458782827288272</x:v>
      </x:c>
      <x:c r="I224" t="n">
        <x:f>SLOPE(E224:E244,B224:B244)</x:f>
        <x:v>1.455271062148335</x:v>
      </x:c>
      <x:c r="J224" t="n">
        <x:f>RSQ(E224:E244,B224:B244)</x:f>
        <x:v>0.9982936599742597</x:v>
      </x:c>
      <x:c r="K224" t="n">
        <x:f>IF(I224&gt;0,'Config'!$B$17/I224,"")</x:f>
        <x:v>687.1572080350146</x:v>
      </x:c>
      <x:c r="L224" t="n">
        <x:f>MAX(D224:D244)</x:f>
        <x:v>0.000385267067711041</x:v>
      </x:c>
      <x:c r="M224" t="str">
        <x:f>IF(AND(H224&gt;='Config'!$B$14,J224&gt;='Config'!$B$15,L224&lt;=$E$4,I224&gt;0),K224,"")</x:f>
      </x:c>
      <x:c r="N224" t="str">
        <x:f>IF(AND(M224&lt;&gt;"",ABS(M224-$G$4)&lt;='Config'!$B$22),"SELECTED","")</x:f>
      </x:c>
    </x:row>
    <x:row r="225">
      <x:c r="A225" t="n">
        <x:v>1224</x:v>
      </x:c>
      <x:c r="B225" t="n">
        <x:f>VALUE('Raw_Data'!I1224)</x:f>
        <x:v>0.8900000000000008</x:v>
      </x:c>
      <x:c r="C225" t="n">
        <x:f>ROUND(B225,'Config'!$B$25)</x:f>
        <x:v>0.89</x:v>
      </x:c>
      <x:c r="D225" t="n">
        <x:f>VALUE('Raw_Data'!J1224)</x:f>
        <x:v>0.0002807574268345184</x:v>
      </x:c>
      <x:c r="E225" t="n">
        <x:f>LN(ABS(D225))/LN(10)</x:f>
        <x:v>-3.5516687465871173</x:v>
      </x:c>
      <x:c r="F225" t="n">
        <x:f>B225</x:f>
        <x:v>0.8900000000000008</x:v>
      </x:c>
      <x:c r="G225" t="n">
        <x:f>B245</x:f>
        <x:v>0.9900000000000009</x:v>
      </x:c>
      <x:c r="H225" t="n">
        <x:f>MAX(E225:E245)-MIN(E225:E245)</x:f>
        <x:v>0.14366199509717825</x:v>
      </x:c>
      <x:c r="I225" t="n">
        <x:f>SLOPE(E225:E245,B225:B245)</x:f>
        <x:v>1.4332368090175067</x:v>
      </x:c>
      <x:c r="J225" t="n">
        <x:f>RSQ(E225:E245,B225:B245)</x:f>
        <x:v>0.9983351547985547</x:v>
      </x:c>
      <x:c r="K225" t="n">
        <x:f>IF(I225&gt;0,'Config'!$B$17/I225,"")</x:f>
        <x:v>697.7214049404066</x:v>
      </x:c>
      <x:c r="L225" t="n">
        <x:f>MAX(D225:D245)</x:f>
        <x:v>0.0003908348198739298</x:v>
      </x:c>
      <x:c r="M225" t="str">
        <x:f>IF(AND(H225&gt;='Config'!$B$14,J225&gt;='Config'!$B$15,L225&lt;=$E$4,I225&gt;0),K225,"")</x:f>
      </x:c>
      <x:c r="N225" t="str">
        <x:f>IF(AND(M225&lt;&gt;"",ABS(M225-$G$4)&lt;='Config'!$B$22),"SELECTED","")</x:f>
      </x:c>
    </x:row>
    <x:row r="226">
      <x:c r="A226" t="n">
        <x:v>1225</x:v>
      </x:c>
      <x:c r="B226" t="n">
        <x:f>VALUE('Raw_Data'!I1225)</x:f>
        <x:v>0.8950000000000008</x:v>
      </x:c>
      <x:c r="C226" t="n">
        <x:f>ROUND(B226,'Config'!$B$25)</x:f>
        <x:v>0.895</x:v>
      </x:c>
      <x:c r="D226" t="n">
        <x:f>VALUE('Raw_Data'!J1225)</x:f>
        <x:v>0.0002861776879980341</x:v>
      </x:c>
      <x:c r="E226" t="n">
        <x:f>LN(ABS(D226))/LN(10)</x:f>
        <x:v>-3.5433642292662015</x:v>
      </x:c>
      <x:c r="F226" t="n">
        <x:f>B226</x:f>
        <x:v>0.8950000000000008</x:v>
      </x:c>
      <x:c r="G226" t="n">
        <x:f>B246</x:f>
        <x:v>0.9950000000000009</x:v>
      </x:c>
      <x:c r="H226" t="n">
        <x:f>MAX(E226:E246)-MIN(E226:E246)</x:f>
        <x:v>0.14150597146973753</x:v>
      </x:c>
      <x:c r="I226" t="n">
        <x:f>SLOPE(E226:E246,B226:B246)</x:f>
        <x:v>1.4117998100035336</x:v>
      </x:c>
      <x:c r="J226" t="n">
        <x:f>RSQ(E226:E246,B226:B246)</x:f>
        <x:v>0.9983753762132256</x:v>
      </x:c>
      <x:c r="K226" t="n">
        <x:f>IF(I226&gt;0,'Config'!$B$17/I226,"")</x:f>
        <x:v>708.3157207660321</x:v>
      </x:c>
      <x:c r="L226" t="n">
        <x:f>MAX(D226:D246)</x:f>
        <x:v>0.0003964073900064677</x:v>
      </x:c>
      <x:c r="M226" t="str">
        <x:f>IF(AND(H226&gt;='Config'!$B$14,J226&gt;='Config'!$B$15,L226&lt;=$E$4,I226&gt;0),K226,"")</x:f>
      </x:c>
      <x:c r="N226" t="str">
        <x:f>IF(AND(M226&lt;&gt;"",ABS(M226-$G$4)&lt;='Config'!$B$22),"SELECTED","")</x:f>
      </x:c>
    </x:row>
    <x:row r="227">
      <x:c r="A227" t="n">
        <x:v>1226</x:v>
      </x:c>
      <x:c r="B227" t="n">
        <x:f>VALUE('Raw_Data'!I1226)</x:f>
        <x:v>0.9000000000000008</x:v>
      </x:c>
      <x:c r="C227" t="n">
        <x:f>ROUND(B227,'Config'!$B$25)</x:f>
        <x:v>0.9</x:v>
      </x:c>
      <x:c r="D227" t="n">
        <x:f>VALUE('Raw_Data'!J1226)</x:f>
        <x:v>0.0002916092992865899</x:v>
      </x:c>
      <x:c r="E227" t="n">
        <x:f>LN(ABS(D227))/LN(10)</x:f>
        <x:v>-3.5351986306817174</x:v>
      </x:c>
      <x:c r="F227" t="n">
        <x:f>B227</x:f>
        <x:v>0.9000000000000008</x:v>
      </x:c>
      <x:c r="G227" t="n">
        <x:f>B247</x:f>
        <x:v>1.000000000000001</x:v>
      </x:c>
      <x:c r="H227" t="n">
        <x:f>MAX(E227:E247)-MIN(E227:E247)</x:f>
        <x:v>0.13940801182627416</x:v>
      </x:c>
      <x:c r="I227" t="n">
        <x:f>SLOPE(E227:E247,B227:B247)</x:f>
        <x:v>1.3909382892102422</x:v>
      </x:c>
      <x:c r="J227" t="n">
        <x:f>RSQ(E227:E247,B227:B247)</x:f>
        <x:v>0.9984143599556601</x:v>
      </x:c>
      <x:c r="K227" t="n">
        <x:f>IF(I227&gt;0,'Config'!$B$17/I227,"")</x:f>
        <x:v>718.9391562207895</x:v>
      </x:c>
      <x:c r="L227" t="n">
        <x:f>MAX(D227:D247)</x:f>
        <x:v>0.0004019845680949588</x:v>
      </x:c>
      <x:c r="M227" t="str">
        <x:f>IF(AND(H227&gt;='Config'!$B$14,J227&gt;='Config'!$B$15,L227&lt;=$E$4,I227&gt;0),K227,"")</x:f>
      </x:c>
      <x:c r="N227" t="str">
        <x:f>IF(AND(M227&lt;&gt;"",ABS(M227-$G$4)&lt;='Config'!$B$22),"SELECTED","")</x:f>
      </x:c>
    </x:row>
    <x:row r="228">
      <x:c r="A228" t="n">
        <x:v>1227</x:v>
      </x:c>
      <x:c r="B228" t="n">
        <x:f>VALUE('Raw_Data'!I1227)</x:f>
        <x:v>0.9050000000000008</x:v>
      </x:c>
      <x:c r="C228" t="n">
        <x:f>ROUND(B228,'Config'!$B$25)</x:f>
        <x:v>0.905</x:v>
      </x:c>
      <x:c r="D228" t="n">
        <x:f>VALUE('Raw_Data'!J1227)</x:f>
        <x:v>0.0002970517407747155</x:v>
      </x:c>
      <x:c r="E228" t="n">
        <x:f>LN(ABS(D228))/LN(10)</x:f>
        <x:v>-3.527167898238858</x:v>
      </x:c>
      <x:c r="F228"/>
      <x:c r="G228"/>
      <x:c r="H228"/>
      <x:c r="I228"/>
      <x:c r="J228"/>
      <x:c r="K228"/>
      <x:c r="L228"/>
      <x:c r="M228"/>
      <x:c r="N228"/>
    </x:row>
    <x:row r="229">
      <x:c r="A229" t="n">
        <x:v>1228</x:v>
      </x:c>
      <x:c r="B229" t="n">
        <x:f>VALUE('Raw_Data'!I1228)</x:f>
        <x:v>0.9100000000000008</x:v>
      </x:c>
      <x:c r="C229" t="n">
        <x:f>ROUND(B229,'Config'!$B$25)</x:f>
        <x:v>0.91</x:v>
      </x:c>
      <x:c r="D229" t="n">
        <x:f>VALUE('Raw_Data'!J1228)</x:f>
        <x:v>0.000302504519309224</x:v>
      </x:c>
      <x:c r="E229" t="n">
        <x:f>LN(ABS(D229))/LN(10)</x:f>
        <x:v>-3.5192681327589606</x:v>
      </x:c>
      <x:c r="F229"/>
      <x:c r="G229"/>
      <x:c r="H229"/>
      <x:c r="I229"/>
      <x:c r="J229"/>
      <x:c r="K229"/>
      <x:c r="L229"/>
      <x:c r="M229"/>
      <x:c r="N229"/>
    </x:row>
    <x:row r="230">
      <x:c r="A230" t="n">
        <x:v>1229</x:v>
      </x:c>
      <x:c r="B230" t="n">
        <x:f>VALUE('Raw_Data'!I1229)</x:f>
        <x:v>0.9150000000000008</x:v>
      </x:c>
      <x:c r="C230" t="n">
        <x:f>ROUND(B230,'Config'!$B$25)</x:f>
        <x:v>0.915</x:v>
      </x:c>
      <x:c r="D230" t="n">
        <x:f>VALUE('Raw_Data'!J1229)</x:f>
        <x:v>0.0003079671669338621</x:v>
      </x:c>
      <x:c r="E230" t="n">
        <x:f>LN(ABS(D230))/LN(10)</x:f>
        <x:v>-3.511495582134374</x:v>
      </x:c>
      <x:c r="F230"/>
      <x:c r="G230"/>
      <x:c r="H230"/>
      <x:c r="I230"/>
      <x:c r="J230"/>
      <x:c r="K230"/>
      <x:c r="L230"/>
      <x:c r="M230"/>
      <x:c r="N230"/>
    </x:row>
    <x:row r="231">
      <x:c r="A231" t="n">
        <x:v>1230</x:v>
      </x:c>
      <x:c r="B231" t="n">
        <x:f>VALUE('Raw_Data'!I1230)</x:f>
        <x:v>0.9200000000000008</x:v>
      </x:c>
      <x:c r="C231" t="n">
        <x:f>ROUND(B231,'Config'!$B$25)</x:f>
        <x:v>0.92</x:v>
      </x:c>
      <x:c r="D231" t="n">
        <x:f>VALUE('Raw_Data'!J1230)</x:f>
        <x:v>0.0003134392393995268</x:v>
      </x:c>
      <x:c r="E231" t="n">
        <x:f>LN(ABS(D231))/LN(10)</x:f>
        <x:v>-3.503846635219263</x:v>
      </x:c>
      <x:c r="F231"/>
      <x:c r="G231"/>
      <x:c r="H231"/>
      <x:c r="I231"/>
      <x:c r="J231"/>
      <x:c r="K231"/>
      <x:c r="L231"/>
      <x:c r="M231"/>
      <x:c r="N231"/>
    </x:row>
    <x:row r="232">
      <x:c r="A232" t="n">
        <x:v>1231</x:v>
      </x:c>
      <x:c r="B232" t="n">
        <x:f>VALUE('Raw_Data'!I1231)</x:f>
        <x:v>0.9250000000000008</x:v>
      </x:c>
      <x:c r="C232" t="n">
        <x:f>ROUND(B232,'Config'!$B$25)</x:f>
        <x:v>0.925</x:v>
      </x:c>
      <x:c r="D232" t="n">
        <x:f>VALUE('Raw_Data'!J1231)</x:f>
        <x:v>0.0003189203147570849</x:v>
      </x:c>
      <x:c r="E232" t="n">
        <x:f>LN(ABS(D232))/LN(10)</x:f>
        <x:v>-3.496317815953327</x:v>
      </x:c>
      <x:c r="F232"/>
      <x:c r="G232"/>
      <x:c r="H232"/>
      <x:c r="I232"/>
      <x:c r="J232"/>
      <x:c r="K232"/>
      <x:c r="L232"/>
      <x:c r="M232"/>
      <x:c r="N232"/>
    </x:row>
    <x:row r="233">
      <x:c r="A233" t="n">
        <x:v>1232</x:v>
      </x:c>
      <x:c r="B233" t="n">
        <x:f>VALUE('Raw_Data'!I1232)</x:f>
        <x:v>0.9300000000000008</x:v>
      </x:c>
      <x:c r="C233" t="n">
        <x:f>ROUND(B233,'Config'!$B$25)</x:f>
        <x:v>0.93</x:v>
      </x:c>
      <x:c r="D233" t="n">
        <x:f>VALUE('Raw_Data'!J1232)</x:f>
        <x:v>0.0003244099920296725</x:v>
      </x:c>
      <x:c r="E233" t="n">
        <x:f>LN(ABS(D233))/LN(10)</x:f>
        <x:v>-3.48890577771452</x:v>
      </x:c>
      <x:c r="F233"/>
      <x:c r="G233"/>
      <x:c r="H233"/>
      <x:c r="I233"/>
      <x:c r="J233"/>
      <x:c r="K233"/>
      <x:c r="L233"/>
      <x:c r="M233"/>
      <x:c r="N233"/>
    </x:row>
    <x:row r="234">
      <x:c r="A234" t="n">
        <x:v>1233</x:v>
      </x:c>
      <x:c r="B234" t="n">
        <x:f>VALUE('Raw_Data'!I1233)</x:f>
        <x:v>0.9350000000000008</x:v>
      </x:c>
      <x:c r="C234" t="n">
        <x:f>ROUND(B234,'Config'!$B$25)</x:f>
        <x:v>0.935</x:v>
      </x:c>
      <x:c r="D234" t="n">
        <x:f>VALUE('Raw_Data'!J1233)</x:f>
        <x:v>0.0003299078899612007</x:v>
      </x:c>
      <x:c r="E234" t="n">
        <x:f>LN(ABS(D234))/LN(10)</x:f>
        <x:v>-3.4816072978961916</x:v>
      </x:c>
      <x:c r="F234"/>
      <x:c r="G234"/>
      <x:c r="H234"/>
      <x:c r="I234"/>
      <x:c r="J234"/>
      <x:c r="K234"/>
      <x:c r="L234"/>
      <x:c r="M234"/>
      <x:c r="N234"/>
    </x:row>
    <x:row r="235">
      <x:c r="A235" t="n">
        <x:v>1234</x:v>
      </x:c>
      <x:c r="B235" t="n">
        <x:f>VALUE('Raw_Data'!I1234)</x:f>
        <x:v>0.9400000000000008</x:v>
      </x:c>
      <x:c r="C235" t="n">
        <x:f>ROUND(B235,'Config'!$B$25)</x:f>
        <x:v>0.94</x:v>
      </x:c>
      <x:c r="D235" t="n">
        <x:f>VALUE('Raw_Data'!J1234)</x:f>
        <x:v>0.00033541364583777</x:v>
      </x:c>
      <x:c r="E235" t="n">
        <x:f>LN(ABS(D235))/LN(10)</x:f>
        <x:v>-3.4744192727034244</x:v>
      </x:c>
      <x:c r="F235"/>
      <x:c r="G235"/>
      <x:c r="H235"/>
      <x:c r="I235"/>
      <x:c r="J235"/>
      <x:c r="K235"/>
      <x:c r="L235"/>
      <x:c r="M235"/>
      <x:c r="N235"/>
    </x:row>
    <x:row r="236">
      <x:c r="A236" t="n">
        <x:v>1235</x:v>
      </x:c>
      <x:c r="B236" t="n">
        <x:f>VALUE('Raw_Data'!I1235)</x:f>
        <x:v>0.9450000000000008</x:v>
      </x:c>
      <x:c r="C236" t="n">
        <x:f>ROUND(B236,'Config'!$B$25)</x:f>
        <x:v>0.945</x:v>
      </x:c>
      <x:c r="D236" t="n">
        <x:f>VALUE('Raw_Data'!J1235)</x:f>
        <x:v>0.000340926914378683</x:v>
      </x:c>
      <x:c r="E236" t="n">
        <x:f>LN(ABS(D236))/LN(10)</x:f>
        <x:v>-3.467338712162864</x:v>
      </x:c>
      <x:c r="F236"/>
      <x:c r="G236"/>
      <x:c r="H236"/>
      <x:c r="I236"/>
      <x:c r="J236"/>
      <x:c r="K236"/>
      <x:c r="L236"/>
      <x:c r="M236"/>
      <x:c r="N236"/>
    </x:row>
    <x:row r="237">
      <x:c r="A237" t="n">
        <x:v>1236</x:v>
      </x:c>
      <x:c r="B237" t="n">
        <x:f>VALUE('Raw_Data'!I1236)</x:f>
        <x:v>0.9500000000000008</x:v>
      </x:c>
      <x:c r="C237" t="n">
        <x:f>ROUND(B237,'Config'!$B$25)</x:f>
        <x:v>0.95</x:v>
      </x:c>
      <x:c r="D237" t="n">
        <x:f>VALUE('Raw_Data'!J1236)</x:f>
        <x:v>0.0003464473666936973</x:v>
      </x:c>
      <x:c r="E237" t="n">
        <x:f>LN(ABS(D237))/LN(10)</x:f>
        <x:v>-3.4603627353400763</x:v>
      </x:c>
      <x:c r="F237"/>
      <x:c r="G237"/>
      <x:c r="H237"/>
      <x:c r="I237"/>
      <x:c r="J237"/>
      <x:c r="K237"/>
      <x:c r="L237"/>
      <x:c r="M237"/>
      <x:c r="N237"/>
    </x:row>
    <x:row r="238">
      <x:c r="A238" t="n">
        <x:v>1237</x:v>
      </x:c>
      <x:c r="B238" t="n">
        <x:f>VALUE('Raw_Data'!I1237)</x:f>
        <x:v>0.9550000000000008</x:v>
      </x:c>
      <x:c r="C238" t="n">
        <x:f>ROUND(B238,'Config'!$B$25)</x:f>
        <x:v>0.955</x:v>
      </x:c>
      <x:c r="D238" t="n">
        <x:f>VALUE('Raw_Data'!J1237)</x:f>
        <x:v>0.0003519746893032687</x:v>
      </x:c>
      <x:c r="E238" t="n">
        <x:f>LN(ABS(D238))/LN(10)</x:f>
        <x:v>-3.4534885657580765</x:v>
      </x:c>
      <x:c r="F238"/>
      <x:c r="G238"/>
      <x:c r="H238"/>
      <x:c r="I238"/>
      <x:c r="J238"/>
      <x:c r="K238"/>
      <x:c r="L238"/>
      <x:c r="M238"/>
      <x:c r="N238"/>
    </x:row>
    <x:row r="239">
      <x:c r="A239" t="n">
        <x:v>1238</x:v>
      </x:c>
      <x:c r="B239" t="n">
        <x:f>VALUE('Raw_Data'!I1238)</x:f>
        <x:v>0.9600000000000009</x:v>
      </x:c>
      <x:c r="C239" t="n">
        <x:f>ROUND(B239,'Config'!$B$25)</x:f>
        <x:v>0.96</x:v>
      </x:c>
      <x:c r="D239" t="n">
        <x:f>VALUE('Raw_Data'!J1238)</x:f>
        <x:v>0.0003575085832185178</x:v>
      </x:c>
      <x:c r="E239" t="n">
        <x:f>LN(ABS(D239))/LN(10)</x:f>
        <x:v>-3.4467135270106164</x:v>
      </x:c>
      <x:c r="F239"/>
      <x:c r="G239"/>
      <x:c r="H239"/>
      <x:c r="I239"/>
      <x:c r="J239"/>
      <x:c r="K239"/>
      <x:c r="L239"/>
      <x:c r="M239"/>
      <x:c r="N239"/>
    </x:row>
    <x:row r="240">
      <x:c r="A240" t="n">
        <x:v>1239</x:v>
      </x:c>
      <x:c r="B240" t="n">
        <x:f>VALUE('Raw_Data'!I1239)</x:f>
        <x:v>0.9650000000000009</x:v>
      </x:c>
      <x:c r="C240" t="n">
        <x:f>ROUND(B240,'Config'!$B$25)</x:f>
        <x:v>0.965</x:v>
      </x:c>
      <x:c r="D240" t="n">
        <x:f>VALUE('Raw_Data'!J1239)</x:f>
        <x:v>0.0003630487630777926</x:v>
      </x:c>
      <x:c r="E240" t="n">
        <x:f>LN(ABS(D240))/LN(10)</x:f>
        <x:v>-3.4400350385635936</x:v>
      </x:c>
      <x:c r="F240"/>
      <x:c r="G240"/>
      <x:c r="H240"/>
      <x:c r="I240"/>
      <x:c r="J240"/>
      <x:c r="K240"/>
      <x:c r="L240"/>
      <x:c r="M240"/>
      <x:c r="N240"/>
    </x:row>
    <x:row r="241">
      <x:c r="A241" t="n">
        <x:v>1240</x:v>
      </x:c>
      <x:c r="B241" t="n">
        <x:f>VALUE('Raw_Data'!I1240)</x:f>
        <x:v>0.9700000000000009</x:v>
      </x:c>
      <x:c r="C241" t="n">
        <x:f>ROUND(B241,'Config'!$B$25)</x:f>
        <x:v>0.97</x:v>
      </x:c>
      <x:c r="D241" t="n">
        <x:f>VALUE('Raw_Data'!J1240)</x:f>
        <x:v>0.0003685949563367402</x:v>
      </x:c>
      <x:c r="E241" t="n">
        <x:f>LN(ABS(D241))/LN(10)</x:f>
        <x:v>-3.433450611737966</x:v>
      </x:c>
      <x:c r="F241"/>
      <x:c r="G241"/>
      <x:c r="H241"/>
      <x:c r="I241"/>
      <x:c r="J241"/>
      <x:c r="K241"/>
      <x:c r="L241"/>
      <x:c r="M241"/>
      <x:c r="N241"/>
    </x:row>
    <x:row r="242">
      <x:c r="A242" t="n">
        <x:v>1241</x:v>
      </x:c>
      <x:c r="B242" t="n">
        <x:f>VALUE('Raw_Data'!I1241)</x:f>
        <x:v>0.9750000000000009</x:v>
      </x:c>
      <x:c r="C242" t="n">
        <x:f>ROUND(B242,'Config'!$B$25)</x:f>
        <x:v>0.975</x:v>
      </x:c>
      <x:c r="D242" t="n">
        <x:f>VALUE('Raw_Data'!J1241)</x:f>
        <x:v>0.0003741469025088997</x:v>
      </x:c>
      <x:c r="E242" t="n">
        <x:f>LN(ABS(D242))/LN(10)</x:f>
        <x:v>-3.426957845867542</x:v>
      </x:c>
      <x:c r="F242"/>
      <x:c r="G242"/>
      <x:c r="H242"/>
      <x:c r="I242"/>
      <x:c r="J242"/>
      <x:c r="K242"/>
      <x:c r="L242"/>
      <x:c r="M242"/>
      <x:c r="N242"/>
    </x:row>
    <x:row r="243">
      <x:c r="A243" t="n">
        <x:v>1242</x:v>
      </x:c>
      <x:c r="B243" t="n">
        <x:f>VALUE('Raw_Data'!I1242)</x:f>
        <x:v>0.9800000000000009</x:v>
      </x:c>
      <x:c r="C243" t="n">
        <x:f>ROUND(B243,'Config'!$B$25)</x:f>
        <x:v>0.98</x:v>
      </x:c>
      <x:c r="D243" t="n">
        <x:f>VALUE('Raw_Data'!J1242)</x:f>
        <x:v>0.0003797043524539811</x:v>
      </x:c>
      <x:c r="E243" t="n">
        <x:f>LN(ABS(D243))/LN(10)</x:f>
        <x:v>-3.420554424624983</x:v>
      </x:c>
      <x:c r="F243"/>
      <x:c r="G243"/>
      <x:c r="H243"/>
      <x:c r="I243"/>
      <x:c r="J243"/>
      <x:c r="K243"/>
      <x:c r="L243"/>
      <x:c r="M243"/>
      <x:c r="N243"/>
    </x:row>
    <x:row r="244">
      <x:c r="A244" t="n">
        <x:v>1243</x:v>
      </x:c>
      <x:c r="B244" t="n">
        <x:f>VALUE('Raw_Data'!I1243)</x:f>
        <x:v>0.9850000000000009</x:v>
      </x:c>
      <x:c r="C244" t="n">
        <x:f>ROUND(B244,'Config'!$B$25)</x:f>
        <x:v>0.985</x:v>
      </x:c>
      <x:c r="D244" t="n">
        <x:f>VALUE('Raw_Data'!J1243)</x:f>
        <x:v>0.000385267067711041</x:v>
      </x:c>
      <x:c r="E244" t="n">
        <x:f>LN(ABS(D244))/LN(10)</x:f>
        <x:v>-3.4142381125095222</x:v>
      </x:c>
      <x:c r="F244"/>
      <x:c r="G244"/>
      <x:c r="H244"/>
      <x:c r="I244"/>
      <x:c r="J244"/>
      <x:c r="K244"/>
      <x:c r="L244"/>
      <x:c r="M244"/>
      <x:c r="N244"/>
    </x:row>
    <x:row r="245">
      <x:c r="A245" t="n">
        <x:v>1244</x:v>
      </x:c>
      <x:c r="B245" t="n">
        <x:f>VALUE('Raw_Data'!I1244)</x:f>
        <x:v>0.9900000000000009</x:v>
      </x:c>
      <x:c r="C245" t="n">
        <x:f>ROUND(B245,'Config'!$B$25)</x:f>
        <x:v>0.99</x:v>
      </x:c>
      <x:c r="D245" t="n">
        <x:f>VALUE('Raw_Data'!J1244)</x:f>
        <x:v>0.0003908348198739298</x:v>
      </x:c>
      <x:c r="E245" t="n">
        <x:f>LN(ABS(D245))/LN(10)</x:f>
        <x:v>-3.408006751489939</x:v>
      </x:c>
      <x:c r="F245"/>
      <x:c r="G245"/>
      <x:c r="H245"/>
      <x:c r="I245"/>
      <x:c r="J245"/>
      <x:c r="K245"/>
      <x:c r="L245"/>
      <x:c r="M245"/>
      <x:c r="N245"/>
    </x:row>
    <x:row r="246">
      <x:c r="A246" t="n">
        <x:v>1245</x:v>
      </x:c>
      <x:c r="B246" t="n">
        <x:f>VALUE('Raw_Data'!I1245)</x:f>
        <x:v>0.9950000000000009</x:v>
      </x:c>
      <x:c r="C246" t="n">
        <x:f>ROUND(B246,'Config'!$B$25)</x:f>
        <x:v>0.995</x:v>
      </x:c>
      <x:c r="D246" t="n">
        <x:f>VALUE('Raw_Data'!J1245)</x:f>
        <x:v>0.0003964073900064677</x:v>
      </x:c>
      <x:c r="E246" t="n">
        <x:f>LN(ABS(D246))/LN(10)</x:f>
        <x:v>-3.401858257796464</x:v>
      </x:c>
      <x:c r="F246"/>
      <x:c r="G246"/>
      <x:c r="H246"/>
      <x:c r="I246"/>
      <x:c r="J246"/>
      <x:c r="K246"/>
      <x:c r="L246"/>
      <x:c r="M246"/>
      <x:c r="N246"/>
    </x:row>
    <x:row r="247">
      <x:c r="A247" t="n">
        <x:v>1246</x:v>
      </x:c>
      <x:c r="B247" t="n">
        <x:f>VALUE('Raw_Data'!I1246)</x:f>
        <x:v>1.000000000000001</x:v>
      </x:c>
      <x:c r="C247" t="n">
        <x:f>ROUND(B247,'Config'!$B$25)</x:f>
        <x:v>1</x:v>
      </x:c>
      <x:c r="D247" t="n">
        <x:f>VALUE('Raw_Data'!J1246)</x:f>
        <x:v>0.0004019845680949588</x:v>
      </x:c>
      <x:c r="E247" t="n">
        <x:f>LN(ABS(D247))/LN(10)</x:f>
        <x:v>-3.395790618855443</x:v>
      </x:c>
      <x:c r="F247"/>
      <x:c r="G247"/>
      <x:c r="H247"/>
      <x:c r="I247"/>
      <x:c r="J247"/>
      <x:c r="K247"/>
      <x:c r="L247"/>
      <x:c r="M247"/>
      <x:c r="N247"/>
    </x:row>
  </x:sheetData>
  <x:mergeCells>
    <x:mergeCell ref="A1:N1"/>
    <x:mergeCell ref="A2:N2"/>
  </x:mergeCells>
  <x:conditionalFormatting sqref="N7:N187">
    <x:cfRule type="containsText" dxfId="2" priority="1" operator="containsText" text="SELECTED"/>
  </x:conditionalFormatting>
  <x:conditionalFormatting sqref="N4:N4">
    <x:cfRule type="containsText" dxfId="3" priority="2" operator="containsText" text="PASS"/>
  </x:conditionalFormatting>
  <x:conditionalFormatting sqref="N188:N227">
    <x:cfRule type="expression" dxfId="11" priority="3">
      <x:formula>N188="SELECTED"</x:formula>
    </x:cfRule>
  </x:conditionalFormatting>
  <x:pageMargins left="0.7" right="0.7" top="0.75" bottom="0.75" header="0.3" footer="0.3"/>
</x:worksheet>
</file>
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7df34d2fd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7bca2434918b4c58"/>
    <x:sheet xmlns:r="http://schemas.openxmlformats.org/officeDocument/2006/relationships" name="OFAT_Analysis" sheetId="2" r:id="R580ff69d6b57468e"/>
    <x:sheet xmlns:r="http://schemas.openxmlformats.org/officeDocument/2006/relationships" name="Sensitivity_Grid" sheetId="3" r:id="R1c4a35b136144e8e"/>
    <x:sheet xmlns:r="http://schemas.openxmlformats.org/officeDocument/2006/relationships" name="Cutoff_Check" sheetId="4" r:id="Rd7b69d628a4347c6"/>
    <x:sheet xmlns:r="http://schemas.openxmlformats.org/officeDocument/2006/relationships" name="All_Windows" sheetId="5" r:id="R9d43fef6b26d42da"/>
    <x:sheet xmlns:r="http://schemas.openxmlformats.org/officeDocument/2006/relationships" name="Raw_Common_VDD" sheetId="6" r:id="R36ee59efb3684505"/>
    <x:sheet xmlns:r="http://schemas.openxmlformats.org/officeDocument/2006/relationships" name="Method_Notes" sheetId="7" r:id="R44066ec822f6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0.000"/>
    <x:numFmt numFmtId="202" formatCode="0.00"/>
    <x:numFmt numFmtId="203" formatCode="0.0%"/>
    <x:numFmt numFmtId="204" formatCode="0.00%"/>
    <x:numFmt numFmtId="205" formatCode="0.000000"/>
    <x:numFmt numFmtId="206" formatCode="0.000E+00"/>
    <x:numFmt numFmtId="207" formatCode="0.000%"/>
    <x:numFmt numFmtId="208" formatCode="0.0000%"/>
  </x:numFmts>
  <x:fonts count="19">
    <x:font>
      <x:sz val="11"/>
      <x:name val="Carlito"/>
    </x:font>
    <x:font>
      <x:b/>
      <x:sz val="11"/>
      <x:color rgb="FFFFFFFF"/>
      <x:name val="Aptos Display"/>
    </x:font>
    <x:font>
      <x:i/>
      <x:sz val="11"/>
      <x:color rgb="FF64748B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  <x:font>
      <x:b/>
      <x:sz val="11"/>
      <x:color rgb="FF17365D"/>
      <x:name val="Aptos"/>
    </x:font>
    <x:font>
      <x:sz val="11"/>
      <x:color rgb="FF1F2937"/>
      <x:name val="Carlito"/>
    </x:font>
    <x:font>
      <x:sz val="11"/>
      <x:color rgb="FF1F2937"/>
      <x:name val="Carlito"/>
    </x:font>
    <x:font>
      <x:sz val="11"/>
      <x:color rgb="FF9A6700"/>
      <x:name val="Carlito"/>
    </x:font>
    <x:font>
      <x:b/>
      <x:sz val="11"/>
      <x:color rgb="FF9A6700"/>
      <x:name val="Carlito"/>
    </x:font>
    <x:font>
      <x:sz val="11"/>
      <x:color rgb="FF64748B"/>
      <x:name val="Aptos"/>
    </x:font>
    <x:font>
      <x:sz val="11"/>
      <x:color rgb="FF0072B2"/>
      <x:name val="Aptos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8"/>
      <x:color rgb="FFFFFFFF"/>
      <x:name val="Aptos Display"/>
    </x:font>
    <x:font>
      <x:b/>
      <x:sz val="11"/>
      <x:color rgb="FF1F2937"/>
      <x:name val="Aptos"/>
    </x:font>
    <x:font>
      <x:b/>
      <x:sz val="11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AF3F8"/>
      </x:patternFill>
    </x:fill>
  </x:fills>
  <x:borders count="21">
    <x:border/>
    <x:border>
      <x:left style="thin">
        <x:color rgb="FFA8B7C7"/>
      </x:left>
      <x:right style="thin">
        <x:color rgb="FFA8B7C7"/>
      </x:right>
      <x:top style="thin">
        <x:color rgb="FFA8B7C7"/>
      </x:top>
      <x:bottom style="thin">
        <x:color rgb="FFA8B7C7"/>
      </x:bottom>
    </x:border>
    <x:border>
      <x:left style="thin">
        <x:color rgb="FFCBD5E1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CBD5E1"/>
      </x:right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  <x:border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3" fontId="4" fillId="0" borderId="9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4" fontId="4" fillId="0" borderId="9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5" fontId="4" fillId="0" borderId="9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206" fontId="4" fillId="0" borderId="9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5" fillId="4" borderId="13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204" fontId="4" fillId="0" borderId="10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207" fontId="4" fillId="0" borderId="3" xfId="0" applyNumberFormat="1" applyFont="1" applyFill="1" applyBorder="1" applyAlignment="1">
      <x:alignment vertical="center"/>
    </x:xf>
    <x:xf numFmtId="207" fontId="4" fillId="0" borderId="6" xfId="0" applyNumberFormat="1" applyFont="1" applyFill="1" applyBorder="1" applyAlignment="1">
      <x:alignment vertical="center"/>
    </x:xf>
    <x:xf numFmtId="207" fontId="4" fillId="0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8" xfId="0" applyNumberFormat="1" applyFont="1" applyFill="1" applyBorder="1" applyAlignment="1">
      <x:alignment wrapText="1"/>
    </x:xf>
    <x:xf numFmtId="0" fontId="6" fillId="5" borderId="19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8" xfId="0" applyNumberFormat="1" applyFont="1" applyFill="1" applyBorder="1" applyAlignment="1">
      <x:alignment vertical="center" wrapText="1"/>
    </x:xf>
    <x:xf numFmtId="0" fontId="6" fillId="5" borderId="19" xfId="0" applyNumberFormat="1" applyFont="1" applyFill="1" applyBorder="1" applyAlignment="1">
      <x:alignment vertical="center" wrapText="1"/>
    </x:xf>
    <x:xf numFmtId="208" fontId="4" fillId="0" borderId="3" xfId="0" applyNumberFormat="1" applyFont="1" applyFill="1" applyBorder="1" applyAlignment="1">
      <x:alignment vertical="center"/>
    </x:xf>
    <x:xf numFmtId="208" fontId="4" fillId="0" borderId="6" xfId="0" applyNumberFormat="1" applyFont="1" applyFill="1" applyBorder="1" applyAlignment="1">
      <x:alignment vertical="center"/>
    </x:xf>
    <x:xf numFmtId="208" fontId="4" fillId="0" borderId="9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2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0" fontId="10" fillId="0" borderId="9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/>
    <x:xf numFmtId="0" fontId="12" fillId="3" borderId="11" xfId="0" applyNumberFormat="1" applyFont="1" applyFill="1" applyBorder="1"/>
    <x:xf numFmtId="0" fontId="12" fillId="3" borderId="12" xfId="0" applyNumberFormat="1" applyFont="1" applyFill="1" applyBorder="1"/>
    <x:xf numFmtId="0" fontId="12" fillId="3" borderId="13" xfId="0" applyNumberFormat="1" applyFont="1" applyFill="1" applyBorder="1"/>
    <x:xf numFmtId="0" fontId="12" fillId="3" borderId="11" xfId="0" applyNumberFormat="1" applyFont="1" applyFill="1" applyBorder="1" applyAlignment="1">
      <x:alignment horizontal="center"/>
    </x:xf>
    <x:xf numFmtId="0" fontId="12" fillId="3" borderId="12" xfId="0" applyNumberFormat="1" applyFont="1" applyFill="1" applyBorder="1" applyAlignment="1">
      <x:alignment horizontal="center"/>
    </x:xf>
    <x:xf numFmtId="0" fontId="12" fillId="3" borderId="13" xfId="0" applyNumberFormat="1" applyFont="1" applyFill="1" applyBorder="1" applyAlignment="1">
      <x:alignment horizontal="center"/>
    </x:xf>
    <x:xf numFmtId="0" fontId="12" fillId="3" borderId="11" xfId="0" applyNumberFormat="1" applyFont="1" applyFill="1" applyBorder="1" applyAlignment="1">
      <x:alignment horizontal="center" vertical="center"/>
    </x:xf>
    <x:xf numFmtId="0" fontId="12" fillId="3" borderId="12" xfId="0" applyNumberFormat="1" applyFont="1" applyFill="1" applyBorder="1" applyAlignment="1">
      <x:alignment horizontal="center" vertical="center"/>
    </x:xf>
    <x:xf numFmtId="0" fontId="12" fillId="3" borderId="13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/>
    <x:xf numFmtId="0" fontId="13" fillId="5" borderId="14" xfId="0" applyNumberFormat="1" applyFont="1" applyFill="1" applyBorder="1"/>
    <x:xf numFmtId="0" fontId="13" fillId="5" borderId="15" xfId="0" applyNumberFormat="1" applyFont="1" applyFill="1" applyBorder="1"/>
    <x:xf numFmtId="0" fontId="13" fillId="5" borderId="16" xfId="0" applyNumberFormat="1" applyFont="1" applyFill="1" applyBorder="1"/>
    <x:xf numFmtId="0" fontId="13" fillId="5" borderId="17" xfId="0" applyNumberFormat="1" applyFont="1" applyFill="1" applyBorder="1"/>
    <x:xf numFmtId="0" fontId="13" fillId="5" borderId="18" xfId="0" applyNumberFormat="1" applyFont="1" applyFill="1" applyBorder="1"/>
    <x:xf numFmtId="0" fontId="13" fillId="5" borderId="19" xfId="0" applyNumberFormat="1" applyFont="1" applyFill="1" applyBorder="1"/>
    <x:xf numFmtId="0" fontId="13" fillId="5" borderId="14" xfId="0" applyNumberFormat="1" applyFont="1" applyFill="1" applyBorder="1" applyAlignment="1">
      <x:alignment horizontal="center"/>
    </x:xf>
    <x:xf numFmtId="0" fontId="13" fillId="5" borderId="15" xfId="0" applyNumberFormat="1" applyFont="1" applyFill="1" applyBorder="1" applyAlignment="1">
      <x:alignment horizontal="center"/>
    </x:xf>
    <x:xf numFmtId="0" fontId="13" fillId="5" borderId="16" xfId="0" applyNumberFormat="1" applyFont="1" applyFill="1" applyBorder="1" applyAlignment="1">
      <x:alignment horizontal="center"/>
    </x:xf>
    <x:xf numFmtId="0" fontId="13" fillId="5" borderId="17" xfId="0" applyNumberFormat="1" applyFont="1" applyFill="1" applyBorder="1" applyAlignment="1">
      <x:alignment horizontal="center"/>
    </x:xf>
    <x:xf numFmtId="0" fontId="13" fillId="5" borderId="18" xfId="0" applyNumberFormat="1" applyFont="1" applyFill="1" applyBorder="1" applyAlignment="1">
      <x:alignment horizontal="center"/>
    </x:xf>
    <x:xf numFmtId="0" fontId="13" fillId="5" borderId="19" xfId="0" applyNumberFormat="1" applyFont="1" applyFill="1" applyBorder="1" applyAlignment="1">
      <x:alignment horizontal="center"/>
    </x:xf>
    <x:xf numFmtId="0" fontId="13" fillId="5" borderId="14" xfId="0" applyNumberFormat="1" applyFont="1" applyFill="1" applyBorder="1" applyAlignment="1">
      <x:alignment horizontal="center" vertical="center"/>
    </x:xf>
    <x:xf numFmtId="0" fontId="13" fillId="5" borderId="15" xfId="0" applyNumberFormat="1" applyFont="1" applyFill="1" applyBorder="1" applyAlignment="1">
      <x:alignment horizontal="center" vertical="center"/>
    </x:xf>
    <x:xf numFmtId="0" fontId="13" fillId="5" borderId="16" xfId="0" applyNumberFormat="1" applyFont="1" applyFill="1" applyBorder="1" applyAlignment="1">
      <x:alignment horizontal="center" vertical="center"/>
    </x:xf>
    <x:xf numFmtId="0" fontId="13" fillId="5" borderId="17" xfId="0" applyNumberFormat="1" applyFont="1" applyFill="1" applyBorder="1" applyAlignment="1">
      <x:alignment horizontal="center" vertical="center"/>
    </x:xf>
    <x:xf numFmtId="0" fontId="13" fillId="5" borderId="18" xfId="0" applyNumberFormat="1" applyFont="1" applyFill="1" applyBorder="1" applyAlignment="1">
      <x:alignment horizontal="center" vertical="center"/>
    </x:xf>
    <x:xf numFmtId="0" fontId="13" fillId="5" borderId="19" xfId="0" applyNumberFormat="1" applyFont="1" applyFill="1" applyBorder="1" applyAlignment="1">
      <x:alignment horizontal="center" vertical="center"/>
    </x:xf>
    <x:xf numFmtId="204" fontId="13" fillId="5" borderId="14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4" fillId="6" borderId="0" xfId="0" applyNumberFormat="1" applyFont="1" applyFill="1" applyBorder="1"/>
    <x:xf numFmtId="0" fontId="1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5" fillId="7" borderId="0" xfId="0" applyNumberFormat="1" applyFont="1" applyFill="1" applyBorder="1"/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horizont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203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7" fontId="6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12" fillId="8" borderId="11" xfId="0" applyNumberFormat="1" applyFont="1" applyFill="1" applyBorder="1" applyAlignment="1">
      <x:alignment horizontal="center" vertical="center"/>
    </x:xf>
    <x:xf numFmtId="0" fontId="12" fillId="8" borderId="12" xfId="0" applyNumberFormat="1" applyFont="1" applyFill="1" applyBorder="1" applyAlignment="1">
      <x:alignment horizontal="center" vertical="center"/>
    </x:xf>
    <x:xf numFmtId="0" fontId="12" fillId="8" borderId="13" xfId="0" applyNumberFormat="1" applyFont="1" applyFill="1" applyBorder="1" applyAlignment="1">
      <x:alignment horizontal="center" vertical="center"/>
    </x:xf>
    <x:xf numFmtId="0" fontId="13" fillId="10" borderId="14" xfId="0" applyNumberFormat="1" applyFont="1" applyFill="1" applyBorder="1" applyAlignment="1">
      <x:alignment horizontal="center" vertical="center"/>
    </x:xf>
    <x:xf numFmtId="0" fontId="13" fillId="10" borderId="15" xfId="0" applyNumberFormat="1" applyFont="1" applyFill="1" applyBorder="1" applyAlignment="1">
      <x:alignment horizontal="center" vertical="center"/>
    </x:xf>
    <x:xf numFmtId="0" fontId="13" fillId="10" borderId="16" xfId="0" applyNumberFormat="1" applyFont="1" applyFill="1" applyBorder="1" applyAlignment="1">
      <x:alignment horizontal="center" vertical="center"/>
    </x:xf>
    <x:xf numFmtId="0" fontId="13" fillId="10" borderId="17" xfId="0" applyNumberFormat="1" applyFont="1" applyFill="1" applyBorder="1" applyAlignment="1">
      <x:alignment horizontal="center" vertical="center"/>
    </x:xf>
    <x:xf numFmtId="0" fontId="13" fillId="10" borderId="18" xfId="0" applyNumberFormat="1" applyFont="1" applyFill="1" applyBorder="1" applyAlignment="1">
      <x:alignment horizontal="center" vertical="center"/>
    </x:xf>
    <x:xf numFmtId="0" fontId="13" fillId="10" borderId="19" xfId="0" applyNumberFormat="1" applyFont="1" applyFill="1" applyBorder="1" applyAlignment="1">
      <x:alignment horizontal="center" vertical="center"/>
    </x:xf>
    <x:xf numFmtId="204" fontId="13" fillId="10" borderId="14" xfId="0" applyNumberFormat="1" applyFont="1" applyFill="1" applyBorder="1" applyAlignment="1">
      <x:alignment horizontal="center" vertical="center"/>
    </x:xf>
    <x:xf numFmtId="0" fontId="17" fillId="5" borderId="20" xfId="0" applyNumberFormat="1" applyFont="1" applyFill="1" applyBorder="1" applyAlignment="1">
      <x:alignment vertical="center"/>
    </x:xf>
    <x:xf numFmtId="0" fontId="17" fillId="4" borderId="11" xfId="0" applyNumberFormat="1" applyFont="1" applyFill="1" applyBorder="1" applyAlignment="1">
      <x:alignment vertical="center"/>
    </x:xf>
    <x:xf numFmtId="0" fontId="17" fillId="4" borderId="12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wrapText="1"/>
    </x:xf>
    <x:xf numFmtId="0" fontId="17" fillId="3" borderId="1" xfId="0" applyNumberFormat="1" applyFont="1" applyFill="1" applyBorder="1" applyAlignment="1">
      <x:alignment horizontal="center" vertical="center" wrapText="1"/>
    </x:xf>
    <x:xf numFmtId="0" fontId="5" fillId="9" borderId="11" xfId="0" applyNumberFormat="1" applyFont="1" applyFill="1" applyBorder="1" applyAlignment="1">
      <x:alignment vertical="center"/>
    </x:xf>
    <x:xf numFmtId="0" fontId="5" fillId="9" borderId="12" xfId="0" applyNumberFormat="1" applyFont="1" applyFill="1" applyBorder="1" applyAlignment="1">
      <x:alignment vertical="center"/>
    </x:xf>
    <x:xf numFmtId="0" fontId="17" fillId="9" borderId="11" xfId="0" applyNumberFormat="1" applyFont="1" applyFill="1" applyBorder="1" applyAlignment="1">
      <x:alignment vertical="center"/>
    </x:xf>
    <x:xf numFmtId="0" fontId="17" fillId="9" borderId="12" xfId="0" applyNumberFormat="1" applyFont="1" applyFill="1" applyBorder="1" applyAlignment="1">
      <x:alignment vertical="center"/>
    </x:xf>
    <x:xf numFmtId="0" fontId="17" fillId="8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17" fillId="9" borderId="11" xfId="0" applyNumberFormat="1" applyFont="1" applyFill="1" applyBorder="1" applyAlignment="1">
      <x:alignment vertical="center" wrapText="1"/>
    </x:xf>
    <x:xf numFmtId="0" fontId="17" fillId="9" borderId="1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17" fillId="9" borderId="11" xfId="0" applyNumberFormat="1" applyFont="1" applyFill="1" applyBorder="1" applyAlignment="1">
      <x:alignment vertical="top" wrapText="1"/>
    </x:xf>
    <x:xf numFmtId="0" fontId="17" fillId="9" borderId="12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color rgb="FF64748B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color rgb="FF64748B"/>
      </x:font>
      <x:fill>
        <x:patternFill>
          <x:bgColor rgb="FFF1F5F9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color rgb="FF64748B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color rgb="FF64748B"/>
      </x:font>
      <x:fill>
        <x:patternFill>
          <x:bgColor rgb="FFF1F5F9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color rgb="FF64748B"/>
      </x:font>
      <x:fill>
        <x:patternFill>
          <x:bgColor rgb="FFF1F5F9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color rgb="FF17365D"/>
      </x:font>
      <x:fill>
        <x:patternFill>
          <x:bgColor rgb="FFDDEBF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19901f3c64811" /><Relationship Type="http://schemas.openxmlformats.org/officeDocument/2006/relationships/theme" Target="/xl/theme/theme1.xml" Id="Re648f36f430e4dcc" /><Relationship Type="http://schemas.openxmlformats.org/officeDocument/2006/relationships/sharedStrings" Target="/xl/sharedStrings.xml" Id="R9236a963b6434cfc" /><Relationship Type="http://schemas.openxmlformats.org/officeDocument/2006/relationships/worksheet" Target="/xl/worksheets/sheet1.xml" Id="R7bca2434918b4c58" /><Relationship Type="http://schemas.openxmlformats.org/officeDocument/2006/relationships/worksheet" Target="/xl/worksheets/sheet2.xml" Id="R580ff69d6b57468e" /><Relationship Type="http://schemas.openxmlformats.org/officeDocument/2006/relationships/worksheet" Target="/xl/worksheets/sheet3.xml" Id="R1c4a35b136144e8e" /><Relationship Type="http://schemas.openxmlformats.org/officeDocument/2006/relationships/worksheet" Target="/xl/worksheets/sheet4.xml" Id="Rd7b69d628a4347c6" /><Relationship Type="http://schemas.openxmlformats.org/officeDocument/2006/relationships/worksheet" Target="/xl/worksheets/sheet5.xml" Id="R9d43fef6b26d42da" /><Relationship Type="http://schemas.openxmlformats.org/officeDocument/2006/relationships/worksheet" Target="/xl/worksheets/sheet6.xml" Id="R36ee59efb3684505" /><Relationship Type="http://schemas.openxmlformats.org/officeDocument/2006/relationships/worksheet" Target="/xl/worksheets/sheet7.xml" Id="R44066ec822f649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56a2c7b6e246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Window-size sensitivity (mV/dec)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HP</c:v>
          </c:tx>
          <c:spPr>
            <a:solidFill xmlns:a="http://schemas.openxmlformats.org/drawingml/2006/main">
              <a:srgbClr val="D55E00"/>
            </a:solidFill>
          </c:spPr>
          <c:marker>
            <c:symbol val="none"/>
          </c:marker>
          <c:cat>
            <c:strRef>
              <c:f>'Executive_Summary'!$J$25:$J$28</c:f>
              <c:strCache>
                <c:ptCount val="0"/>
              </c:strCache>
            </c:strRef>
          </c:cat>
          <c:val>
            <c:numRef>
              <c:f>'Executive_Summary'!$K$25:$K$28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LP</c:v>
          </c:tx>
          <c:spPr>
            <a:solidFill xmlns:a="http://schemas.openxmlformats.org/drawingml/2006/main">
              <a:srgbClr val="0072B2"/>
            </a:solidFill>
          </c:spPr>
          <c:marker>
            <c:symbol val="none"/>
          </c:marker>
          <c:cat>
            <c:strRef>
              <c:f>'Executive_Summary'!$J$25:$J$28</c:f>
              <c:strCache>
                <c:ptCount val="0"/>
              </c:strCache>
            </c:strRef>
          </c:cat>
          <c:val>
            <c:numRef>
              <c:f>'Executive_Summary'!$L$25:$L$28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92"/>
          <c:min val="8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56a2c7b6e246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nsitivityGridTable" displayName="SensitivityGridTable" ref="A4:W76" headerRowCount="1" totalsRowCount="0" totalsRowShown="0">
  <x:tableColumns count="23">
    <x:tableColumn id="1" name="Device"/>
    <x:tableColumn id="2" name="Window&#10;(points)"/>
    <x:tableColumn id="3" name="Window&#10;width (V)"/>
    <x:tableColumn id="4" name="Minimum&#10;R²"/>
    <x:tableColumn id="5" name="Minimum span&#10;(dec)"/>
    <x:tableColumn id="6" name="Max ID / Ion"/>
    <x:tableColumn id="7" name="Eligible&#10;curve points"/>
    <x:tableColumn id="8" name="Total&#10;windows"/>
    <x:tableColumn id="9" name="Candidate&#10;windows"/>
    <x:tableColumn id="10" name="Result status"/>
    <x:tableColumn id="11" name="SS&#10;(mV/dec)"/>
    <x:tableColumn id="12" name="Baseline SS&#10;(mV/dec)"/>
    <x:tableColumn id="13" name="Delta&#10;(mV/dec)"/>
    <x:tableColumn id="14" name="Delta vs baseline"/>
    <x:tableColumn id="15" name="Selected VGS&#10;min (V)"/>
    <x:tableColumn id="16" name="Selected VGS&#10;max (V)"/>
    <x:tableColumn id="17" name="Selected span&#10;(dec)"/>
    <x:tableColumn id="18" name="Selected R²"/>
    <x:tableColumn id="19" name="Selected ID&#10;min (A)"/>
    <x:tableColumn id="20" name="Selected ID&#10;max (A)"/>
    <x:tableColumn id="21" name="Lower sweep&#10;edge"/>
    <x:tableColumn id="22" name="Result note"/>
    <x:tableColumn id="23" name="Numerical stabi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CutoffSensitivityTable" displayName="CutoffSensitivityTable" ref="A4:L14" headerRowCount="1" totalsRowCount="0" totalsRowShown="0">
  <x:autoFilter ref="A4:L14"/>
  <x:tableColumns count="12">
    <x:tableColumn id="1" name="Device"/>
    <x:tableColumn id="2" name="Max ID / Ion"/>
    <x:tableColumn id="3" name="Eligible points"/>
    <x:tableColumn id="4" name="Candidates"/>
    <x:tableColumn id="5" name="Status"/>
    <x:tableColumn id="6" name="SS (mV/dec)"/>
    <x:tableColumn id="7" name="Baseline SS"/>
    <x:tableColumn id="8" name="Delta"/>
    <x:tableColumn id="9" name="VGS min"/>
    <x:tableColumn id="10" name="VGS max"/>
    <x:tableColumn id="11" name="Lower edge"/>
    <x:tableColumn id="12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AllWindowStatisticsTable" displayName="AllWindowStatisticsTable" ref="A4:P732" headerRowCount="1" totalsRowCount="0" totalsRowShown="0">
  <x:autoFilter ref="A4:P732"/>
  <x:tableColumns count="16">
    <x:tableColumn id="1" name="Device"/>
    <x:tableColumn id="2" name="Window points"/>
    <x:tableColumn id="3" name="Width (V)"/>
    <x:tableColumn id="4" name="Start index"/>
    <x:tableColumn id="5" name="Stop index"/>
    <x:tableColumn id="6" name="VGS min"/>
    <x:tableColumn id="7" name="VGS max"/>
    <x:tableColumn id="8" name="ID min (A)"/>
    <x:tableColumn id="9" name="ID max (A)"/>
    <x:tableColumn id="10" name="Log-ID span (dec)"/>
    <x:tableColumn id="11" name="Slope (dec/V)"/>
    <x:tableColumn id="12" name="R²"/>
    <x:tableColumn id="13" name="SS (mV/dec)"/>
    <x:tableColumn id="14" name="Max ID / Ion"/>
    <x:tableColumn id="15" name="Lower sweep edge"/>
    <x:tableColumn id="16" name="Eligible high ed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CommonVddTable" displayName="RawCommonVddTable" ref="A4:J486" headerRowCount="1" totalsRowCount="0" totalsRowShown="0">
  <x:autoFilter ref="A4:J486"/>
  <x:tableColumns count="10">
    <x:tableColumn id="1" name="Device"/>
    <x:tableColumn id="2" name="VDS (V)"/>
    <x:tableColumn id="3" name="VGS (V)"/>
    <x:tableColumn id="4" name="ID (A)"/>
    <x:tableColumn id="5" name="LOG10(ID)"/>
    <x:tableColumn id="6" name="Ion (A)"/>
    <x:tableColumn id="7" name="ID / Ion"/>
    <x:tableColumn id="8" name="Within 1% ceiling"/>
    <x:tableColumn id="9" name="Bias label"/>
    <x:tableColumn id="10" name="Raw 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f2650284b645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5d67d8c46c143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65fac779ef542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0dc5f6fdb7549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3b6630b7cf149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3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0" customHeight="1">
      <x:c r="A1" s="177" t="str">
        <x:v>PTM 45 nm HP-LP — SS Sensitivity Analysis</x:v>
      </x:c>
      <x:c r="B1" s="177"/>
      <x:c r="C1" s="177"/>
      <x:c r="D1" s="177"/>
      <x:c r="E1" s="177"/>
      <x:c r="F1" s="177"/>
      <x:c r="G1" s="177"/>
      <x:c r="H1" s="177"/>
      <x:c r="I1" s="177"/>
      <x:c r="J1" s="177"/>
      <x:c r="K1" s="177"/>
      <x:c r="L1" s="177"/>
      <x:c r="M1" s="177"/>
      <x:c r="N1" s="177"/>
      <x:c r="O1" s="177"/>
      <x:c r="P1" s="177"/>
    </x:row>
    <x:row r="2" ht="22" customHeight="1">
      <x:c r="A2" s="178" t="str">
        <x:v>Minimum local subthreshold swing at common VDS = 1.0 V; numerical stability is separated from sweep-boundary validity.</x:v>
      </x:c>
      <x:c r="B2" s="178"/>
      <x:c r="C2" s="178"/>
      <x:c r="D2" s="178"/>
      <x:c r="E2" s="178"/>
      <x:c r="F2" s="178"/>
      <x:c r="G2" s="178"/>
      <x:c r="H2" s="178"/>
      <x:c r="I2" s="178"/>
      <x:c r="J2" s="178"/>
      <x:c r="K2" s="178"/>
      <x:c r="L2" s="178"/>
      <x:c r="M2" s="178"/>
      <x:c r="N2" s="178"/>
      <x:c r="O2" s="178"/>
      <x:c r="P2" s="178"/>
    </x:row>
    <x:row r="4">
      <x:c r="A4" s="179" t="str">
        <x:v>Overall status</x:v>
      </x:c>
      <x:c r="B4" s="180"/>
      <x:c r="C4" s="180"/>
      <x:c r="D4" s="181"/>
      <x:c r="E4" s="179" t="str">
        <x:v>Evaluable grid cases</x:v>
      </x:c>
      <x:c r="F4" s="180"/>
      <x:c r="G4" s="180"/>
      <x:c r="H4" s="181"/>
      <x:c r="I4" s="179" t="str">
        <x:v>HP max |delta|</x:v>
      </x:c>
      <x:c r="J4" s="180"/>
      <x:c r="K4" s="180"/>
      <x:c r="L4" s="181"/>
      <x:c r="M4" s="179" t="str">
        <x:v>LP max |delta|</x:v>
      </x:c>
      <x:c r="N4" s="180"/>
      <x:c r="O4" s="180"/>
      <x:c r="P4" s="181"/>
    </x:row>
    <x:row r="5">
      <x:c r="A5" s="182" t="str">
        <x:f>IF(AND('OFAT_Analysis'!$O$5&lt;=5%,'OFAT_Analysis'!$O$6&lt;=5%,'OFAT_Analysis'!$O$7&lt;=5%),IF(SUM('OFAT_Analysis'!$O$8:$O$9)&gt;0,"PASS WITH WARNING","PASS"),"REVIEW")</x:f>
        <x:v>PASS</x:v>
      </x:c>
      <x:c r="B5" s="183"/>
      <x:c r="C5" s="183"/>
      <x:c r="D5" s="184"/>
      <x:c r="E5" s="182" t="str">
        <x:f>COUNTIF('Sensitivity_Grid'!$J$5:$J$76,"VALID")&amp;"/72"</x:f>
        <x:v>60/72</x:v>
      </x:c>
      <x:c r="F5" s="183"/>
      <x:c r="G5" s="183"/>
      <x:c r="H5" s="184"/>
      <x:c r="I5" s="188" t="n">
        <x:f>'OFAT_Analysis'!$O$5</x:f>
        <x:v>0.00804830578025925</x:v>
      </x:c>
      <x:c r="J5" s="183"/>
      <x:c r="K5" s="183"/>
      <x:c r="L5" s="184"/>
      <x:c r="M5" s="188" t="n">
        <x:f>'OFAT_Analysis'!$O$6</x:f>
        <x:v>0.0036306176310556613</x:v>
      </x:c>
      <x:c r="N5" s="183"/>
      <x:c r="O5" s="183"/>
      <x:c r="P5" s="184"/>
    </x:row>
    <x:row r="6">
      <x:c r="A6" s="185"/>
      <x:c r="B6" s="186"/>
      <x:c r="C6" s="186"/>
      <x:c r="D6" s="187"/>
      <x:c r="E6" s="185"/>
      <x:c r="F6" s="186"/>
      <x:c r="G6" s="186"/>
      <x:c r="H6" s="187"/>
      <x:c r="I6" s="185"/>
      <x:c r="J6" s="186"/>
      <x:c r="K6" s="186"/>
      <x:c r="L6" s="187"/>
      <x:c r="M6" s="185"/>
      <x:c r="N6" s="186"/>
      <x:c r="O6" s="186"/>
      <x:c r="P6" s="187"/>
    </x:row>
    <x:row r="8" ht="22" customHeight="1">
      <x:c r="A8" s="60" t="str">
        <x:v>Extraction sensitivity summary</x:v>
      </x:c>
      <x:c r="B8" s="61"/>
      <x:c r="C8" s="61"/>
      <x:c r="D8" s="61"/>
      <x:c r="E8" s="61"/>
      <x:c r="F8" s="61"/>
      <x:c r="G8" s="61"/>
      <x:c r="H8" s="62"/>
      <x:c r="J8" s="60" t="str">
        <x:v>Window-size sensitivity (mV/dec)</x:v>
      </x:c>
      <x:c r="K8" s="61"/>
      <x:c r="L8" s="61"/>
      <x:c r="M8" s="61"/>
      <x:c r="N8" s="61"/>
      <x:c r="O8" s="61"/>
      <x:c r="P8" s="62"/>
    </x:row>
    <x:row r="9" ht="34" customHeight="1">
      <x:c r="A9" s="11" t="str">
        <x:v>Device</x:v>
      </x:c>
      <x:c r="B9" s="11" t="str">
        <x:v>Baseline SS</x:v>
      </x:c>
      <x:c r="C9" s="11" t="str">
        <x:v>Window range</x:v>
      </x:c>
      <x:c r="D9" s="11" t="str">
        <x:v>Max |delta|</x:v>
      </x:c>
      <x:c r="E9" s="11" t="str">
        <x:v>Valid / N/A</x:v>
      </x:c>
      <x:c r="F9" s="11" t="str">
        <x:v>Lower-edge valid</x:v>
      </x:c>
      <x:c r="G9" s="11" t="str">
        <x:v>Numerical</x:v>
      </x:c>
      <x:c r="H9" s="11" t="str">
        <x:v>Boundary</x:v>
      </x:c>
    </x:row>
    <x:row r="10">
      <x:c r="A10" s="22" t="str">
        <x:v>HP</x:v>
      </x:c>
      <x:c r="B10" s="34" t="n">
        <x:f>'OFAT_Analysis'!$C$7</x:f>
        <x:v>87.50593064481697</x:v>
      </x:c>
      <x:c r="C10" s="23" t="str">
        <x:f>TEXT(MIN('OFAT_Analysis'!$C$6:$C$9),"0.00")&amp;"–"&amp;TEXT(MAX('OFAT_Analysis'!$C$6:$C$9),"0.00")</x:f>
        <x:v>87.34–88.21</x:v>
      </x:c>
      <x:c r="D10" s="43" t="n">
        <x:f>'OFAT_Analysis'!$O$5</x:f>
        <x:v>0.00804830578025925</x:v>
      </x:c>
      <x:c r="E10" s="23" t="str">
        <x:f>COUNTIFS('Sensitivity_Grid'!$A$5:$A$76,A10,'Sensitivity_Grid'!$J$5:$J$76,"VALID")&amp;" / "&amp;COUNTIFS('Sensitivity_Grid'!$A$5:$A$76,A10,'Sensitivity_Grid'!$J$5:$J$76,"N/A")</x:f>
        <x:v>30 / 6</x:v>
      </x:c>
      <x:c r="F10" s="23" t="str">
        <x:f>COUNTIFS('Sensitivity_Grid'!$A$5:$A$76,A10,'Sensitivity_Grid'!$J$5:$J$76,"VALID",'Sensitivity_Grid'!$U$5:$U$76,"YES")&amp;"/"&amp;COUNTIFS('Sensitivity_Grid'!$A$5:$A$76,A10,'Sensitivity_Grid'!$J$5:$J$76,"VALID")</x:f>
        <x:v>0/30</x:v>
      </x:c>
      <x:c r="G10" s="23" t="str">
        <x:f>IF(D10&lt;=5%,"PASS",IF(D10&lt;=10%,"REVIEW","UNSTABLE"))</x:f>
        <x:v>PASS</x:v>
      </x:c>
      <x:c r="H10" s="24" t="str">
        <x:f>IF(LEFT(F10,1)="0","PASS","WARNING")</x:f>
        <x:v>PASS</x:v>
      </x:c>
    </x:row>
    <x:row r="11">
      <x:c r="A11" s="28" t="str">
        <x:v>LP</x:v>
      </x:c>
      <x:c r="B11" s="36" t="n">
        <x:f>'OFAT_Analysis'!$F$7</x:f>
        <x:v>86.64802452741225</x:v>
      </x:c>
      <x:c r="C11" s="29" t="str">
        <x:f>TEXT(MIN('OFAT_Analysis'!$F$6:$F$9),"0.00")&amp;"–"&amp;TEXT(MAX('OFAT_Analysis'!$F$6:$F$9),"0.00")</x:f>
        <x:v>86.33–86.95</x:v>
      </x:c>
      <x:c r="D11" s="45" t="n">
        <x:f>'OFAT_Analysis'!$O$6</x:f>
        <x:v>0.0036306176310556613</x:v>
      </x:c>
      <x:c r="E11" s="29" t="str">
        <x:f>COUNTIFS('Sensitivity_Grid'!$A$5:$A$76,A11,'Sensitivity_Grid'!$J$5:$J$76,"VALID")&amp;" / "&amp;COUNTIFS('Sensitivity_Grid'!$A$5:$A$76,A11,'Sensitivity_Grid'!$J$5:$J$76,"N/A")</x:f>
        <x:v>30 / 6</x:v>
      </x:c>
      <x:c r="F11" s="29" t="str">
        <x:f>COUNTIFS('Sensitivity_Grid'!$A$5:$A$76,A11,'Sensitivity_Grid'!$J$5:$J$76,"VALID",'Sensitivity_Grid'!$U$5:$U$76,"YES")&amp;"/"&amp;COUNTIFS('Sensitivity_Grid'!$A$5:$A$76,A11,'Sensitivity_Grid'!$J$5:$J$76,"VALID")</x:f>
        <x:v>0/30</x:v>
      </x:c>
      <x:c r="G11" s="29" t="str">
        <x:f>IF(D11&lt;=5%,"PASS",IF(D11&lt;=10%,"REVIEW","UNSTABLE"))</x:f>
        <x:v>PASS</x:v>
      </x:c>
      <x:c r="H11" s="30" t="str">
        <x:f>IF(LEFT(F11,1)="0","PASS","WARNING")</x:f>
        <x:v>PASS</x:v>
      </x:c>
    </x:row>
    <x:row r="14" ht="22" customHeight="1">
      <x:c r="A14" s="60" t="str">
        <x:v>Key findings and next decision</x:v>
      </x:c>
      <x:c r="B14" s="61"/>
      <x:c r="C14" s="61"/>
      <x:c r="D14" s="61"/>
      <x:c r="E14" s="61"/>
      <x:c r="F14" s="61"/>
      <x:c r="G14" s="61"/>
      <x:c r="H14" s="62"/>
    </x:row>
    <x:row r="15" ht="24" customHeight="1">
      <x:c r="A15" s="110" t="str">
        <x:v>• Under this project-defined descriptive check, all 60 evaluable cross-grid results remain within ±5% of the 21-point baseline; 12 incompatible 11-point/span cases are structural N/A.</x:v>
      </x:c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24" customHeight="1">
      <x:c r="A16" s="110" t="str">
        <x:v>• HP varies from 87.34 to 88.21 mV/dec (max baseline deviation 0.80%); LP varies from 86.33 to 86.95 mV/dec (0.36%).</x:v>
      </x:c>
      <x:c r="B16"/>
      <x:c r="C16"/>
      <x:c r="D16"/>
      <x:c r="E16"/>
      <x:c r="F16"/>
      <x:c r="G16"/>
      <x:c r="H16"/>
      <x:c r="I16"/>
      <x:c r="J16"/>
      <x:c r="K16"/>
      <x:c r="L16"/>
      <x:c r="M16"/>
    </x:row>
    <x:row r="17" ht="24" customHeight="1">
      <x:c r="A17" s="110" t="str">
        <x:v>• The maximum symmetric HP-LP difference is 1.44%; under the project-defined ≤5% descriptive criterion, the tested settings support describing the minimum local SS values as similar.</x:v>
      </x:c>
      <x:c r="B17"/>
      <x:c r="C17"/>
      <x:c r="D17"/>
      <x:c r="E17"/>
      <x:c r="F17"/>
      <x:c r="G17"/>
      <x:c r="H17"/>
      <x:c r="I17"/>
      <x:c r="J17"/>
      <x:c r="K17"/>
      <x:c r="L17"/>
      <x:c r="M17"/>
    </x:row>
    <x:row r="18" ht="24" customHeight="1">
      <x:c r="A18" s="110" t="str">
        <x:v>• R², minimum-span, and 0.1%–10% Ion ceiling changes do not alter the selected baseline interval in evaluable cases.</x:v>
      </x:c>
      <x:c r="B18"/>
      <x:c r="C18"/>
      <x:c r="D18"/>
      <x:c r="E18"/>
      <x:c r="F18"/>
      <x:c r="G18"/>
      <x:c r="H18"/>
      <x:c r="I18"/>
      <x:c r="J18"/>
      <x:c r="K18"/>
      <x:c r="L18"/>
      <x:c r="M18"/>
    </x:row>
    <x:row r="19" ht="24" customHeight="1">
      <x:c r="A19" s="112" t="str">
        <x:v>• No evaluable setting touches the −0.2 V lower sweep edge; the prior HP boundary issue is removed within the tested grid.</x:v>
      </x:c>
      <x:c r="B19"/>
      <x:c r="C19"/>
      <x:c r="D19"/>
      <x:c r="E19"/>
      <x:c r="F19"/>
      <x:c r="G19"/>
      <x:c r="H19"/>
      <x:c r="I19"/>
      <x:c r="J19"/>
      <x:c r="K19"/>
      <x:c r="L19"/>
      <x:c r="M19"/>
    </x:row>
    <x:row r="20" ht="24" customHeight="1">
      <x:c r="A20" s="114" t="str">
        <x:v>• Decision: no additional boundary sweep is required for this model, bias condition, and extraction grid.</x:v>
      </x:c>
      <x:c r="B20"/>
      <x:c r="C20"/>
      <x:c r="D20"/>
      <x:c r="E20"/>
      <x:c r="F20"/>
      <x:c r="G20"/>
      <x:c r="H20"/>
      <x:c r="I20"/>
      <x:c r="J20"/>
      <x:c r="K20"/>
      <x:c r="L20"/>
      <x:c r="M20"/>
    </x:row>
    <x:row r="24" ht="34" customHeight="1">
      <x:c r="J24" s="11" t="str">
        <x:v>Window points</x:v>
      </x:c>
      <x:c r="K24" s="11" t="str">
        <x:v>HP SS</x:v>
      </x:c>
      <x:c r="L24" s="11" t="str">
        <x:v>LP SS</x:v>
      </x:c>
    </x:row>
    <x:row r="25">
      <x:c r="J25" s="22" t="n">
        <x:f>'OFAT_Analysis'!$A$6</x:f>
        <x:v>11</x:v>
      </x:c>
      <x:c r="K25" s="34" t="n">
        <x:f>'OFAT_Analysis'!$C$6</x:f>
        <x:v>87.33547492779843</x:v>
      </x:c>
      <x:c r="L25" s="153" t="n">
        <x:f>'OFAT_Analysis'!$F$6</x:f>
        <x:v>86.33343868186688</x:v>
      </x:c>
    </x:row>
    <x:row r="26">
      <x:c r="J26" s="25" t="n">
        <x:f>'OFAT_Analysis'!$A$7</x:f>
        <x:v>21</x:v>
      </x:c>
      <x:c r="K26" s="35" t="n">
        <x:f>'OFAT_Analysis'!$C$7</x:f>
        <x:v>87.50593064481697</x:v>
      </x:c>
      <x:c r="L26" s="154" t="n">
        <x:f>'OFAT_Analysis'!$F$7</x:f>
        <x:v>86.64802452741225</x:v>
      </x:c>
    </x:row>
    <x:row r="27">
      <x:c r="J27" s="25" t="n">
        <x:f>'OFAT_Analysis'!$A$8</x:f>
        <x:v>31</x:v>
      </x:c>
      <x:c r="K27" s="35" t="n">
        <x:f>'OFAT_Analysis'!$C$8</x:f>
        <x:v>87.79151000968868</x:v>
      </x:c>
      <x:c r="L27" s="154" t="n">
        <x:f>'OFAT_Analysis'!$F$8</x:f>
        <x:v>86.79524521950086</x:v>
      </x:c>
    </x:row>
    <x:row r="28">
      <x:c r="J28" s="28" t="n">
        <x:f>'OFAT_Analysis'!$A$9</x:f>
        <x:v>41</x:v>
      </x:c>
      <x:c r="K28" s="36" t="n">
        <x:f>'OFAT_Analysis'!$C$9</x:f>
        <x:v>88.21020513223262</x:v>
      </x:c>
      <x:c r="L28" s="155" t="n">
        <x:f>'OFAT_Analysis'!$F$9</x:f>
        <x:v>86.94876327076652</x:v>
      </x:c>
    </x:row>
  </x:sheetData>
  <x:mergeCells>
    <x:mergeCell ref="A1:P1"/>
    <x:mergeCell ref="A2:P2"/>
    <x:mergeCell ref="A4:D4"/>
    <x:mergeCell ref="A5:D6"/>
    <x:mergeCell ref="E4:H4"/>
    <x:mergeCell ref="E5:H6"/>
    <x:mergeCell ref="I4:L4"/>
    <x:mergeCell ref="I5:L6"/>
    <x:mergeCell ref="M4:P4"/>
    <x:mergeCell ref="M5:P6"/>
    <x:mergeCell ref="A8:H8"/>
    <x:mergeCell ref="A14:H14"/>
    <x:mergeCell ref="A15:H15"/>
    <x:mergeCell ref="A16:H16"/>
    <x:mergeCell ref="A17:H17"/>
    <x:mergeCell ref="A18:H18"/>
    <x:mergeCell ref="A19:H19"/>
    <x:mergeCell ref="A20:H20"/>
    <x:mergeCell ref="J8:P8"/>
  </x:mergeCells>
  <x:conditionalFormatting sqref="G10:H11">
    <x:cfRule type="containsText" dxfId="30" priority="2" operator="containsText" text="VALID"/>
    <x:cfRule type="containsText" dxfId="31" priority="3" operator="containsText" text="PASS"/>
    <x:cfRule type="containsText" dxfId="32" priority="4" operator="containsText" text="WARNING"/>
    <x:cfRule type="containsText" dxfId="33" priority="5" operator="containsText" text="REVIEW"/>
    <x:cfRule type="containsText" dxfId="34" priority="6" operator="containsText" text="UNSTABLE"/>
    <x:cfRule type="containsText" dxfId="35" priority="7" operator="containsText" text="N/A"/>
  </x:conditionalFormatting>
  <x:conditionalFormatting sqref="A5:D6">
    <x:cfRule type="expression" dxfId="41" priority="8">
      <x:formula>$A$5="PASS"</x:formula>
    </x:cfRule>
    <x:cfRule type="expression" dxfId="42" priority="9">
      <x:formula>$A$5="PASS WITH WARNING"</x:formula>
    </x:cfRule>
    <x:cfRule type="expression" dxfId="43" priority="10">
      <x:formula>$A$5="REVIEW"</x:formula>
    </x:cfRule>
  </x:conditionalFormatting>
  <x:pageMargins left="0.7" right="0.7" top="0.75" bottom="0.75" header="0.3" footer="0.3"/>
  <x:drawing xmlns:r="http://schemas.openxmlformats.org/officeDocument/2006/relationships" r:id="Rdcf2650284b645d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2" hidden="0" customWidth="1"/>
    <x:col min="5" max="5" width="14" hidden="0" customWidth="1"/>
    <x:col min="6" max="6" width="11" hidden="0" customWidth="1"/>
    <x:col min="7" max="7" width="12" hidden="0" customWidth="1"/>
    <x:col min="8" max="8" width="14" hidden="0" customWidth="1"/>
    <x:col min="9" max="9" width="18" hidden="0" customWidth="1"/>
    <x:col min="14" max="14" width="26" hidden="0" customWidth="1"/>
    <x:col min="15" max="15" width="21" hidden="0" customWidth="1"/>
  </x:cols>
  <x:sheetData>
    <x:row r="1" ht="30" customHeight="1">
      <x:c r="A1" s="3" t="str">
        <x:v>PTM 45 nm HP-LP — One-Factor-at-a-Time SS Analysis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2" customHeight="1">
      <x:c r="A2" s="5" t="str">
        <x:v>The evaluable parameter effects are separated so structurally incompatible 11-point/span combinations are not misread as instability.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22" customHeight="1">
      <x:c r="A4" s="60" t="str">
        <x:v>Window-size effect — R² ≥ 0.995 and minimum span = 0.50 decade</x:v>
      </x:c>
      <x:c r="B4" s="61"/>
      <x:c r="C4" s="61"/>
      <x:c r="D4" s="61"/>
      <x:c r="E4" s="61"/>
      <x:c r="F4" s="61"/>
      <x:c r="G4" s="61"/>
      <x:c r="H4" s="61"/>
      <x:c r="I4" s="62"/>
      <x:c r="N4" s="60" t="str">
        <x:v>Robustness KPIs</x:v>
      </x:c>
      <x:c r="O4" s="62"/>
    </x:row>
    <x:row r="5" ht="34" customHeight="1">
      <x:c r="A5" s="11" t="str">
        <x:v>Window (points)</x:v>
      </x:c>
      <x:c r="B5" s="11" t="str">
        <x:v>Width (V)</x:v>
      </x:c>
      <x:c r="C5" s="11" t="str">
        <x:v>HP SS</x:v>
      </x:c>
      <x:c r="D5" s="11" t="str">
        <x:v>HP delta</x:v>
      </x:c>
      <x:c r="E5" s="11" t="str">
        <x:v>HP lower edge</x:v>
      </x:c>
      <x:c r="F5" s="11" t="str">
        <x:v>LP SS</x:v>
      </x:c>
      <x:c r="G5" s="11" t="str">
        <x:v>LP delta</x:v>
      </x:c>
      <x:c r="H5" s="11" t="str">
        <x:v>LP lower edge</x:v>
      </x:c>
      <x:c r="I5" s="11" t="str">
        <x:v>Symmetric HP-LP difference</x:v>
      </x:c>
      <x:c r="N5" s="22" t="str">
        <x:v>HP max |delta|</x:v>
      </x:c>
      <x:c r="O5" s="63" t="n">
        <x:f>MAX(ABS(D6),ABS(D7),ABS(D8),ABS(D9))</x:f>
        <x:v>0.00804830578025925</x:v>
      </x:c>
    </x:row>
    <x:row r="6">
      <x:c r="A6" s="22" t="n">
        <x:v>11</x:v>
      </x:c>
      <x:c r="B6" s="34" t="n">
        <x:v>0.05</x:v>
      </x:c>
      <x:c r="C6" s="34" t="n">
        <x:f>'Sensitivity_Grid'!$K$8</x:f>
        <x:v>87.33547492779843</x:v>
      </x:c>
      <x:c r="D6" s="43" t="n">
        <x:f>(C6-$C$7)/$C$7</x:f>
        <x:v>-0.00194793330877668</x:v>
      </x:c>
      <x:c r="E6" s="23" t="str">
        <x:f>'Sensitivity_Grid'!$U$8</x:f>
        <x:v>NO</x:v>
      </x:c>
      <x:c r="F6" s="34" t="n">
        <x:f>'Sensitivity_Grid'!$K$44</x:f>
        <x:v>86.33343868186688</x:v>
      </x:c>
      <x:c r="G6" s="43" t="n">
        <x:f>(F6-$F$7)/$F$7</x:f>
        <x:v>-0.0036306176310556613</x:v>
      </x:c>
      <x:c r="H6" s="23" t="str">
        <x:f>'Sensitivity_Grid'!$U$44</x:f>
        <x:v>NO</x:v>
      </x:c>
      <x:c r="I6" s="63" t="n">
        <x:f>ABS(C6-F6)/AVERAGE(C6,F6)</x:f>
        <x:v>0.011539615525939264</x:v>
      </x:c>
      <x:c r="N6" s="25" t="str">
        <x:v>LP max |delta|</x:v>
      </x:c>
      <x:c r="O6" s="64" t="n">
        <x:f>MAX(ABS(G6),ABS(G7),ABS(G8),ABS(G9))</x:f>
        <x:v>0.0036306176310556613</x:v>
      </x:c>
    </x:row>
    <x:row r="7">
      <x:c r="A7" s="25" t="n">
        <x:v>21</x:v>
      </x:c>
      <x:c r="B7" s="35" t="n">
        <x:v>0.1</x:v>
      </x:c>
      <x:c r="C7" s="35" t="n">
        <x:f>'Sensitivity_Grid'!$K$17</x:f>
        <x:v>87.50593064481697</x:v>
      </x:c>
      <x:c r="D7" s="44" t="n">
        <x:f>(C7-$C$7)/$C$7</x:f>
        <x:v>0</x:v>
      </x:c>
      <x:c r="E7" s="26" t="str">
        <x:f>'Sensitivity_Grid'!$U$17</x:f>
        <x:v>NO</x:v>
      </x:c>
      <x:c r="F7" s="35" t="n">
        <x:f>'Sensitivity_Grid'!$K$53</x:f>
        <x:v>86.64802452741225</x:v>
      </x:c>
      <x:c r="G7" s="44" t="n">
        <x:f>(F7-$F$7)/$F$7</x:f>
        <x:v>0</x:v>
      </x:c>
      <x:c r="H7" s="26" t="str">
        <x:f>'Sensitivity_Grid'!$U$53</x:f>
        <x:v>NO</x:v>
      </x:c>
      <x:c r="I7" s="64" t="n">
        <x:f>ABS(C7-F7)/AVERAGE(C7,F7)</x:f>
        <x:v>0.009852272566032732</x:v>
      </x:c>
      <x:c r="N7" s="25" t="str">
        <x:v>Max HP-LP symmetric difference</x:v>
      </x:c>
      <x:c r="O7" s="64" t="n">
        <x:f>MAX(I6:I9)</x:f>
        <x:v>0.014403394504628715</x:v>
      </x:c>
    </x:row>
    <x:row r="8">
      <x:c r="A8" s="25" t="n">
        <x:v>31</x:v>
      </x:c>
      <x:c r="B8" s="35" t="n">
        <x:v>0.15</x:v>
      </x:c>
      <x:c r="C8" s="35" t="n">
        <x:f>'Sensitivity_Grid'!$K$26</x:f>
        <x:v>87.79151000968868</x:v>
      </x:c>
      <x:c r="D8" s="44" t="n">
        <x:f>(C8-$C$7)/$C$7</x:f>
        <x:v>0.003263542970942887</x:v>
      </x:c>
      <x:c r="E8" s="26" t="str">
        <x:f>'Sensitivity_Grid'!$U$26</x:f>
        <x:v>NO</x:v>
      </x:c>
      <x:c r="F8" s="35" t="n">
        <x:f>'Sensitivity_Grid'!$K$62</x:f>
        <x:v>86.79524521950086</x:v>
      </x:c>
      <x:c r="G8" s="44" t="n">
        <x:f>(F8-$F$7)/$F$7</x:f>
        <x:v>0.001699065765106211</x:v>
      </x:c>
      <x:c r="H8" s="26" t="str">
        <x:f>'Sensitivity_Grid'!$U$62</x:f>
        <x:v>NO</x:v>
      </x:c>
      <x:c r="I8" s="64" t="n">
        <x:f>ABS(C8-F8)/AVERAGE(C8,F8)</x:f>
        <x:v>0.011412833566669726</x:v>
      </x:c>
      <x:c r="N8" s="25" t="str">
        <x:v>HP lower-edge windows</x:v>
      </x:c>
      <x:c r="O8" s="72" t="n">
        <x:f>COUNTIF(E6:E9,"YES")</x:f>
        <x:v>0</x:v>
      </x:c>
    </x:row>
    <x:row r="9">
      <x:c r="A9" s="28" t="n">
        <x:v>41</x:v>
      </x:c>
      <x:c r="B9" s="36" t="n">
        <x:v>0.2</x:v>
      </x:c>
      <x:c r="C9" s="36" t="n">
        <x:f>'Sensitivity_Grid'!$K$35</x:f>
        <x:v>88.21020513223262</x:v>
      </x:c>
      <x:c r="D9" s="45" t="n">
        <x:f>(C9-$C$7)/$C$7</x:f>
        <x:v>0.00804830578025925</x:v>
      </x:c>
      <x:c r="E9" s="29" t="str">
        <x:f>'Sensitivity_Grid'!$U$35</x:f>
        <x:v>NO</x:v>
      </x:c>
      <x:c r="F9" s="36" t="n">
        <x:f>'Sensitivity_Grid'!$K$71</x:f>
        <x:v>86.94876327076652</x:v>
      </x:c>
      <x:c r="G9" s="45" t="n">
        <x:f>(F9-$F$7)/$F$7</x:f>
        <x:v>0.0034708089999112503</x:v>
      </x:c>
      <x:c r="H9" s="29" t="str">
        <x:f>'Sensitivity_Grid'!$U$71</x:f>
        <x:v>NO</x:v>
      </x:c>
      <x:c r="I9" s="65" t="n">
        <x:f>ABS(C9-F9)/AVERAGE(C9,F9)</x:f>
        <x:v>0.014403394504628715</x:v>
      </x:c>
      <x:c r="N9" s="25" t="str">
        <x:v>LP lower-edge windows</x:v>
      </x:c>
      <x:c r="O9" s="72" t="n">
        <x:f>COUNTIF(H6:H9,"YES")</x:f>
        <x:v>0</x:v>
      </x:c>
    </x:row>
    <x:row r="10">
      <x:c r="N10" s="28" t="str">
        <x:v>Interpretation stability</x:v>
      </x:c>
      <x:c r="O10" s="30" t="str">
        <x:f>IF(O7&lt;=5%,"SS remains similar","Review HP-LP interpretation")</x:f>
        <x:v>SS remains similar</x:v>
      </x:c>
    </x:row>
    <x:row r="12" ht="22" customHeight="1">
      <x:c r="A12" s="60" t="str">
        <x:v>R² threshold effect — 21 points and minimum span = 0.75 decade</x:v>
      </x:c>
      <x:c r="B12" s="61"/>
      <x:c r="C12" s="61"/>
      <x:c r="D12" s="61"/>
      <x:c r="E12" s="61"/>
      <x:c r="F12" s="62"/>
    </x:row>
    <x:row r="13" ht="34" customHeight="1">
      <x:c r="A13" s="11" t="str">
        <x:v>Minimum R²</x:v>
      </x:c>
      <x:c r="B13" s="11" t="str">
        <x:v>HP SS</x:v>
      </x:c>
      <x:c r="C13" s="11" t="str">
        <x:v>HP candidates</x:v>
      </x:c>
      <x:c r="D13" s="11" t="str">
        <x:v>LP SS</x:v>
      </x:c>
      <x:c r="E13" s="11" t="str">
        <x:v>LP candidates</x:v>
      </x:c>
      <x:c r="F13" s="11" t="str">
        <x:v>Interpretation</x:v>
      </x:c>
    </x:row>
    <x:row r="14">
      <x:c r="A14" s="66" t="n">
        <x:v>0.99</x:v>
      </x:c>
      <x:c r="B14" s="34" t="n">
        <x:f>'Sensitivity_Grid'!$K$15</x:f>
        <x:v>87.50593064481697</x:v>
      </x:c>
      <x:c r="C14" s="23" t="n">
        <x:f>'Sensitivity_Grid'!$I$15</x:f>
        <x:v>65</x:v>
      </x:c>
      <x:c r="D14" s="34" t="n">
        <x:f>'Sensitivity_Grid'!$K$51</x:f>
        <x:v>86.64802452741225</x:v>
      </x:c>
      <x:c r="E14" s="23" t="n">
        <x:f>'Sensitivity_Grid'!$I$51</x:f>
        <x:v>103</x:v>
      </x:c>
      <x:c r="F14" s="24" t="str">
        <x:v>Selected SS and interval unchanged</x:v>
      </x:c>
    </x:row>
    <x:row r="15">
      <x:c r="A15" s="67" t="n">
        <x:v>0.995</x:v>
      </x:c>
      <x:c r="B15" s="35" t="n">
        <x:f>'Sensitivity_Grid'!$K$18</x:f>
        <x:v>87.50593064481697</x:v>
      </x:c>
      <x:c r="C15" s="26" t="n">
        <x:f>'Sensitivity_Grid'!$I$18</x:f>
        <x:v>63</x:v>
      </x:c>
      <x:c r="D15" s="35" t="n">
        <x:f>'Sensitivity_Grid'!$K$54</x:f>
        <x:v>86.64802452741225</x:v>
      </x:c>
      <x:c r="E15" s="26" t="n">
        <x:f>'Sensitivity_Grid'!$I$54</x:f>
        <x:v>99</x:v>
      </x:c>
      <x:c r="F15" s="27" t="str">
        <x:v>Selected SS and interval unchanged</x:v>
      </x:c>
    </x:row>
    <x:row r="16">
      <x:c r="A16" s="68" t="n">
        <x:v>0.999</x:v>
      </x:c>
      <x:c r="B16" s="36" t="n">
        <x:f>'Sensitivity_Grid'!$K$21</x:f>
        <x:v>87.50593064481697</x:v>
      </x:c>
      <x:c r="C16" s="29" t="n">
        <x:f>'Sensitivity_Grid'!$I$21</x:f>
        <x:v>57</x:v>
      </x:c>
      <x:c r="D16" s="36" t="n">
        <x:f>'Sensitivity_Grid'!$K$57</x:f>
        <x:v>86.64802452741225</x:v>
      </x:c>
      <x:c r="E16" s="29" t="n">
        <x:f>'Sensitivity_Grid'!$I$57</x:f>
        <x:v>92</x:v>
      </x:c>
      <x:c r="F16" s="30" t="str">
        <x:v>Selected SS and interval unchanged</x:v>
      </x:c>
    </x:row>
    <x:row r="19" ht="22" customHeight="1">
      <x:c r="A19" s="60" t="str">
        <x:v>Minimum-current-span effect — 21 points and R² ≥ 0.995</x:v>
      </x:c>
      <x:c r="B19" s="61"/>
      <x:c r="C19" s="61"/>
      <x:c r="D19" s="61"/>
      <x:c r="E19" s="61"/>
      <x:c r="F19" s="62"/>
    </x:row>
    <x:row r="20" ht="34" customHeight="1">
      <x:c r="A20" s="11" t="str">
        <x:v>Minimum span (dec)</x:v>
      </x:c>
      <x:c r="B20" s="11" t="str">
        <x:v>HP SS</x:v>
      </x:c>
      <x:c r="C20" s="11" t="str">
        <x:v>HP candidates</x:v>
      </x:c>
      <x:c r="D20" s="11" t="str">
        <x:v>LP SS</x:v>
      </x:c>
      <x:c r="E20" s="11" t="str">
        <x:v>LP candidates</x:v>
      </x:c>
      <x:c r="F20" s="11" t="str">
        <x:v>Interpretation</x:v>
      </x:c>
    </x:row>
    <x:row r="21">
      <x:c r="A21" s="69" t="n">
        <x:v>0.5</x:v>
      </x:c>
      <x:c r="B21" s="34" t="n">
        <x:f>'Sensitivity_Grid'!$K$17</x:f>
        <x:v>87.50593064481697</x:v>
      </x:c>
      <x:c r="C21" s="23" t="n">
        <x:f>'Sensitivity_Grid'!$I$17</x:f>
        <x:v>63</x:v>
      </x:c>
      <x:c r="D21" s="34" t="n">
        <x:f>'Sensitivity_Grid'!$K$53</x:f>
        <x:v>86.64802452741225</x:v>
      </x:c>
      <x:c r="E21" s="23" t="n">
        <x:f>'Sensitivity_Grid'!$I$53</x:f>
        <x:v>99</x:v>
      </x:c>
      <x:c r="F21" s="24" t="str">
        <x:v>Selected SS and interval unchanged</x:v>
      </x:c>
    </x:row>
    <x:row r="22">
      <x:c r="A22" s="70" t="n">
        <x:v>0.75</x:v>
      </x:c>
      <x:c r="B22" s="35" t="n">
        <x:f>'Sensitivity_Grid'!$K$18</x:f>
        <x:v>87.50593064481697</x:v>
      </x:c>
      <x:c r="C22" s="26" t="n">
        <x:f>'Sensitivity_Grid'!$I$18</x:f>
        <x:v>63</x:v>
      </x:c>
      <x:c r="D22" s="35" t="n">
        <x:f>'Sensitivity_Grid'!$K$54</x:f>
        <x:v>86.64802452741225</x:v>
      </x:c>
      <x:c r="E22" s="26" t="n">
        <x:f>'Sensitivity_Grid'!$I$54</x:f>
        <x:v>99</x:v>
      </x:c>
      <x:c r="F22" s="27" t="str">
        <x:v>Selected SS and interval unchanged</x:v>
      </x:c>
    </x:row>
    <x:row r="23">
      <x:c r="A23" s="71" t="n">
        <x:v>1</x:v>
      </x:c>
      <x:c r="B23" s="36" t="n">
        <x:f>'Sensitivity_Grid'!$K$19</x:f>
        <x:v>87.50593064481697</x:v>
      </x:c>
      <x:c r="C23" s="29" t="n">
        <x:f>'Sensitivity_Grid'!$I$19</x:f>
        <x:v>56</x:v>
      </x:c>
      <x:c r="D23" s="36" t="n">
        <x:f>'Sensitivity_Grid'!$K$55</x:f>
        <x:v>86.64802452741225</x:v>
      </x:c>
      <x:c r="E23" s="29" t="n">
        <x:f>'Sensitivity_Grid'!$I$55</x:f>
        <x:v>87</x:v>
      </x:c>
      <x:c r="F23" s="30" t="str">
        <x:v>Selected SS and interval unchanged</x:v>
      </x:c>
    </x:row>
    <x:row r="26" ht="22" customHeight="1">
      <x:c r="A26" s="60" t="str">
        <x:v>Interpretation and decision rules</x:v>
      </x:c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2"/>
    </x:row>
    <x:row r="27" ht="22" customHeight="1">
      <x:c r="A27" s="73" t="str">
        <x:v>• Numerical PASS: every evaluable value remains within ±5% of the 21-point baseline.</x:v>
      </x:c>
    </x:row>
    <x:row r="28" ht="22" customHeight="1">
      <x:c r="A28" s="73" t="str">
        <x:v>• REVIEW: 5–10% change; UNSTABLE: more than 10% change.</x:v>
      </x:c>
    </x:row>
    <x:row r="29" ht="22" customHeight="1">
      <x:c r="A29" s="73" t="str">
        <x:v>• HP-LP is called similar only when the symmetric relative difference is at most 5% for every evaluable setting.</x:v>
      </x:c>
    </x:row>
    <x:row r="30" ht="22" customHeight="1">
      <x:c r="A30" s="73" t="str">
        <x:v>• N/A identifies structurally incompatible window/span settings and is not counted as a numerical failure.</x:v>
      </x:c>
    </x:row>
    <x:row r="31" ht="22" customHeight="1">
      <x:c r="A31" s="73" t="str">
        <x:v>• The extended −0.2 V sweep resolves boundary contact; any future boundary contact would still override a numerical PASS.</x:v>
      </x:c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</x:row>
  </x:sheetData>
  <x:mergeCells>
    <x:mergeCell ref="A1:O1"/>
    <x:mergeCell ref="A2:O2"/>
    <x:mergeCell ref="A4:I4"/>
    <x:mergeCell ref="A12:F12"/>
    <x:mergeCell ref="A19:F19"/>
    <x:mergeCell ref="N4:O4"/>
    <x:mergeCell ref="A26:O26"/>
    <x:mergeCell ref="A27:O27"/>
    <x:mergeCell ref="A28:O28"/>
    <x:mergeCell ref="A29:O29"/>
    <x:mergeCell ref="A30:O30"/>
    <x:mergeCell ref="A31:O31"/>
  </x:mergeCells>
  <x:conditionalFormatting sqref="E6:E9">
    <x:cfRule type="containsText" dxfId="13" priority="1" operator="containsText" text="YES"/>
  </x:conditionalFormatting>
  <x:conditionalFormatting sqref="O10:O10">
    <x:cfRule type="containsText" dxfId="14" priority="2" operator="containsText" text="VALID"/>
    <x:cfRule type="containsText" dxfId="15" priority="3" operator="containsText" text="PASS"/>
    <x:cfRule type="containsText" dxfId="16" priority="4" operator="containsText" text="WARNING"/>
    <x:cfRule type="containsText" dxfId="17" priority="5" operator="containsText" text="REVIEW"/>
    <x:cfRule type="containsText" dxfId="18" priority="6" operator="containsText" text="UNSTABLE"/>
    <x:cfRule type="containsText" dxfId="19" priority="7" operator="containsText" text="N/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10" hidden="0" customWidth="1"/>
    <x:col min="5" max="5" width="12" hidden="0" customWidth="1"/>
    <x:col min="6" max="6" width="11" hidden="0" customWidth="1"/>
    <x:col min="7" max="7" width="12" hidden="0" customWidth="1"/>
    <x:col min="8" max="8" width="10" hidden="0" customWidth="1"/>
    <x:col min="9" max="9" width="11" hidden="0" customWidth="1"/>
    <x:col min="10" max="10" width="12" hidden="0" customWidth="1"/>
    <x:col min="11" max="11" width="11" hidden="0" customWidth="1"/>
    <x:col min="12" max="12" width="12" hidden="0" customWidth="1"/>
    <x:col min="13" max="13" width="11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4" hidden="0" customWidth="1"/>
    <x:col min="20" max="20" width="14" hidden="0" customWidth="1"/>
    <x:col min="21" max="21" width="11" hidden="0" customWidth="1"/>
    <x:col min="22" max="22" width="31" hidden="0" customWidth="1"/>
    <x:col min="23" max="23" width="16" hidden="0" customWidth="1"/>
  </x:cols>
  <x:sheetData>
    <x:row r="1" ht="30" customHeight="1">
      <x:c r="A1" s="3" t="str">
        <x:v>PTM 45 nm HP-LP — Full SS Sensitivity Grid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2" customHeight="1">
      <x:c r="A2" s="5" t="str">
        <x:v>72 cross-grid cases: 4 fit windows × 3 R² thresholds × 3 minimum current spans × 2 device models.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4" ht="34" customHeight="1">
      <x:c r="A4" s="11" t="str">
        <x:v>Device</x:v>
      </x:c>
      <x:c r="B4" s="11" t="str">
        <x:v>Window
(points)</x:v>
      </x:c>
      <x:c r="C4" s="11" t="str">
        <x:v>Window
width (V)</x:v>
      </x:c>
      <x:c r="D4" s="11" t="str">
        <x:v>Minimum
R²</x:v>
      </x:c>
      <x:c r="E4" s="11" t="str">
        <x:v>Minimum span
(dec)</x:v>
      </x:c>
      <x:c r="F4" s="11" t="str">
        <x:v>Max ID / Ion</x:v>
      </x:c>
      <x:c r="G4" s="11" t="str">
        <x:v>Eligible
curve points</x:v>
      </x:c>
      <x:c r="H4" s="11" t="str">
        <x:v>Total
windows</x:v>
      </x:c>
      <x:c r="I4" s="11" t="str">
        <x:v>Candidate
windows</x:v>
      </x:c>
      <x:c r="J4" s="11" t="str">
        <x:v>Result status</x:v>
      </x:c>
      <x:c r="K4" s="11" t="str">
        <x:v>SS
(mV/dec)</x:v>
      </x:c>
      <x:c r="L4" s="11" t="str">
        <x:v>Baseline SS
(mV/dec)</x:v>
      </x:c>
      <x:c r="M4" s="11" t="str">
        <x:v>Delta
(mV/dec)</x:v>
      </x:c>
      <x:c r="N4" s="11" t="str">
        <x:v>Delta vs baseline</x:v>
      </x:c>
      <x:c r="O4" s="11" t="str">
        <x:v>Selected VGS
min (V)</x:v>
      </x:c>
      <x:c r="P4" s="11" t="str">
        <x:v>Selected VGS
max (V)</x:v>
      </x:c>
      <x:c r="Q4" s="11" t="str">
        <x:v>Selected span
(dec)</x:v>
      </x:c>
      <x:c r="R4" s="11" t="str">
        <x:v>Selected R²</x:v>
      </x:c>
      <x:c r="S4" s="11" t="str">
        <x:v>Selected ID
min (A)</x:v>
      </x:c>
      <x:c r="T4" s="11" t="str">
        <x:v>Selected ID
max (A)</x:v>
      </x:c>
      <x:c r="U4" s="11" t="str">
        <x:v>Lower sweep
edge</x:v>
      </x:c>
      <x:c r="V4" s="11" t="str">
        <x:v>Result note</x:v>
      </x:c>
      <x:c r="W4" s="11" t="str">
        <x:v>Numerical stability</x:v>
      </x:c>
    </x:row>
    <x:row r="5">
      <x:c r="A5" s="22" t="str">
        <x:v>HP</x:v>
      </x:c>
      <x:c r="B5" s="31" t="n">
        <x:v>11</x:v>
      </x:c>
      <x:c r="C5" s="34" t="n">
        <x:v>0.05</x:v>
      </x:c>
      <x:c r="D5" s="34" t="n">
        <x:v>0.99</x:v>
      </x:c>
      <x:c r="E5" s="37" t="n">
        <x:v>0.5</x:v>
      </x:c>
      <x:c r="F5" s="40" t="n">
        <x:v>0.01</x:v>
      </x:c>
      <x:c r="G5" s="31" t="n">
        <x:v>94</x:v>
      </x:c>
      <x:c r="H5" s="31" t="n">
        <x:v>84</x:v>
      </x:c>
      <x:c r="I5" s="31" t="n">
        <x:v>58</x:v>
      </x:c>
      <x:c r="J5" s="23" t="str">
        <x:v>VALID</x:v>
      </x:c>
      <x:c r="K5" s="34" t="n">
        <x:v>87.33547492779843</x:v>
      </x:c>
      <x:c r="L5" s="34" t="n">
        <x:v>87.50593064481782</x:v>
      </x:c>
      <x:c r="M5" s="34" t="n">
        <x:f>IF($J5="VALID",$K5-$L5,"")</x:f>
        <x:v>-0.17045571701939366</x:v>
      </x:c>
      <x:c r="N5" s="43" t="n">
        <x:f>IF($J5="VALID",$M5/$L5,"")</x:f>
        <x:v>-0.001947933308786405</x:v>
      </x:c>
      <x:c r="O5" s="34" t="n">
        <x:v>-0.0149999999999999</x:v>
      </x:c>
      <x:c r="P5" s="34" t="n">
        <x:v>0.0350000000000001</x:v>
      </x:c>
      <x:c r="Q5" s="34" t="n">
        <x:v>0.5723434324289727</x:v>
      </x:c>
      <x:c r="R5" s="46" t="n">
        <x:v>0.9999999113457294</x:v>
      </x:c>
      <x:c r="S5" s="49" t="n">
        <x:v>1.3501420203353691e-8</x:v>
      </x:c>
      <x:c r="T5" s="49" t="n">
        <x:v>5.043393871940648e-8</x:v>
      </x:c>
      <x:c r="U5" s="23" t="str">
        <x:v>NO</x:v>
      </x:c>
      <x:c r="V5" s="52" t="str">
        <x:v>Selected minimum local SS</x:v>
      </x:c>
      <x:c r="W5" s="24" t="str">
        <x:f>IF($J5&lt;&gt;"VALID","N/A",IF(ABS($N5)&lt;=5%,"PASS",IF(ABS($N5)&lt;=10%,"REVIEW","UNSTABLE")))</x:f>
        <x:v>PASS</x:v>
      </x:c>
    </x:row>
    <x:row r="6">
      <x:c r="A6" s="25" t="str">
        <x:v>HP</x:v>
      </x:c>
      <x:c r="B6" s="32" t="n">
        <x:v>11</x:v>
      </x:c>
      <x:c r="C6" s="35" t="n">
        <x:v>0.05</x:v>
      </x:c>
      <x:c r="D6" s="35" t="n">
        <x:v>0.99</x:v>
      </x:c>
      <x:c r="E6" s="38" t="n">
        <x:v>0.75</x:v>
      </x:c>
      <x:c r="F6" s="41" t="n">
        <x:v>0.01</x:v>
      </x:c>
      <x:c r="G6" s="32" t="n">
        <x:v>94</x:v>
      </x:c>
      <x:c r="H6" s="32" t="n">
        <x:v>84</x:v>
      </x:c>
      <x:c r="I6" s="32" t="n">
        <x:v>0</x:v>
      </x:c>
      <x:c r="J6" s="26" t="str">
        <x:v>N/A</x:v>
      </x:c>
      <x:c r="K6" s="35"/>
      <x:c r="L6" s="35" t="n">
        <x:v>87.50593064481782</x:v>
      </x:c>
      <x:c r="M6" s="35" t="str">
        <x:f>IF($J6="VALID",$K6-$L6,"")</x:f>
      </x:c>
      <x:c r="N6" s="44" t="str">
        <x:f>IF($J6="VALID",$M6/$L6,"")</x:f>
      </x:c>
      <x:c r="O6" s="35"/>
      <x:c r="P6" s="35"/>
      <x:c r="Q6" s="35"/>
      <x:c r="R6" s="47"/>
      <x:c r="S6" s="50"/>
      <x:c r="T6" s="50"/>
      <x:c r="U6" s="26" t="str">
        <x:v>N/A</x:v>
      </x:c>
      <x:c r="V6" s="53" t="str">
        <x:v>Incompatible window/span: no candidate</x:v>
      </x:c>
      <x:c r="W6" s="27" t="str">
        <x:f>IF($J6&lt;&gt;"VALID","N/A",IF(ABS($N6)&lt;=5%,"PASS",IF(ABS($N6)&lt;=10%,"REVIEW","UNSTABLE")))</x:f>
        <x:v>N/A</x:v>
      </x:c>
    </x:row>
    <x:row r="7">
      <x:c r="A7" s="25" t="str">
        <x:v>HP</x:v>
      </x:c>
      <x:c r="B7" s="32" t="n">
        <x:v>11</x:v>
      </x:c>
      <x:c r="C7" s="35" t="n">
        <x:v>0.05</x:v>
      </x:c>
      <x:c r="D7" s="35" t="n">
        <x:v>0.99</x:v>
      </x:c>
      <x:c r="E7" s="38" t="n">
        <x:v>1</x:v>
      </x:c>
      <x:c r="F7" s="41" t="n">
        <x:v>0.01</x:v>
      </x:c>
      <x:c r="G7" s="32" t="n">
        <x:v>94</x:v>
      </x:c>
      <x:c r="H7" s="32" t="n">
        <x:v>84</x:v>
      </x:c>
      <x:c r="I7" s="32" t="n">
        <x:v>0</x:v>
      </x:c>
      <x:c r="J7" s="26" t="str">
        <x:v>N/A</x:v>
      </x:c>
      <x:c r="K7" s="35"/>
      <x:c r="L7" s="35" t="n">
        <x:v>87.50593064481782</x:v>
      </x:c>
      <x:c r="M7" s="35" t="str">
        <x:f>IF($J7="VALID",$K7-$L7,"")</x:f>
      </x:c>
      <x:c r="N7" s="44" t="str">
        <x:f>IF($J7="VALID",$M7/$L7,"")</x:f>
      </x:c>
      <x:c r="O7" s="35"/>
      <x:c r="P7" s="35"/>
      <x:c r="Q7" s="35"/>
      <x:c r="R7" s="47"/>
      <x:c r="S7" s="50"/>
      <x:c r="T7" s="50"/>
      <x:c r="U7" s="26" t="str">
        <x:v>N/A</x:v>
      </x:c>
      <x:c r="V7" s="53" t="str">
        <x:v>Incompatible window/span: no candidate</x:v>
      </x:c>
      <x:c r="W7" s="27" t="str">
        <x:f>IF($J7&lt;&gt;"VALID","N/A",IF(ABS($N7)&lt;=5%,"PASS",IF(ABS($N7)&lt;=10%,"REVIEW","UNSTABLE")))</x:f>
        <x:v>N/A</x:v>
      </x:c>
    </x:row>
    <x:row r="8">
      <x:c r="A8" s="25" t="str">
        <x:v>HP</x:v>
      </x:c>
      <x:c r="B8" s="32" t="n">
        <x:v>11</x:v>
      </x:c>
      <x:c r="C8" s="35" t="n">
        <x:v>0.05</x:v>
      </x:c>
      <x:c r="D8" s="35" t="n">
        <x:v>0.995</x:v>
      </x:c>
      <x:c r="E8" s="38" t="n">
        <x:v>0.5</x:v>
      </x:c>
      <x:c r="F8" s="41" t="n">
        <x:v>0.01</x:v>
      </x:c>
      <x:c r="G8" s="32" t="n">
        <x:v>94</x:v>
      </x:c>
      <x:c r="H8" s="32" t="n">
        <x:v>84</x:v>
      </x:c>
      <x:c r="I8" s="32" t="n">
        <x:v>58</x:v>
      </x:c>
      <x:c r="J8" s="26" t="str">
        <x:v>VALID</x:v>
      </x:c>
      <x:c r="K8" s="35" t="n">
        <x:v>87.33547492779843</x:v>
      </x:c>
      <x:c r="L8" s="35" t="n">
        <x:v>87.50593064481782</x:v>
      </x:c>
      <x:c r="M8" s="35" t="n">
        <x:f>IF($J8="VALID",$K8-$L8,"")</x:f>
        <x:v>-0.17045571701939366</x:v>
      </x:c>
      <x:c r="N8" s="44" t="n">
        <x:f>IF($J8="VALID",$M8/$L8,"")</x:f>
        <x:v>-0.001947933308786405</x:v>
      </x:c>
      <x:c r="O8" s="35" t="n">
        <x:v>-0.0149999999999999</x:v>
      </x:c>
      <x:c r="P8" s="35" t="n">
        <x:v>0.0350000000000001</x:v>
      </x:c>
      <x:c r="Q8" s="35" t="n">
        <x:v>0.5723434324289727</x:v>
      </x:c>
      <x:c r="R8" s="47" t="n">
        <x:v>0.9999999113457294</x:v>
      </x:c>
      <x:c r="S8" s="50" t="n">
        <x:v>1.3501420203353691e-8</x:v>
      </x:c>
      <x:c r="T8" s="50" t="n">
        <x:v>5.043393871940648e-8</x:v>
      </x:c>
      <x:c r="U8" s="26" t="str">
        <x:v>NO</x:v>
      </x:c>
      <x:c r="V8" s="53" t="str">
        <x:v>Selected minimum local SS</x:v>
      </x:c>
      <x:c r="W8" s="27" t="str">
        <x:f>IF($J8&lt;&gt;"VALID","N/A",IF(ABS($N8)&lt;=5%,"PASS",IF(ABS($N8)&lt;=10%,"REVIEW","UNSTABLE")))</x:f>
        <x:v>PASS</x:v>
      </x:c>
    </x:row>
    <x:row r="9">
      <x:c r="A9" s="25" t="str">
        <x:v>HP</x:v>
      </x:c>
      <x:c r="B9" s="32" t="n">
        <x:v>11</x:v>
      </x:c>
      <x:c r="C9" s="35" t="n">
        <x:v>0.05</x:v>
      </x:c>
      <x:c r="D9" s="35" t="n">
        <x:v>0.995</x:v>
      </x:c>
      <x:c r="E9" s="38" t="n">
        <x:v>0.75</x:v>
      </x:c>
      <x:c r="F9" s="41" t="n">
        <x:v>0.01</x:v>
      </x:c>
      <x:c r="G9" s="32" t="n">
        <x:v>94</x:v>
      </x:c>
      <x:c r="H9" s="32" t="n">
        <x:v>84</x:v>
      </x:c>
      <x:c r="I9" s="32" t="n">
        <x:v>0</x:v>
      </x:c>
      <x:c r="J9" s="26" t="str">
        <x:v>N/A</x:v>
      </x:c>
      <x:c r="K9" s="35"/>
      <x:c r="L9" s="35" t="n">
        <x:v>87.50593064481782</x:v>
      </x:c>
      <x:c r="M9" s="35" t="str">
        <x:f>IF($J9="VALID",$K9-$L9,"")</x:f>
      </x:c>
      <x:c r="N9" s="44" t="str">
        <x:f>IF($J9="VALID",$M9/$L9,"")</x:f>
      </x:c>
      <x:c r="O9" s="35"/>
      <x:c r="P9" s="35"/>
      <x:c r="Q9" s="35"/>
      <x:c r="R9" s="47"/>
      <x:c r="S9" s="50"/>
      <x:c r="T9" s="50"/>
      <x:c r="U9" s="26" t="str">
        <x:v>N/A</x:v>
      </x:c>
      <x:c r="V9" s="53" t="str">
        <x:v>Incompatible window/span: no candidate</x:v>
      </x:c>
      <x:c r="W9" s="27" t="str">
        <x:f>IF($J9&lt;&gt;"VALID","N/A",IF(ABS($N9)&lt;=5%,"PASS",IF(ABS($N9)&lt;=10%,"REVIEW","UNSTABLE")))</x:f>
        <x:v>N/A</x:v>
      </x:c>
    </x:row>
    <x:row r="10">
      <x:c r="A10" s="25" t="str">
        <x:v>HP</x:v>
      </x:c>
      <x:c r="B10" s="32" t="n">
        <x:v>11</x:v>
      </x:c>
      <x:c r="C10" s="35" t="n">
        <x:v>0.05</x:v>
      </x:c>
      <x:c r="D10" s="35" t="n">
        <x:v>0.995</x:v>
      </x:c>
      <x:c r="E10" s="38" t="n">
        <x:v>1</x:v>
      </x:c>
      <x:c r="F10" s="41" t="n">
        <x:v>0.01</x:v>
      </x:c>
      <x:c r="G10" s="32" t="n">
        <x:v>94</x:v>
      </x:c>
      <x:c r="H10" s="32" t="n">
        <x:v>84</x:v>
      </x:c>
      <x:c r="I10" s="32" t="n">
        <x:v>0</x:v>
      </x:c>
      <x:c r="J10" s="26" t="str">
        <x:v>N/A</x:v>
      </x:c>
      <x:c r="K10" s="35"/>
      <x:c r="L10" s="35" t="n">
        <x:v>87.50593064481782</x:v>
      </x:c>
      <x:c r="M10" s="35" t="str">
        <x:f>IF($J10="VALID",$K10-$L10,"")</x:f>
      </x:c>
      <x:c r="N10" s="44" t="str">
        <x:f>IF($J10="VALID",$M10/$L10,"")</x:f>
      </x:c>
      <x:c r="O10" s="35"/>
      <x:c r="P10" s="35"/>
      <x:c r="Q10" s="35"/>
      <x:c r="R10" s="47"/>
      <x:c r="S10" s="50"/>
      <x:c r="T10" s="50"/>
      <x:c r="U10" s="26" t="str">
        <x:v>N/A</x:v>
      </x:c>
      <x:c r="V10" s="53" t="str">
        <x:v>Incompatible window/span: no candidate</x:v>
      </x:c>
      <x:c r="W10" s="27" t="str">
        <x:f>IF($J10&lt;&gt;"VALID","N/A",IF(ABS($N10)&lt;=5%,"PASS",IF(ABS($N10)&lt;=10%,"REVIEW","UNSTABLE")))</x:f>
        <x:v>N/A</x:v>
      </x:c>
    </x:row>
    <x:row r="11">
      <x:c r="A11" s="25" t="str">
        <x:v>HP</x:v>
      </x:c>
      <x:c r="B11" s="32" t="n">
        <x:v>11</x:v>
      </x:c>
      <x:c r="C11" s="35" t="n">
        <x:v>0.05</x:v>
      </x:c>
      <x:c r="D11" s="35" t="n">
        <x:v>0.999</x:v>
      </x:c>
      <x:c r="E11" s="38" t="n">
        <x:v>0.5</x:v>
      </x:c>
      <x:c r="F11" s="41" t="n">
        <x:v>0.01</x:v>
      </x:c>
      <x:c r="G11" s="32" t="n">
        <x:v>94</x:v>
      </x:c>
      <x:c r="H11" s="32" t="n">
        <x:v>84</x:v>
      </x:c>
      <x:c r="I11" s="32" t="n">
        <x:v>58</x:v>
      </x:c>
      <x:c r="J11" s="26" t="str">
        <x:v>VALID</x:v>
      </x:c>
      <x:c r="K11" s="35" t="n">
        <x:v>87.33547492779843</x:v>
      </x:c>
      <x:c r="L11" s="35" t="n">
        <x:v>87.50593064481782</x:v>
      </x:c>
      <x:c r="M11" s="35" t="n">
        <x:f>IF($J11="VALID",$K11-$L11,"")</x:f>
        <x:v>-0.17045571701939366</x:v>
      </x:c>
      <x:c r="N11" s="44" t="n">
        <x:f>IF($J11="VALID",$M11/$L11,"")</x:f>
        <x:v>-0.001947933308786405</x:v>
      </x:c>
      <x:c r="O11" s="35" t="n">
        <x:v>-0.0149999999999999</x:v>
      </x:c>
      <x:c r="P11" s="35" t="n">
        <x:v>0.0350000000000001</x:v>
      </x:c>
      <x:c r="Q11" s="35" t="n">
        <x:v>0.5723434324289727</x:v>
      </x:c>
      <x:c r="R11" s="47" t="n">
        <x:v>0.9999999113457294</x:v>
      </x:c>
      <x:c r="S11" s="50" t="n">
        <x:v>1.3501420203353691e-8</x:v>
      </x:c>
      <x:c r="T11" s="50" t="n">
        <x:v>5.043393871940648e-8</x:v>
      </x:c>
      <x:c r="U11" s="26" t="str">
        <x:v>NO</x:v>
      </x:c>
      <x:c r="V11" s="53" t="str">
        <x:v>Selected minimum local SS</x:v>
      </x:c>
      <x:c r="W11" s="27" t="str">
        <x:f>IF($J11&lt;&gt;"VALID","N/A",IF(ABS($N11)&lt;=5%,"PASS",IF(ABS($N11)&lt;=10%,"REVIEW","UNSTABLE")))</x:f>
        <x:v>PASS</x:v>
      </x:c>
    </x:row>
    <x:row r="12">
      <x:c r="A12" s="25" t="str">
        <x:v>HP</x:v>
      </x:c>
      <x:c r="B12" s="32" t="n">
        <x:v>11</x:v>
      </x:c>
      <x:c r="C12" s="35" t="n">
        <x:v>0.05</x:v>
      </x:c>
      <x:c r="D12" s="35" t="n">
        <x:v>0.999</x:v>
      </x:c>
      <x:c r="E12" s="38" t="n">
        <x:v>0.75</x:v>
      </x:c>
      <x:c r="F12" s="41" t="n">
        <x:v>0.01</x:v>
      </x:c>
      <x:c r="G12" s="32" t="n">
        <x:v>94</x:v>
      </x:c>
      <x:c r="H12" s="32" t="n">
        <x:v>84</x:v>
      </x:c>
      <x:c r="I12" s="32" t="n">
        <x:v>0</x:v>
      </x:c>
      <x:c r="J12" s="26" t="str">
        <x:v>N/A</x:v>
      </x:c>
      <x:c r="K12" s="35"/>
      <x:c r="L12" s="35" t="n">
        <x:v>87.50593064481782</x:v>
      </x:c>
      <x:c r="M12" s="35" t="str">
        <x:f>IF($J12="VALID",$K12-$L12,"")</x:f>
      </x:c>
      <x:c r="N12" s="44" t="str">
        <x:f>IF($J12="VALID",$M12/$L12,"")</x:f>
      </x:c>
      <x:c r="O12" s="35"/>
      <x:c r="P12" s="35"/>
      <x:c r="Q12" s="35"/>
      <x:c r="R12" s="47"/>
      <x:c r="S12" s="50"/>
      <x:c r="T12" s="50"/>
      <x:c r="U12" s="26" t="str">
        <x:v>N/A</x:v>
      </x:c>
      <x:c r="V12" s="53" t="str">
        <x:v>Incompatible window/span: no candidate</x:v>
      </x:c>
      <x:c r="W12" s="27" t="str">
        <x:f>IF($J12&lt;&gt;"VALID","N/A",IF(ABS($N12)&lt;=5%,"PASS",IF(ABS($N12)&lt;=10%,"REVIEW","UNSTABLE")))</x:f>
        <x:v>N/A</x:v>
      </x:c>
    </x:row>
    <x:row r="13">
      <x:c r="A13" s="25" t="str">
        <x:v>HP</x:v>
      </x:c>
      <x:c r="B13" s="32" t="n">
        <x:v>11</x:v>
      </x:c>
      <x:c r="C13" s="35" t="n">
        <x:v>0.05</x:v>
      </x:c>
      <x:c r="D13" s="35" t="n">
        <x:v>0.999</x:v>
      </x:c>
      <x:c r="E13" s="38" t="n">
        <x:v>1</x:v>
      </x:c>
      <x:c r="F13" s="41" t="n">
        <x:v>0.01</x:v>
      </x:c>
      <x:c r="G13" s="32" t="n">
        <x:v>94</x:v>
      </x:c>
      <x:c r="H13" s="32" t="n">
        <x:v>84</x:v>
      </x:c>
      <x:c r="I13" s="32" t="n">
        <x:v>0</x:v>
      </x:c>
      <x:c r="J13" s="26" t="str">
        <x:v>N/A</x:v>
      </x:c>
      <x:c r="K13" s="35"/>
      <x:c r="L13" s="35" t="n">
        <x:v>87.50593064481782</x:v>
      </x:c>
      <x:c r="M13" s="35" t="str">
        <x:f>IF($J13="VALID",$K13-$L13,"")</x:f>
      </x:c>
      <x:c r="N13" s="44" t="str">
        <x:f>IF($J13="VALID",$M13/$L13,"")</x:f>
      </x:c>
      <x:c r="O13" s="35"/>
      <x:c r="P13" s="35"/>
      <x:c r="Q13" s="35"/>
      <x:c r="R13" s="47"/>
      <x:c r="S13" s="50"/>
      <x:c r="T13" s="50"/>
      <x:c r="U13" s="26" t="str">
        <x:v>N/A</x:v>
      </x:c>
      <x:c r="V13" s="53" t="str">
        <x:v>Incompatible window/span: no candidate</x:v>
      </x:c>
      <x:c r="W13" s="27" t="str">
        <x:f>IF($J13&lt;&gt;"VALID","N/A",IF(ABS($N13)&lt;=5%,"PASS",IF(ABS($N13)&lt;=10%,"REVIEW","UNSTABLE")))</x:f>
        <x:v>N/A</x:v>
      </x:c>
    </x:row>
    <x:row r="14">
      <x:c r="A14" s="25" t="str">
        <x:v>HP</x:v>
      </x:c>
      <x:c r="B14" s="32" t="n">
        <x:v>21</x:v>
      </x:c>
      <x:c r="C14" s="35" t="n">
        <x:v>0.1</x:v>
      </x:c>
      <x:c r="D14" s="35" t="n">
        <x:v>0.99</x:v>
      </x:c>
      <x:c r="E14" s="38" t="n">
        <x:v>0.5</x:v>
      </x:c>
      <x:c r="F14" s="41" t="n">
        <x:v>0.01</x:v>
      </x:c>
      <x:c r="G14" s="32" t="n">
        <x:v>94</x:v>
      </x:c>
      <x:c r="H14" s="32" t="n">
        <x:v>74</x:v>
      </x:c>
      <x:c r="I14" s="32" t="n">
        <x:v>65</x:v>
      </x:c>
      <x:c r="J14" s="26" t="str">
        <x:v>VALID</x:v>
      </x:c>
      <x:c r="K14" s="35" t="n">
        <x:v>87.50593064481697</x:v>
      </x:c>
      <x:c r="L14" s="35" t="n">
        <x:v>87.50593064481782</x:v>
      </x:c>
      <x:c r="M14" s="35" t="n">
        <x:f>IF($J14="VALID",$K14-$L14,"")</x:f>
        <x:v>-8.526512829121202e-13</x:v>
      </x:c>
      <x:c r="N14" s="44" t="n">
        <x:f>IF($J14="VALID",$M14/$L14,"")</x:f>
        <x:v>-9.743925658856071e-15</x:v>
      </x:c>
      <x:c r="O14" s="35" t="n">
        <x:v>-0.0349999999999999</x:v>
      </x:c>
      <x:c r="P14" s="35" t="n">
        <x:v>0.065</x:v>
      </x:c>
      <x:c r="Q14" s="35" t="n">
        <x:v>1.141250678508717</x:v>
      </x:c>
      <x:c r="R14" s="47" t="n">
        <x:v>0.9999986093900101</x:v>
      </x:c>
      <x:c r="S14" s="50" t="n">
        <x:v>7.995071005998663e-9</x:v>
      </x:c>
      <x:c r="T14" s="50" t="n">
        <x:v>1.106809819940524e-7</x:v>
      </x:c>
      <x:c r="U14" s="26" t="str">
        <x:v>NO</x:v>
      </x:c>
      <x:c r="V14" s="53" t="str">
        <x:v>Selected minimum local SS</x:v>
      </x:c>
      <x:c r="W14" s="27" t="str">
        <x:f>IF($J14&lt;&gt;"VALID","N/A",IF(ABS($N14)&lt;=5%,"PASS",IF(ABS($N14)&lt;=10%,"REVIEW","UNSTABLE")))</x:f>
        <x:v>PASS</x:v>
      </x:c>
    </x:row>
    <x:row r="15">
      <x:c r="A15" s="25" t="str">
        <x:v>HP</x:v>
      </x:c>
      <x:c r="B15" s="32" t="n">
        <x:v>21</x:v>
      </x:c>
      <x:c r="C15" s="35" t="n">
        <x:v>0.1</x:v>
      </x:c>
      <x:c r="D15" s="35" t="n">
        <x:v>0.99</x:v>
      </x:c>
      <x:c r="E15" s="38" t="n">
        <x:v>0.75</x:v>
      </x:c>
      <x:c r="F15" s="41" t="n">
        <x:v>0.01</x:v>
      </x:c>
      <x:c r="G15" s="32" t="n">
        <x:v>94</x:v>
      </x:c>
      <x:c r="H15" s="32" t="n">
        <x:v>74</x:v>
      </x:c>
      <x:c r="I15" s="32" t="n">
        <x:v>65</x:v>
      </x:c>
      <x:c r="J15" s="26" t="str">
        <x:v>VALID</x:v>
      </x:c>
      <x:c r="K15" s="35" t="n">
        <x:v>87.50593064481697</x:v>
      </x:c>
      <x:c r="L15" s="35" t="n">
        <x:v>87.50593064481782</x:v>
      </x:c>
      <x:c r="M15" s="35" t="n">
        <x:f>IF($J15="VALID",$K15-$L15,"")</x:f>
        <x:v>-8.526512829121202e-13</x:v>
      </x:c>
      <x:c r="N15" s="44" t="n">
        <x:f>IF($J15="VALID",$M15/$L15,"")</x:f>
        <x:v>-9.743925658856071e-15</x:v>
      </x:c>
      <x:c r="O15" s="35" t="n">
        <x:v>-0.0349999999999999</x:v>
      </x:c>
      <x:c r="P15" s="35" t="n">
        <x:v>0.065</x:v>
      </x:c>
      <x:c r="Q15" s="35" t="n">
        <x:v>1.141250678508717</x:v>
      </x:c>
      <x:c r="R15" s="47" t="n">
        <x:v>0.9999986093900101</x:v>
      </x:c>
      <x:c r="S15" s="50" t="n">
        <x:v>7.995071005998663e-9</x:v>
      </x:c>
      <x:c r="T15" s="50" t="n">
        <x:v>1.106809819940524e-7</x:v>
      </x:c>
      <x:c r="U15" s="26" t="str">
        <x:v>NO</x:v>
      </x:c>
      <x:c r="V15" s="53" t="str">
        <x:v>Selected minimum local SS</x:v>
      </x:c>
      <x:c r="W15" s="27" t="str">
        <x:f>IF($J15&lt;&gt;"VALID","N/A",IF(ABS($N15)&lt;=5%,"PASS",IF(ABS($N15)&lt;=10%,"REVIEW","UNSTABLE")))</x:f>
        <x:v>PASS</x:v>
      </x:c>
    </x:row>
    <x:row r="16">
      <x:c r="A16" s="25" t="str">
        <x:v>HP</x:v>
      </x:c>
      <x:c r="B16" s="32" t="n">
        <x:v>21</x:v>
      </x:c>
      <x:c r="C16" s="35" t="n">
        <x:v>0.1</x:v>
      </x:c>
      <x:c r="D16" s="35" t="n">
        <x:v>0.99</x:v>
      </x:c>
      <x:c r="E16" s="38" t="n">
        <x:v>1</x:v>
      </x:c>
      <x:c r="F16" s="41" t="n">
        <x:v>0.01</x:v>
      </x:c>
      <x:c r="G16" s="32" t="n">
        <x:v>94</x:v>
      </x:c>
      <x:c r="H16" s="32" t="n">
        <x:v>74</x:v>
      </x:c>
      <x:c r="I16" s="32" t="n">
        <x:v>56</x:v>
      </x:c>
      <x:c r="J16" s="26" t="str">
        <x:v>VALID</x:v>
      </x:c>
      <x:c r="K16" s="35" t="n">
        <x:v>87.50593064481697</x:v>
      </x:c>
      <x:c r="L16" s="35" t="n">
        <x:v>87.50593064481782</x:v>
      </x:c>
      <x:c r="M16" s="35" t="n">
        <x:f>IF($J16="VALID",$K16-$L16,"")</x:f>
        <x:v>-8.526512829121202e-13</x:v>
      </x:c>
      <x:c r="N16" s="44" t="n">
        <x:f>IF($J16="VALID",$M16/$L16,"")</x:f>
        <x:v>-9.743925658856071e-15</x:v>
      </x:c>
      <x:c r="O16" s="35" t="n">
        <x:v>-0.0349999999999999</x:v>
      </x:c>
      <x:c r="P16" s="35" t="n">
        <x:v>0.065</x:v>
      </x:c>
      <x:c r="Q16" s="35" t="n">
        <x:v>1.141250678508717</x:v>
      </x:c>
      <x:c r="R16" s="47" t="n">
        <x:v>0.9999986093900101</x:v>
      </x:c>
      <x:c r="S16" s="50" t="n">
        <x:v>7.995071005998663e-9</x:v>
      </x:c>
      <x:c r="T16" s="50" t="n">
        <x:v>1.106809819940524e-7</x:v>
      </x:c>
      <x:c r="U16" s="26" t="str">
        <x:v>NO</x:v>
      </x:c>
      <x:c r="V16" s="53" t="str">
        <x:v>Selected minimum local SS</x:v>
      </x:c>
      <x:c r="W16" s="27" t="str">
        <x:f>IF($J16&lt;&gt;"VALID","N/A",IF(ABS($N16)&lt;=5%,"PASS",IF(ABS($N16)&lt;=10%,"REVIEW","UNSTABLE")))</x:f>
        <x:v>PASS</x:v>
      </x:c>
    </x:row>
    <x:row r="17">
      <x:c r="A17" s="25" t="str">
        <x:v>HP</x:v>
      </x:c>
      <x:c r="B17" s="32" t="n">
        <x:v>21</x:v>
      </x:c>
      <x:c r="C17" s="35" t="n">
        <x:v>0.1</x:v>
      </x:c>
      <x:c r="D17" s="35" t="n">
        <x:v>0.995</x:v>
      </x:c>
      <x:c r="E17" s="38" t="n">
        <x:v>0.5</x:v>
      </x:c>
      <x:c r="F17" s="41" t="n">
        <x:v>0.01</x:v>
      </x:c>
      <x:c r="G17" s="32" t="n">
        <x:v>94</x:v>
      </x:c>
      <x:c r="H17" s="32" t="n">
        <x:v>74</x:v>
      </x:c>
      <x:c r="I17" s="32" t="n">
        <x:v>63</x:v>
      </x:c>
      <x:c r="J17" s="26" t="str">
        <x:v>VALID</x:v>
      </x:c>
      <x:c r="K17" s="35" t="n">
        <x:v>87.50593064481697</x:v>
      </x:c>
      <x:c r="L17" s="35" t="n">
        <x:v>87.50593064481782</x:v>
      </x:c>
      <x:c r="M17" s="35" t="n">
        <x:f>IF($J17="VALID",$K17-$L17,"")</x:f>
        <x:v>-8.526512829121202e-13</x:v>
      </x:c>
      <x:c r="N17" s="44" t="n">
        <x:f>IF($J17="VALID",$M17/$L17,"")</x:f>
        <x:v>-9.743925658856071e-15</x:v>
      </x:c>
      <x:c r="O17" s="35" t="n">
        <x:v>-0.0349999999999999</x:v>
      </x:c>
      <x:c r="P17" s="35" t="n">
        <x:v>0.065</x:v>
      </x:c>
      <x:c r="Q17" s="35" t="n">
        <x:v>1.141250678508717</x:v>
      </x:c>
      <x:c r="R17" s="47" t="n">
        <x:v>0.9999986093900101</x:v>
      </x:c>
      <x:c r="S17" s="50" t="n">
        <x:v>7.995071005998663e-9</x:v>
      </x:c>
      <x:c r="T17" s="50" t="n">
        <x:v>1.106809819940524e-7</x:v>
      </x:c>
      <x:c r="U17" s="26" t="str">
        <x:v>NO</x:v>
      </x:c>
      <x:c r="V17" s="53" t="str">
        <x:v>Selected minimum local SS</x:v>
      </x:c>
      <x:c r="W17" s="27" t="str">
        <x:f>IF($J17&lt;&gt;"VALID","N/A",IF(ABS($N17)&lt;=5%,"PASS",IF(ABS($N17)&lt;=10%,"REVIEW","UNSTABLE")))</x:f>
        <x:v>PASS</x:v>
      </x:c>
    </x:row>
    <x:row r="18">
      <x:c r="A18" s="25" t="str">
        <x:v>HP</x:v>
      </x:c>
      <x:c r="B18" s="32" t="n">
        <x:v>21</x:v>
      </x:c>
      <x:c r="C18" s="35" t="n">
        <x:v>0.1</x:v>
      </x:c>
      <x:c r="D18" s="35" t="n">
        <x:v>0.995</x:v>
      </x:c>
      <x:c r="E18" s="38" t="n">
        <x:v>0.75</x:v>
      </x:c>
      <x:c r="F18" s="41" t="n">
        <x:v>0.01</x:v>
      </x:c>
      <x:c r="G18" s="32" t="n">
        <x:v>94</x:v>
      </x:c>
      <x:c r="H18" s="32" t="n">
        <x:v>74</x:v>
      </x:c>
      <x:c r="I18" s="32" t="n">
        <x:v>63</x:v>
      </x:c>
      <x:c r="J18" s="26" t="str">
        <x:v>VALID</x:v>
      </x:c>
      <x:c r="K18" s="35" t="n">
        <x:v>87.50593064481697</x:v>
      </x:c>
      <x:c r="L18" s="35" t="n">
        <x:v>87.50593064481782</x:v>
      </x:c>
      <x:c r="M18" s="35" t="n">
        <x:f>IF($J18="VALID",$K18-$L18,"")</x:f>
        <x:v>-8.526512829121202e-13</x:v>
      </x:c>
      <x:c r="N18" s="44" t="n">
        <x:f>IF($J18="VALID",$M18/$L18,"")</x:f>
        <x:v>-9.743925658856071e-15</x:v>
      </x:c>
      <x:c r="O18" s="35" t="n">
        <x:v>-0.0349999999999999</x:v>
      </x:c>
      <x:c r="P18" s="35" t="n">
        <x:v>0.065</x:v>
      </x:c>
      <x:c r="Q18" s="35" t="n">
        <x:v>1.141250678508717</x:v>
      </x:c>
      <x:c r="R18" s="47" t="n">
        <x:v>0.9999986093900101</x:v>
      </x:c>
      <x:c r="S18" s="50" t="n">
        <x:v>7.995071005998663e-9</x:v>
      </x:c>
      <x:c r="T18" s="50" t="n">
        <x:v>1.106809819940524e-7</x:v>
      </x:c>
      <x:c r="U18" s="26" t="str">
        <x:v>NO</x:v>
      </x:c>
      <x:c r="V18" s="53" t="str">
        <x:v>Selected minimum local SS</x:v>
      </x:c>
      <x:c r="W18" s="27" t="str">
        <x:f>IF($J18&lt;&gt;"VALID","N/A",IF(ABS($N18)&lt;=5%,"PASS",IF(ABS($N18)&lt;=10%,"REVIEW","UNSTABLE")))</x:f>
        <x:v>PASS</x:v>
      </x:c>
    </x:row>
    <x:row r="19">
      <x:c r="A19" s="25" t="str">
        <x:v>HP</x:v>
      </x:c>
      <x:c r="B19" s="32" t="n">
        <x:v>21</x:v>
      </x:c>
      <x:c r="C19" s="35" t="n">
        <x:v>0.1</x:v>
      </x:c>
      <x:c r="D19" s="35" t="n">
        <x:v>0.995</x:v>
      </x:c>
      <x:c r="E19" s="38" t="n">
        <x:v>1</x:v>
      </x:c>
      <x:c r="F19" s="41" t="n">
        <x:v>0.01</x:v>
      </x:c>
      <x:c r="G19" s="32" t="n">
        <x:v>94</x:v>
      </x:c>
      <x:c r="H19" s="32" t="n">
        <x:v>74</x:v>
      </x:c>
      <x:c r="I19" s="32" t="n">
        <x:v>56</x:v>
      </x:c>
      <x:c r="J19" s="26" t="str">
        <x:v>VALID</x:v>
      </x:c>
      <x:c r="K19" s="35" t="n">
        <x:v>87.50593064481697</x:v>
      </x:c>
      <x:c r="L19" s="35" t="n">
        <x:v>87.50593064481782</x:v>
      </x:c>
      <x:c r="M19" s="35" t="n">
        <x:f>IF($J19="VALID",$K19-$L19,"")</x:f>
        <x:v>-8.526512829121202e-13</x:v>
      </x:c>
      <x:c r="N19" s="44" t="n">
        <x:f>IF($J19="VALID",$M19/$L19,"")</x:f>
        <x:v>-9.743925658856071e-15</x:v>
      </x:c>
      <x:c r="O19" s="35" t="n">
        <x:v>-0.0349999999999999</x:v>
      </x:c>
      <x:c r="P19" s="35" t="n">
        <x:v>0.065</x:v>
      </x:c>
      <x:c r="Q19" s="35" t="n">
        <x:v>1.141250678508717</x:v>
      </x:c>
      <x:c r="R19" s="47" t="n">
        <x:v>0.9999986093900101</x:v>
      </x:c>
      <x:c r="S19" s="50" t="n">
        <x:v>7.995071005998663e-9</x:v>
      </x:c>
      <x:c r="T19" s="50" t="n">
        <x:v>1.106809819940524e-7</x:v>
      </x:c>
      <x:c r="U19" s="26" t="str">
        <x:v>NO</x:v>
      </x:c>
      <x:c r="V19" s="53" t="str">
        <x:v>Selected minimum local SS</x:v>
      </x:c>
      <x:c r="W19" s="27" t="str">
        <x:f>IF($J19&lt;&gt;"VALID","N/A",IF(ABS($N19)&lt;=5%,"PASS",IF(ABS($N19)&lt;=10%,"REVIEW","UNSTABLE")))</x:f>
        <x:v>PASS</x:v>
      </x:c>
    </x:row>
    <x:row r="20">
      <x:c r="A20" s="25" t="str">
        <x:v>HP</x:v>
      </x:c>
      <x:c r="B20" s="32" t="n">
        <x:v>21</x:v>
      </x:c>
      <x:c r="C20" s="35" t="n">
        <x:v>0.1</x:v>
      </x:c>
      <x:c r="D20" s="35" t="n">
        <x:v>0.999</x:v>
      </x:c>
      <x:c r="E20" s="38" t="n">
        <x:v>0.5</x:v>
      </x:c>
      <x:c r="F20" s="41" t="n">
        <x:v>0.01</x:v>
      </x:c>
      <x:c r="G20" s="32" t="n">
        <x:v>94</x:v>
      </x:c>
      <x:c r="H20" s="32" t="n">
        <x:v>74</x:v>
      </x:c>
      <x:c r="I20" s="32" t="n">
        <x:v>57</x:v>
      </x:c>
      <x:c r="J20" s="26" t="str">
        <x:v>VALID</x:v>
      </x:c>
      <x:c r="K20" s="35" t="n">
        <x:v>87.50593064481697</x:v>
      </x:c>
      <x:c r="L20" s="35" t="n">
        <x:v>87.50593064481782</x:v>
      </x:c>
      <x:c r="M20" s="35" t="n">
        <x:f>IF($J20="VALID",$K20-$L20,"")</x:f>
        <x:v>-8.526512829121202e-13</x:v>
      </x:c>
      <x:c r="N20" s="44" t="n">
        <x:f>IF($J20="VALID",$M20/$L20,"")</x:f>
        <x:v>-9.743925658856071e-15</x:v>
      </x:c>
      <x:c r="O20" s="35" t="n">
        <x:v>-0.0349999999999999</x:v>
      </x:c>
      <x:c r="P20" s="35" t="n">
        <x:v>0.065</x:v>
      </x:c>
      <x:c r="Q20" s="35" t="n">
        <x:v>1.141250678508717</x:v>
      </x:c>
      <x:c r="R20" s="47" t="n">
        <x:v>0.9999986093900101</x:v>
      </x:c>
      <x:c r="S20" s="50" t="n">
        <x:v>7.995071005998663e-9</x:v>
      </x:c>
      <x:c r="T20" s="50" t="n">
        <x:v>1.106809819940524e-7</x:v>
      </x:c>
      <x:c r="U20" s="26" t="str">
        <x:v>NO</x:v>
      </x:c>
      <x:c r="V20" s="53" t="str">
        <x:v>Selected minimum local SS</x:v>
      </x:c>
      <x:c r="W20" s="27" t="str">
        <x:f>IF($J20&lt;&gt;"VALID","N/A",IF(ABS($N20)&lt;=5%,"PASS",IF(ABS($N20)&lt;=10%,"REVIEW","UNSTABLE")))</x:f>
        <x:v>PASS</x:v>
      </x:c>
    </x:row>
    <x:row r="21">
      <x:c r="A21" s="25" t="str">
        <x:v>HP</x:v>
      </x:c>
      <x:c r="B21" s="32" t="n">
        <x:v>21</x:v>
      </x:c>
      <x:c r="C21" s="35" t="n">
        <x:v>0.1</x:v>
      </x:c>
      <x:c r="D21" s="35" t="n">
        <x:v>0.999</x:v>
      </x:c>
      <x:c r="E21" s="38" t="n">
        <x:v>0.75</x:v>
      </x:c>
      <x:c r="F21" s="41" t="n">
        <x:v>0.01</x:v>
      </x:c>
      <x:c r="G21" s="32" t="n">
        <x:v>94</x:v>
      </x:c>
      <x:c r="H21" s="32" t="n">
        <x:v>74</x:v>
      </x:c>
      <x:c r="I21" s="32" t="n">
        <x:v>57</x:v>
      </x:c>
      <x:c r="J21" s="26" t="str">
        <x:v>VALID</x:v>
      </x:c>
      <x:c r="K21" s="35" t="n">
        <x:v>87.50593064481697</x:v>
      </x:c>
      <x:c r="L21" s="35" t="n">
        <x:v>87.50593064481782</x:v>
      </x:c>
      <x:c r="M21" s="35" t="n">
        <x:f>IF($J21="VALID",$K21-$L21,"")</x:f>
        <x:v>-8.526512829121202e-13</x:v>
      </x:c>
      <x:c r="N21" s="44" t="n">
        <x:f>IF($J21="VALID",$M21/$L21,"")</x:f>
        <x:v>-9.743925658856071e-15</x:v>
      </x:c>
      <x:c r="O21" s="35" t="n">
        <x:v>-0.0349999999999999</x:v>
      </x:c>
      <x:c r="P21" s="35" t="n">
        <x:v>0.065</x:v>
      </x:c>
      <x:c r="Q21" s="35" t="n">
        <x:v>1.141250678508717</x:v>
      </x:c>
      <x:c r="R21" s="47" t="n">
        <x:v>0.9999986093900101</x:v>
      </x:c>
      <x:c r="S21" s="50" t="n">
        <x:v>7.995071005998663e-9</x:v>
      </x:c>
      <x:c r="T21" s="50" t="n">
        <x:v>1.106809819940524e-7</x:v>
      </x:c>
      <x:c r="U21" s="26" t="str">
        <x:v>NO</x:v>
      </x:c>
      <x:c r="V21" s="53" t="str">
        <x:v>Selected minimum local SS</x:v>
      </x:c>
      <x:c r="W21" s="27" t="str">
        <x:f>IF($J21&lt;&gt;"VALID","N/A",IF(ABS($N21)&lt;=5%,"PASS",IF(ABS($N21)&lt;=10%,"REVIEW","UNSTABLE")))</x:f>
        <x:v>PASS</x:v>
      </x:c>
    </x:row>
    <x:row r="22">
      <x:c r="A22" s="25" t="str">
        <x:v>HP</x:v>
      </x:c>
      <x:c r="B22" s="32" t="n">
        <x:v>21</x:v>
      </x:c>
      <x:c r="C22" s="35" t="n">
        <x:v>0.1</x:v>
      </x:c>
      <x:c r="D22" s="35" t="n">
        <x:v>0.999</x:v>
      </x:c>
      <x:c r="E22" s="38" t="n">
        <x:v>1</x:v>
      </x:c>
      <x:c r="F22" s="41" t="n">
        <x:v>0.01</x:v>
      </x:c>
      <x:c r="G22" s="32" t="n">
        <x:v>94</x:v>
      </x:c>
      <x:c r="H22" s="32" t="n">
        <x:v>74</x:v>
      </x:c>
      <x:c r="I22" s="32" t="n">
        <x:v>53</x:v>
      </x:c>
      <x:c r="J22" s="26" t="str">
        <x:v>VALID</x:v>
      </x:c>
      <x:c r="K22" s="35" t="n">
        <x:v>87.50593064481697</x:v>
      </x:c>
      <x:c r="L22" s="35" t="n">
        <x:v>87.50593064481782</x:v>
      </x:c>
      <x:c r="M22" s="35" t="n">
        <x:f>IF($J22="VALID",$K22-$L22,"")</x:f>
        <x:v>-8.526512829121202e-13</x:v>
      </x:c>
      <x:c r="N22" s="44" t="n">
        <x:f>IF($J22="VALID",$M22/$L22,"")</x:f>
        <x:v>-9.743925658856071e-15</x:v>
      </x:c>
      <x:c r="O22" s="35" t="n">
        <x:v>-0.0349999999999999</x:v>
      </x:c>
      <x:c r="P22" s="35" t="n">
        <x:v>0.065</x:v>
      </x:c>
      <x:c r="Q22" s="35" t="n">
        <x:v>1.141250678508717</x:v>
      </x:c>
      <x:c r="R22" s="47" t="n">
        <x:v>0.9999986093900101</x:v>
      </x:c>
      <x:c r="S22" s="50" t="n">
        <x:v>7.995071005998663e-9</x:v>
      </x:c>
      <x:c r="T22" s="50" t="n">
        <x:v>1.106809819940524e-7</x:v>
      </x:c>
      <x:c r="U22" s="26" t="str">
        <x:v>NO</x:v>
      </x:c>
      <x:c r="V22" s="53" t="str">
        <x:v>Selected minimum local SS</x:v>
      </x:c>
      <x:c r="W22" s="27" t="str">
        <x:f>IF($J22&lt;&gt;"VALID","N/A",IF(ABS($N22)&lt;=5%,"PASS",IF(ABS($N22)&lt;=10%,"REVIEW","UNSTABLE")))</x:f>
        <x:v>PASS</x:v>
      </x:c>
    </x:row>
    <x:row r="23">
      <x:c r="A23" s="25" t="str">
        <x:v>HP</x:v>
      </x:c>
      <x:c r="B23" s="32" t="n">
        <x:v>31</x:v>
      </x:c>
      <x:c r="C23" s="35" t="n">
        <x:v>0.15</x:v>
      </x:c>
      <x:c r="D23" s="35" t="n">
        <x:v>0.99</x:v>
      </x:c>
      <x:c r="E23" s="38" t="n">
        <x:v>0.5</x:v>
      </x:c>
      <x:c r="F23" s="41" t="n">
        <x:v>0.01</x:v>
      </x:c>
      <x:c r="G23" s="32" t="n">
        <x:v>94</x:v>
      </x:c>
      <x:c r="H23" s="32" t="n">
        <x:v>64</x:v>
      </x:c>
      <x:c r="I23" s="32" t="n">
        <x:v>56</x:v>
      </x:c>
      <x:c r="J23" s="26" t="str">
        <x:v>VALID</x:v>
      </x:c>
      <x:c r="K23" s="35" t="n">
        <x:v>87.79151000968868</x:v>
      </x:c>
      <x:c r="L23" s="35" t="n">
        <x:v>87.50593064481782</x:v>
      </x:c>
      <x:c r="M23" s="35" t="n">
        <x:f>IF($J23="VALID",$K23-$L23,"")</x:f>
        <x:v>0.28557936487085556</x:v>
      </x:c>
      <x:c r="N23" s="44" t="n">
        <x:f>IF($J23="VALID",$M23/$L23,"")</x:f>
        <x:v>0.0032635429709331116</x:v>
      </x:c>
      <x:c r="O23" s="35" t="n">
        <x:v>-0.0549999999999999</x:v>
      </x:c>
      <x:c r="P23" s="35" t="n">
        <x:v>0.0950000000000001</x:v>
      </x:c>
      <x:c r="Q23" s="35" t="n">
        <x:v>1.702893734633924</x:v>
      </x:c>
      <x:c r="R23" s="47" t="n">
        <x:v>0.9999929879253441</x:v>
      </x:c>
      <x:c r="S23" s="50" t="n">
        <x:v>4.7698305515960835e-9</x:v>
      </x:c>
      <x:c r="T23" s="50" t="n">
        <x:v>2.406559954042008e-7</x:v>
      </x:c>
      <x:c r="U23" s="26" t="str">
        <x:v>NO</x:v>
      </x:c>
      <x:c r="V23" s="53" t="str">
        <x:v>Selected minimum local SS</x:v>
      </x:c>
      <x:c r="W23" s="27" t="str">
        <x:f>IF($J23&lt;&gt;"VALID","N/A",IF(ABS($N23)&lt;=5%,"PASS",IF(ABS($N23)&lt;=10%,"REVIEW","UNSTABLE")))</x:f>
        <x:v>PASS</x:v>
      </x:c>
    </x:row>
    <x:row r="24">
      <x:c r="A24" s="25" t="str">
        <x:v>HP</x:v>
      </x:c>
      <x:c r="B24" s="32" t="n">
        <x:v>31</x:v>
      </x:c>
      <x:c r="C24" s="35" t="n">
        <x:v>0.15</x:v>
      </x:c>
      <x:c r="D24" s="35" t="n">
        <x:v>0.99</x:v>
      </x:c>
      <x:c r="E24" s="38" t="n">
        <x:v>0.75</x:v>
      </x:c>
      <x:c r="F24" s="41" t="n">
        <x:v>0.01</x:v>
      </x:c>
      <x:c r="G24" s="32" t="n">
        <x:v>94</x:v>
      </x:c>
      <x:c r="H24" s="32" t="n">
        <x:v>64</x:v>
      </x:c>
      <x:c r="I24" s="32" t="n">
        <x:v>56</x:v>
      </x:c>
      <x:c r="J24" s="26" t="str">
        <x:v>VALID</x:v>
      </x:c>
      <x:c r="K24" s="35" t="n">
        <x:v>87.79151000968868</x:v>
      </x:c>
      <x:c r="L24" s="35" t="n">
        <x:v>87.50593064481782</x:v>
      </x:c>
      <x:c r="M24" s="35" t="n">
        <x:f>IF($J24="VALID",$K24-$L24,"")</x:f>
        <x:v>0.28557936487085556</x:v>
      </x:c>
      <x:c r="N24" s="44" t="n">
        <x:f>IF($J24="VALID",$M24/$L24,"")</x:f>
        <x:v>0.0032635429709331116</x:v>
      </x:c>
      <x:c r="O24" s="35" t="n">
        <x:v>-0.0549999999999999</x:v>
      </x:c>
      <x:c r="P24" s="35" t="n">
        <x:v>0.0950000000000001</x:v>
      </x:c>
      <x:c r="Q24" s="35" t="n">
        <x:v>1.702893734633924</x:v>
      </x:c>
      <x:c r="R24" s="47" t="n">
        <x:v>0.9999929879253441</x:v>
      </x:c>
      <x:c r="S24" s="50" t="n">
        <x:v>4.7698305515960835e-9</x:v>
      </x:c>
      <x:c r="T24" s="50" t="n">
        <x:v>2.406559954042008e-7</x:v>
      </x:c>
      <x:c r="U24" s="26" t="str">
        <x:v>NO</x:v>
      </x:c>
      <x:c r="V24" s="53" t="str">
        <x:v>Selected minimum local SS</x:v>
      </x:c>
      <x:c r="W24" s="27" t="str">
        <x:f>IF($J24&lt;&gt;"VALID","N/A",IF(ABS($N24)&lt;=5%,"PASS",IF(ABS($N24)&lt;=10%,"REVIEW","UNSTABLE")))</x:f>
        <x:v>PASS</x:v>
      </x:c>
    </x:row>
    <x:row r="25">
      <x:c r="A25" s="25" t="str">
        <x:v>HP</x:v>
      </x:c>
      <x:c r="B25" s="32" t="n">
        <x:v>31</x:v>
      </x:c>
      <x:c r="C25" s="35" t="n">
        <x:v>0.15</x:v>
      </x:c>
      <x:c r="D25" s="35" t="n">
        <x:v>0.99</x:v>
      </x:c>
      <x:c r="E25" s="38" t="n">
        <x:v>1</x:v>
      </x:c>
      <x:c r="F25" s="41" t="n">
        <x:v>0.01</x:v>
      </x:c>
      <x:c r="G25" s="32" t="n">
        <x:v>94</x:v>
      </x:c>
      <x:c r="H25" s="32" t="n">
        <x:v>64</x:v>
      </x:c>
      <x:c r="I25" s="32" t="n">
        <x:v>56</x:v>
      </x:c>
      <x:c r="J25" s="26" t="str">
        <x:v>VALID</x:v>
      </x:c>
      <x:c r="K25" s="35" t="n">
        <x:v>87.79151000968868</x:v>
      </x:c>
      <x:c r="L25" s="35" t="n">
        <x:v>87.50593064481782</x:v>
      </x:c>
      <x:c r="M25" s="35" t="n">
        <x:f>IF($J25="VALID",$K25-$L25,"")</x:f>
        <x:v>0.28557936487085556</x:v>
      </x:c>
      <x:c r="N25" s="44" t="n">
        <x:f>IF($J25="VALID",$M25/$L25,"")</x:f>
        <x:v>0.0032635429709331116</x:v>
      </x:c>
      <x:c r="O25" s="35" t="n">
        <x:v>-0.0549999999999999</x:v>
      </x:c>
      <x:c r="P25" s="35" t="n">
        <x:v>0.0950000000000001</x:v>
      </x:c>
      <x:c r="Q25" s="35" t="n">
        <x:v>1.702893734633924</x:v>
      </x:c>
      <x:c r="R25" s="47" t="n">
        <x:v>0.9999929879253441</x:v>
      </x:c>
      <x:c r="S25" s="50" t="n">
        <x:v>4.7698305515960835e-9</x:v>
      </x:c>
      <x:c r="T25" s="50" t="n">
        <x:v>2.406559954042008e-7</x:v>
      </x:c>
      <x:c r="U25" s="26" t="str">
        <x:v>NO</x:v>
      </x:c>
      <x:c r="V25" s="53" t="str">
        <x:v>Selected minimum local SS</x:v>
      </x:c>
      <x:c r="W25" s="27" t="str">
        <x:f>IF($J25&lt;&gt;"VALID","N/A",IF(ABS($N25)&lt;=5%,"PASS",IF(ABS($N25)&lt;=10%,"REVIEW","UNSTABLE")))</x:f>
        <x:v>PASS</x:v>
      </x:c>
    </x:row>
    <x:row r="26">
      <x:c r="A26" s="25" t="str">
        <x:v>HP</x:v>
      </x:c>
      <x:c r="B26" s="32" t="n">
        <x:v>31</x:v>
      </x:c>
      <x:c r="C26" s="35" t="n">
        <x:v>0.15</x:v>
      </x:c>
      <x:c r="D26" s="35" t="n">
        <x:v>0.995</x:v>
      </x:c>
      <x:c r="E26" s="38" t="n">
        <x:v>0.5</x:v>
      </x:c>
      <x:c r="F26" s="41" t="n">
        <x:v>0.01</x:v>
      </x:c>
      <x:c r="G26" s="32" t="n">
        <x:v>94</x:v>
      </x:c>
      <x:c r="H26" s="32" t="n">
        <x:v>64</x:v>
      </x:c>
      <x:c r="I26" s="32" t="n">
        <x:v>54</x:v>
      </x:c>
      <x:c r="J26" s="26" t="str">
        <x:v>VALID</x:v>
      </x:c>
      <x:c r="K26" s="35" t="n">
        <x:v>87.79151000968868</x:v>
      </x:c>
      <x:c r="L26" s="35" t="n">
        <x:v>87.50593064481782</x:v>
      </x:c>
      <x:c r="M26" s="35" t="n">
        <x:f>IF($J26="VALID",$K26-$L26,"")</x:f>
        <x:v>0.28557936487085556</x:v>
      </x:c>
      <x:c r="N26" s="44" t="n">
        <x:f>IF($J26="VALID",$M26/$L26,"")</x:f>
        <x:v>0.0032635429709331116</x:v>
      </x:c>
      <x:c r="O26" s="35" t="n">
        <x:v>-0.0549999999999999</x:v>
      </x:c>
      <x:c r="P26" s="35" t="n">
        <x:v>0.0950000000000001</x:v>
      </x:c>
      <x:c r="Q26" s="35" t="n">
        <x:v>1.702893734633924</x:v>
      </x:c>
      <x:c r="R26" s="47" t="n">
        <x:v>0.9999929879253441</x:v>
      </x:c>
      <x:c r="S26" s="50" t="n">
        <x:v>4.7698305515960835e-9</x:v>
      </x:c>
      <x:c r="T26" s="50" t="n">
        <x:v>2.406559954042008e-7</x:v>
      </x:c>
      <x:c r="U26" s="26" t="str">
        <x:v>NO</x:v>
      </x:c>
      <x:c r="V26" s="53" t="str">
        <x:v>Selected minimum local SS</x:v>
      </x:c>
      <x:c r="W26" s="27" t="str">
        <x:f>IF($J26&lt;&gt;"VALID","N/A",IF(ABS($N26)&lt;=5%,"PASS",IF(ABS($N26)&lt;=10%,"REVIEW","UNSTABLE")))</x:f>
        <x:v>PASS</x:v>
      </x:c>
    </x:row>
    <x:row r="27">
      <x:c r="A27" s="25" t="str">
        <x:v>HP</x:v>
      </x:c>
      <x:c r="B27" s="32" t="n">
        <x:v>31</x:v>
      </x:c>
      <x:c r="C27" s="35" t="n">
        <x:v>0.15</x:v>
      </x:c>
      <x:c r="D27" s="35" t="n">
        <x:v>0.995</x:v>
      </x:c>
      <x:c r="E27" s="38" t="n">
        <x:v>0.75</x:v>
      </x:c>
      <x:c r="F27" s="41" t="n">
        <x:v>0.01</x:v>
      </x:c>
      <x:c r="G27" s="32" t="n">
        <x:v>94</x:v>
      </x:c>
      <x:c r="H27" s="32" t="n">
        <x:v>64</x:v>
      </x:c>
      <x:c r="I27" s="32" t="n">
        <x:v>54</x:v>
      </x:c>
      <x:c r="J27" s="26" t="str">
        <x:v>VALID</x:v>
      </x:c>
      <x:c r="K27" s="35" t="n">
        <x:v>87.79151000968868</x:v>
      </x:c>
      <x:c r="L27" s="35" t="n">
        <x:v>87.50593064481782</x:v>
      </x:c>
      <x:c r="M27" s="35" t="n">
        <x:f>IF($J27="VALID",$K27-$L27,"")</x:f>
        <x:v>0.28557936487085556</x:v>
      </x:c>
      <x:c r="N27" s="44" t="n">
        <x:f>IF($J27="VALID",$M27/$L27,"")</x:f>
        <x:v>0.0032635429709331116</x:v>
      </x:c>
      <x:c r="O27" s="35" t="n">
        <x:v>-0.0549999999999999</x:v>
      </x:c>
      <x:c r="P27" s="35" t="n">
        <x:v>0.0950000000000001</x:v>
      </x:c>
      <x:c r="Q27" s="35" t="n">
        <x:v>1.702893734633924</x:v>
      </x:c>
      <x:c r="R27" s="47" t="n">
        <x:v>0.9999929879253441</x:v>
      </x:c>
      <x:c r="S27" s="50" t="n">
        <x:v>4.7698305515960835e-9</x:v>
      </x:c>
      <x:c r="T27" s="50" t="n">
        <x:v>2.406559954042008e-7</x:v>
      </x:c>
      <x:c r="U27" s="26" t="str">
        <x:v>NO</x:v>
      </x:c>
      <x:c r="V27" s="53" t="str">
        <x:v>Selected minimum local SS</x:v>
      </x:c>
      <x:c r="W27" s="27" t="str">
        <x:f>IF($J27&lt;&gt;"VALID","N/A",IF(ABS($N27)&lt;=5%,"PASS",IF(ABS($N27)&lt;=10%,"REVIEW","UNSTABLE")))</x:f>
        <x:v>PASS</x:v>
      </x:c>
    </x:row>
    <x:row r="28">
      <x:c r="A28" s="25" t="str">
        <x:v>HP</x:v>
      </x:c>
      <x:c r="B28" s="32" t="n">
        <x:v>31</x:v>
      </x:c>
      <x:c r="C28" s="35" t="n">
        <x:v>0.15</x:v>
      </x:c>
      <x:c r="D28" s="35" t="n">
        <x:v>0.995</x:v>
      </x:c>
      <x:c r="E28" s="38" t="n">
        <x:v>1</x:v>
      </x:c>
      <x:c r="F28" s="41" t="n">
        <x:v>0.01</x:v>
      </x:c>
      <x:c r="G28" s="32" t="n">
        <x:v>94</x:v>
      </x:c>
      <x:c r="H28" s="32" t="n">
        <x:v>64</x:v>
      </x:c>
      <x:c r="I28" s="32" t="n">
        <x:v>54</x:v>
      </x:c>
      <x:c r="J28" s="26" t="str">
        <x:v>VALID</x:v>
      </x:c>
      <x:c r="K28" s="35" t="n">
        <x:v>87.79151000968868</x:v>
      </x:c>
      <x:c r="L28" s="35" t="n">
        <x:v>87.50593064481782</x:v>
      </x:c>
      <x:c r="M28" s="35" t="n">
        <x:f>IF($J28="VALID",$K28-$L28,"")</x:f>
        <x:v>0.28557936487085556</x:v>
      </x:c>
      <x:c r="N28" s="44" t="n">
        <x:f>IF($J28="VALID",$M28/$L28,"")</x:f>
        <x:v>0.0032635429709331116</x:v>
      </x:c>
      <x:c r="O28" s="35" t="n">
        <x:v>-0.0549999999999999</x:v>
      </x:c>
      <x:c r="P28" s="35" t="n">
        <x:v>0.0950000000000001</x:v>
      </x:c>
      <x:c r="Q28" s="35" t="n">
        <x:v>1.702893734633924</x:v>
      </x:c>
      <x:c r="R28" s="47" t="n">
        <x:v>0.9999929879253441</x:v>
      </x:c>
      <x:c r="S28" s="50" t="n">
        <x:v>4.7698305515960835e-9</x:v>
      </x:c>
      <x:c r="T28" s="50" t="n">
        <x:v>2.406559954042008e-7</x:v>
      </x:c>
      <x:c r="U28" s="26" t="str">
        <x:v>NO</x:v>
      </x:c>
      <x:c r="V28" s="53" t="str">
        <x:v>Selected minimum local SS</x:v>
      </x:c>
      <x:c r="W28" s="27" t="str">
        <x:f>IF($J28&lt;&gt;"VALID","N/A",IF(ABS($N28)&lt;=5%,"PASS",IF(ABS($N28)&lt;=10%,"REVIEW","UNSTABLE")))</x:f>
        <x:v>PASS</x:v>
      </x:c>
    </x:row>
    <x:row r="29">
      <x:c r="A29" s="25" t="str">
        <x:v>HP</x:v>
      </x:c>
      <x:c r="B29" s="32" t="n">
        <x:v>31</x:v>
      </x:c>
      <x:c r="C29" s="35" t="n">
        <x:v>0.15</x:v>
      </x:c>
      <x:c r="D29" s="35" t="n">
        <x:v>0.999</x:v>
      </x:c>
      <x:c r="E29" s="38" t="n">
        <x:v>0.5</x:v>
      </x:c>
      <x:c r="F29" s="41" t="n">
        <x:v>0.01</x:v>
      </x:c>
      <x:c r="G29" s="32" t="n">
        <x:v>94</x:v>
      </x:c>
      <x:c r="H29" s="32" t="n">
        <x:v>64</x:v>
      </x:c>
      <x:c r="I29" s="32" t="n">
        <x:v>48</x:v>
      </x:c>
      <x:c r="J29" s="26" t="str">
        <x:v>VALID</x:v>
      </x:c>
      <x:c r="K29" s="35" t="n">
        <x:v>87.79151000968868</x:v>
      </x:c>
      <x:c r="L29" s="35" t="n">
        <x:v>87.50593064481782</x:v>
      </x:c>
      <x:c r="M29" s="35" t="n">
        <x:f>IF($J29="VALID",$K29-$L29,"")</x:f>
        <x:v>0.28557936487085556</x:v>
      </x:c>
      <x:c r="N29" s="44" t="n">
        <x:f>IF($J29="VALID",$M29/$L29,"")</x:f>
        <x:v>0.0032635429709331116</x:v>
      </x:c>
      <x:c r="O29" s="35" t="n">
        <x:v>-0.0549999999999999</x:v>
      </x:c>
      <x:c r="P29" s="35" t="n">
        <x:v>0.0950000000000001</x:v>
      </x:c>
      <x:c r="Q29" s="35" t="n">
        <x:v>1.702893734633924</x:v>
      </x:c>
      <x:c r="R29" s="47" t="n">
        <x:v>0.9999929879253441</x:v>
      </x:c>
      <x:c r="S29" s="50" t="n">
        <x:v>4.7698305515960835e-9</x:v>
      </x:c>
      <x:c r="T29" s="50" t="n">
        <x:v>2.406559954042008e-7</x:v>
      </x:c>
      <x:c r="U29" s="26" t="str">
        <x:v>NO</x:v>
      </x:c>
      <x:c r="V29" s="53" t="str">
        <x:v>Selected minimum local SS</x:v>
      </x:c>
      <x:c r="W29" s="27" t="str">
        <x:f>IF($J29&lt;&gt;"VALID","N/A",IF(ABS($N29)&lt;=5%,"PASS",IF(ABS($N29)&lt;=10%,"REVIEW","UNSTABLE")))</x:f>
        <x:v>PASS</x:v>
      </x:c>
    </x:row>
    <x:row r="30">
      <x:c r="A30" s="25" t="str">
        <x:v>HP</x:v>
      </x:c>
      <x:c r="B30" s="32" t="n">
        <x:v>31</x:v>
      </x:c>
      <x:c r="C30" s="35" t="n">
        <x:v>0.15</x:v>
      </x:c>
      <x:c r="D30" s="35" t="n">
        <x:v>0.999</x:v>
      </x:c>
      <x:c r="E30" s="38" t="n">
        <x:v>0.75</x:v>
      </x:c>
      <x:c r="F30" s="41" t="n">
        <x:v>0.01</x:v>
      </x:c>
      <x:c r="G30" s="32" t="n">
        <x:v>94</x:v>
      </x:c>
      <x:c r="H30" s="32" t="n">
        <x:v>64</x:v>
      </x:c>
      <x:c r="I30" s="32" t="n">
        <x:v>48</x:v>
      </x:c>
      <x:c r="J30" s="26" t="str">
        <x:v>VALID</x:v>
      </x:c>
      <x:c r="K30" s="35" t="n">
        <x:v>87.79151000968868</x:v>
      </x:c>
      <x:c r="L30" s="35" t="n">
        <x:v>87.50593064481782</x:v>
      </x:c>
      <x:c r="M30" s="35" t="n">
        <x:f>IF($J30="VALID",$K30-$L30,"")</x:f>
        <x:v>0.28557936487085556</x:v>
      </x:c>
      <x:c r="N30" s="44" t="n">
        <x:f>IF($J30="VALID",$M30/$L30,"")</x:f>
        <x:v>0.0032635429709331116</x:v>
      </x:c>
      <x:c r="O30" s="35" t="n">
        <x:v>-0.0549999999999999</x:v>
      </x:c>
      <x:c r="P30" s="35" t="n">
        <x:v>0.0950000000000001</x:v>
      </x:c>
      <x:c r="Q30" s="35" t="n">
        <x:v>1.702893734633924</x:v>
      </x:c>
      <x:c r="R30" s="47" t="n">
        <x:v>0.9999929879253441</x:v>
      </x:c>
      <x:c r="S30" s="50" t="n">
        <x:v>4.7698305515960835e-9</x:v>
      </x:c>
      <x:c r="T30" s="50" t="n">
        <x:v>2.406559954042008e-7</x:v>
      </x:c>
      <x:c r="U30" s="26" t="str">
        <x:v>NO</x:v>
      </x:c>
      <x:c r="V30" s="53" t="str">
        <x:v>Selected minimum local SS</x:v>
      </x:c>
      <x:c r="W30" s="27" t="str">
        <x:f>IF($J30&lt;&gt;"VALID","N/A",IF(ABS($N30)&lt;=5%,"PASS",IF(ABS($N30)&lt;=10%,"REVIEW","UNSTABLE")))</x:f>
        <x:v>PASS</x:v>
      </x:c>
    </x:row>
    <x:row r="31">
      <x:c r="A31" s="25" t="str">
        <x:v>HP</x:v>
      </x:c>
      <x:c r="B31" s="32" t="n">
        <x:v>31</x:v>
      </x:c>
      <x:c r="C31" s="35" t="n">
        <x:v>0.15</x:v>
      </x:c>
      <x:c r="D31" s="35" t="n">
        <x:v>0.999</x:v>
      </x:c>
      <x:c r="E31" s="38" t="n">
        <x:v>1</x:v>
      </x:c>
      <x:c r="F31" s="41" t="n">
        <x:v>0.01</x:v>
      </x:c>
      <x:c r="G31" s="32" t="n">
        <x:v>94</x:v>
      </x:c>
      <x:c r="H31" s="32" t="n">
        <x:v>64</x:v>
      </x:c>
      <x:c r="I31" s="32" t="n">
        <x:v>48</x:v>
      </x:c>
      <x:c r="J31" s="26" t="str">
        <x:v>VALID</x:v>
      </x:c>
      <x:c r="K31" s="35" t="n">
        <x:v>87.79151000968868</x:v>
      </x:c>
      <x:c r="L31" s="35" t="n">
        <x:v>87.50593064481782</x:v>
      </x:c>
      <x:c r="M31" s="35" t="n">
        <x:f>IF($J31="VALID",$K31-$L31,"")</x:f>
        <x:v>0.28557936487085556</x:v>
      </x:c>
      <x:c r="N31" s="44" t="n">
        <x:f>IF($J31="VALID",$M31/$L31,"")</x:f>
        <x:v>0.0032635429709331116</x:v>
      </x:c>
      <x:c r="O31" s="35" t="n">
        <x:v>-0.0549999999999999</x:v>
      </x:c>
      <x:c r="P31" s="35" t="n">
        <x:v>0.0950000000000001</x:v>
      </x:c>
      <x:c r="Q31" s="35" t="n">
        <x:v>1.702893734633924</x:v>
      </x:c>
      <x:c r="R31" s="47" t="n">
        <x:v>0.9999929879253441</x:v>
      </x:c>
      <x:c r="S31" s="50" t="n">
        <x:v>4.7698305515960835e-9</x:v>
      </x:c>
      <x:c r="T31" s="50" t="n">
        <x:v>2.406559954042008e-7</x:v>
      </x:c>
      <x:c r="U31" s="26" t="str">
        <x:v>NO</x:v>
      </x:c>
      <x:c r="V31" s="53" t="str">
        <x:v>Selected minimum local SS</x:v>
      </x:c>
      <x:c r="W31" s="27" t="str">
        <x:f>IF($J31&lt;&gt;"VALID","N/A",IF(ABS($N31)&lt;=5%,"PASS",IF(ABS($N31)&lt;=10%,"REVIEW","UNSTABLE")))</x:f>
        <x:v>PASS</x:v>
      </x:c>
    </x:row>
    <x:row r="32">
      <x:c r="A32" s="25" t="str">
        <x:v>HP</x:v>
      </x:c>
      <x:c r="B32" s="32" t="n">
        <x:v>41</x:v>
      </x:c>
      <x:c r="C32" s="35" t="n">
        <x:v>0.2</x:v>
      </x:c>
      <x:c r="D32" s="35" t="n">
        <x:v>0.99</x:v>
      </x:c>
      <x:c r="E32" s="38" t="n">
        <x:v>0.5</x:v>
      </x:c>
      <x:c r="F32" s="41" t="n">
        <x:v>0.01</x:v>
      </x:c>
      <x:c r="G32" s="32" t="n">
        <x:v>94</x:v>
      </x:c>
      <x:c r="H32" s="32" t="n">
        <x:v>54</x:v>
      </x:c>
      <x:c r="I32" s="32" t="n">
        <x:v>48</x:v>
      </x:c>
      <x:c r="J32" s="26" t="str">
        <x:v>VALID</x:v>
      </x:c>
      <x:c r="K32" s="35" t="n">
        <x:v>88.21020513223262</x:v>
      </x:c>
      <x:c r="L32" s="35" t="n">
        <x:v>87.50593064481782</x:v>
      </x:c>
      <x:c r="M32" s="35" t="n">
        <x:f>IF($J32="VALID",$K32-$L32,"")</x:f>
        <x:v>0.7042744874147928</x:v>
      </x:c>
      <x:c r="N32" s="44" t="n">
        <x:f>IF($J32="VALID",$M32/$L32,"")</x:f>
        <x:v>0.008048305780249428</x:v>
      </x:c>
      <x:c r="O32" s="35" t="n">
        <x:v>-0.0749999999999999</x:v>
      </x:c>
      <x:c r="P32" s="35" t="n">
        <x:v>0.1250000000000001</x:v>
      </x:c>
      <x:c r="Q32" s="35" t="n">
        <x:v>2.2522226107142505</x:v>
      </x:c>
      <x:c r="R32" s="47" t="n">
        <x:v>0.9999764980748138</x:v>
      </x:c>
      <x:c r="S32" s="50" t="n">
        <x:v>2.887618113375948e-9</x:v>
      </x:c>
      <x:c r="T32" s="50" t="n">
        <x:v>5.161338802160976e-7</x:v>
      </x:c>
      <x:c r="U32" s="26" t="str">
        <x:v>NO</x:v>
      </x:c>
      <x:c r="V32" s="53" t="str">
        <x:v>Selected minimum local SS</x:v>
      </x:c>
      <x:c r="W32" s="27" t="str">
        <x:f>IF($J32&lt;&gt;"VALID","N/A",IF(ABS($N32)&lt;=5%,"PASS",IF(ABS($N32)&lt;=10%,"REVIEW","UNSTABLE")))</x:f>
        <x:v>PASS</x:v>
      </x:c>
    </x:row>
    <x:row r="33">
      <x:c r="A33" s="25" t="str">
        <x:v>HP</x:v>
      </x:c>
      <x:c r="B33" s="32" t="n">
        <x:v>41</x:v>
      </x:c>
      <x:c r="C33" s="35" t="n">
        <x:v>0.2</x:v>
      </x:c>
      <x:c r="D33" s="35" t="n">
        <x:v>0.99</x:v>
      </x:c>
      <x:c r="E33" s="38" t="n">
        <x:v>0.75</x:v>
      </x:c>
      <x:c r="F33" s="41" t="n">
        <x:v>0.01</x:v>
      </x:c>
      <x:c r="G33" s="32" t="n">
        <x:v>94</x:v>
      </x:c>
      <x:c r="H33" s="32" t="n">
        <x:v>54</x:v>
      </x:c>
      <x:c r="I33" s="32" t="n">
        <x:v>48</x:v>
      </x:c>
      <x:c r="J33" s="26" t="str">
        <x:v>VALID</x:v>
      </x:c>
      <x:c r="K33" s="35" t="n">
        <x:v>88.21020513223262</x:v>
      </x:c>
      <x:c r="L33" s="35" t="n">
        <x:v>87.50593064481782</x:v>
      </x:c>
      <x:c r="M33" s="35" t="n">
        <x:f>IF($J33="VALID",$K33-$L33,"")</x:f>
        <x:v>0.7042744874147928</x:v>
      </x:c>
      <x:c r="N33" s="44" t="n">
        <x:f>IF($J33="VALID",$M33/$L33,"")</x:f>
        <x:v>0.008048305780249428</x:v>
      </x:c>
      <x:c r="O33" s="35" t="n">
        <x:v>-0.0749999999999999</x:v>
      </x:c>
      <x:c r="P33" s="35" t="n">
        <x:v>0.1250000000000001</x:v>
      </x:c>
      <x:c r="Q33" s="35" t="n">
        <x:v>2.2522226107142505</x:v>
      </x:c>
      <x:c r="R33" s="47" t="n">
        <x:v>0.9999764980748138</x:v>
      </x:c>
      <x:c r="S33" s="50" t="n">
        <x:v>2.887618113375948e-9</x:v>
      </x:c>
      <x:c r="T33" s="50" t="n">
        <x:v>5.161338802160976e-7</x:v>
      </x:c>
      <x:c r="U33" s="26" t="str">
        <x:v>NO</x:v>
      </x:c>
      <x:c r="V33" s="53" t="str">
        <x:v>Selected minimum local SS</x:v>
      </x:c>
      <x:c r="W33" s="27" t="str">
        <x:f>IF($J33&lt;&gt;"VALID","N/A",IF(ABS($N33)&lt;=5%,"PASS",IF(ABS($N33)&lt;=10%,"REVIEW","UNSTABLE")))</x:f>
        <x:v>PASS</x:v>
      </x:c>
    </x:row>
    <x:row r="34">
      <x:c r="A34" s="25" t="str">
        <x:v>HP</x:v>
      </x:c>
      <x:c r="B34" s="32" t="n">
        <x:v>41</x:v>
      </x:c>
      <x:c r="C34" s="35" t="n">
        <x:v>0.2</x:v>
      </x:c>
      <x:c r="D34" s="35" t="n">
        <x:v>0.99</x:v>
      </x:c>
      <x:c r="E34" s="38" t="n">
        <x:v>1</x:v>
      </x:c>
      <x:c r="F34" s="41" t="n">
        <x:v>0.01</x:v>
      </x:c>
      <x:c r="G34" s="32" t="n">
        <x:v>94</x:v>
      </x:c>
      <x:c r="H34" s="32" t="n">
        <x:v>54</x:v>
      </x:c>
      <x:c r="I34" s="32" t="n">
        <x:v>48</x:v>
      </x:c>
      <x:c r="J34" s="26" t="str">
        <x:v>VALID</x:v>
      </x:c>
      <x:c r="K34" s="35" t="n">
        <x:v>88.21020513223262</x:v>
      </x:c>
      <x:c r="L34" s="35" t="n">
        <x:v>87.50593064481782</x:v>
      </x:c>
      <x:c r="M34" s="35" t="n">
        <x:f>IF($J34="VALID",$K34-$L34,"")</x:f>
        <x:v>0.7042744874147928</x:v>
      </x:c>
      <x:c r="N34" s="44" t="n">
        <x:f>IF($J34="VALID",$M34/$L34,"")</x:f>
        <x:v>0.008048305780249428</x:v>
      </x:c>
      <x:c r="O34" s="35" t="n">
        <x:v>-0.0749999999999999</x:v>
      </x:c>
      <x:c r="P34" s="35" t="n">
        <x:v>0.1250000000000001</x:v>
      </x:c>
      <x:c r="Q34" s="35" t="n">
        <x:v>2.2522226107142505</x:v>
      </x:c>
      <x:c r="R34" s="47" t="n">
        <x:v>0.9999764980748138</x:v>
      </x:c>
      <x:c r="S34" s="50" t="n">
        <x:v>2.887618113375948e-9</x:v>
      </x:c>
      <x:c r="T34" s="50" t="n">
        <x:v>5.161338802160976e-7</x:v>
      </x:c>
      <x:c r="U34" s="26" t="str">
        <x:v>NO</x:v>
      </x:c>
      <x:c r="V34" s="53" t="str">
        <x:v>Selected minimum local SS</x:v>
      </x:c>
      <x:c r="W34" s="27" t="str">
        <x:f>IF($J34&lt;&gt;"VALID","N/A",IF(ABS($N34)&lt;=5%,"PASS",IF(ABS($N34)&lt;=10%,"REVIEW","UNSTABLE")))</x:f>
        <x:v>PASS</x:v>
      </x:c>
    </x:row>
    <x:row r="35">
      <x:c r="A35" s="25" t="str">
        <x:v>HP</x:v>
      </x:c>
      <x:c r="B35" s="32" t="n">
        <x:v>41</x:v>
      </x:c>
      <x:c r="C35" s="35" t="n">
        <x:v>0.2</x:v>
      </x:c>
      <x:c r="D35" s="35" t="n">
        <x:v>0.995</x:v>
      </x:c>
      <x:c r="E35" s="38" t="n">
        <x:v>0.5</x:v>
      </x:c>
      <x:c r="F35" s="41" t="n">
        <x:v>0.01</x:v>
      </x:c>
      <x:c r="G35" s="32" t="n">
        <x:v>94</x:v>
      </x:c>
      <x:c r="H35" s="32" t="n">
        <x:v>54</x:v>
      </x:c>
      <x:c r="I35" s="32" t="n">
        <x:v>45</x:v>
      </x:c>
      <x:c r="J35" s="26" t="str">
        <x:v>VALID</x:v>
      </x:c>
      <x:c r="K35" s="35" t="n">
        <x:v>88.21020513223262</x:v>
      </x:c>
      <x:c r="L35" s="35" t="n">
        <x:v>87.50593064481782</x:v>
      </x:c>
      <x:c r="M35" s="35" t="n">
        <x:f>IF($J35="VALID",$K35-$L35,"")</x:f>
        <x:v>0.7042744874147928</x:v>
      </x:c>
      <x:c r="N35" s="44" t="n">
        <x:f>IF($J35="VALID",$M35/$L35,"")</x:f>
        <x:v>0.008048305780249428</x:v>
      </x:c>
      <x:c r="O35" s="35" t="n">
        <x:v>-0.0749999999999999</x:v>
      </x:c>
      <x:c r="P35" s="35" t="n">
        <x:v>0.1250000000000001</x:v>
      </x:c>
      <x:c r="Q35" s="35" t="n">
        <x:v>2.2522226107142505</x:v>
      </x:c>
      <x:c r="R35" s="47" t="n">
        <x:v>0.9999764980748138</x:v>
      </x:c>
      <x:c r="S35" s="50" t="n">
        <x:v>2.887618113375948e-9</x:v>
      </x:c>
      <x:c r="T35" s="50" t="n">
        <x:v>5.161338802160976e-7</x:v>
      </x:c>
      <x:c r="U35" s="26" t="str">
        <x:v>NO</x:v>
      </x:c>
      <x:c r="V35" s="53" t="str">
        <x:v>Selected minimum local SS</x:v>
      </x:c>
      <x:c r="W35" s="27" t="str">
        <x:f>IF($J35&lt;&gt;"VALID","N/A",IF(ABS($N35)&lt;=5%,"PASS",IF(ABS($N35)&lt;=10%,"REVIEW","UNSTABLE")))</x:f>
        <x:v>PASS</x:v>
      </x:c>
    </x:row>
    <x:row r="36">
      <x:c r="A36" s="25" t="str">
        <x:v>HP</x:v>
      </x:c>
      <x:c r="B36" s="32" t="n">
        <x:v>41</x:v>
      </x:c>
      <x:c r="C36" s="35" t="n">
        <x:v>0.2</x:v>
      </x:c>
      <x:c r="D36" s="35" t="n">
        <x:v>0.995</x:v>
      </x:c>
      <x:c r="E36" s="38" t="n">
        <x:v>0.75</x:v>
      </x:c>
      <x:c r="F36" s="41" t="n">
        <x:v>0.01</x:v>
      </x:c>
      <x:c r="G36" s="32" t="n">
        <x:v>94</x:v>
      </x:c>
      <x:c r="H36" s="32" t="n">
        <x:v>54</x:v>
      </x:c>
      <x:c r="I36" s="32" t="n">
        <x:v>45</x:v>
      </x:c>
      <x:c r="J36" s="26" t="str">
        <x:v>VALID</x:v>
      </x:c>
      <x:c r="K36" s="35" t="n">
        <x:v>88.21020513223262</x:v>
      </x:c>
      <x:c r="L36" s="35" t="n">
        <x:v>87.50593064481782</x:v>
      </x:c>
      <x:c r="M36" s="35" t="n">
        <x:f>IF($J36="VALID",$K36-$L36,"")</x:f>
        <x:v>0.7042744874147928</x:v>
      </x:c>
      <x:c r="N36" s="44" t="n">
        <x:f>IF($J36="VALID",$M36/$L36,"")</x:f>
        <x:v>0.008048305780249428</x:v>
      </x:c>
      <x:c r="O36" s="35" t="n">
        <x:v>-0.0749999999999999</x:v>
      </x:c>
      <x:c r="P36" s="35" t="n">
        <x:v>0.1250000000000001</x:v>
      </x:c>
      <x:c r="Q36" s="35" t="n">
        <x:v>2.2522226107142505</x:v>
      </x:c>
      <x:c r="R36" s="47" t="n">
        <x:v>0.9999764980748138</x:v>
      </x:c>
      <x:c r="S36" s="50" t="n">
        <x:v>2.887618113375948e-9</x:v>
      </x:c>
      <x:c r="T36" s="50" t="n">
        <x:v>5.161338802160976e-7</x:v>
      </x:c>
      <x:c r="U36" s="26" t="str">
        <x:v>NO</x:v>
      </x:c>
      <x:c r="V36" s="53" t="str">
        <x:v>Selected minimum local SS</x:v>
      </x:c>
      <x:c r="W36" s="27" t="str">
        <x:f>IF($J36&lt;&gt;"VALID","N/A",IF(ABS($N36)&lt;=5%,"PASS",IF(ABS($N36)&lt;=10%,"REVIEW","UNSTABLE")))</x:f>
        <x:v>PASS</x:v>
      </x:c>
    </x:row>
    <x:row r="37">
      <x:c r="A37" s="25" t="str">
        <x:v>HP</x:v>
      </x:c>
      <x:c r="B37" s="32" t="n">
        <x:v>41</x:v>
      </x:c>
      <x:c r="C37" s="35" t="n">
        <x:v>0.2</x:v>
      </x:c>
      <x:c r="D37" s="35" t="n">
        <x:v>0.995</x:v>
      </x:c>
      <x:c r="E37" s="38" t="n">
        <x:v>1</x:v>
      </x:c>
      <x:c r="F37" s="41" t="n">
        <x:v>0.01</x:v>
      </x:c>
      <x:c r="G37" s="32" t="n">
        <x:v>94</x:v>
      </x:c>
      <x:c r="H37" s="32" t="n">
        <x:v>54</x:v>
      </x:c>
      <x:c r="I37" s="32" t="n">
        <x:v>45</x:v>
      </x:c>
      <x:c r="J37" s="26" t="str">
        <x:v>VALID</x:v>
      </x:c>
      <x:c r="K37" s="35" t="n">
        <x:v>88.21020513223262</x:v>
      </x:c>
      <x:c r="L37" s="35" t="n">
        <x:v>87.50593064481782</x:v>
      </x:c>
      <x:c r="M37" s="35" t="n">
        <x:f>IF($J37="VALID",$K37-$L37,"")</x:f>
        <x:v>0.7042744874147928</x:v>
      </x:c>
      <x:c r="N37" s="44" t="n">
        <x:f>IF($J37="VALID",$M37/$L37,"")</x:f>
        <x:v>0.008048305780249428</x:v>
      </x:c>
      <x:c r="O37" s="35" t="n">
        <x:v>-0.0749999999999999</x:v>
      </x:c>
      <x:c r="P37" s="35" t="n">
        <x:v>0.1250000000000001</x:v>
      </x:c>
      <x:c r="Q37" s="35" t="n">
        <x:v>2.2522226107142505</x:v>
      </x:c>
      <x:c r="R37" s="47" t="n">
        <x:v>0.9999764980748138</x:v>
      </x:c>
      <x:c r="S37" s="50" t="n">
        <x:v>2.887618113375948e-9</x:v>
      </x:c>
      <x:c r="T37" s="50" t="n">
        <x:v>5.161338802160976e-7</x:v>
      </x:c>
      <x:c r="U37" s="26" t="str">
        <x:v>NO</x:v>
      </x:c>
      <x:c r="V37" s="53" t="str">
        <x:v>Selected minimum local SS</x:v>
      </x:c>
      <x:c r="W37" s="27" t="str">
        <x:f>IF($J37&lt;&gt;"VALID","N/A",IF(ABS($N37)&lt;=5%,"PASS",IF(ABS($N37)&lt;=10%,"REVIEW","UNSTABLE")))</x:f>
        <x:v>PASS</x:v>
      </x:c>
    </x:row>
    <x:row r="38">
      <x:c r="A38" s="25" t="str">
        <x:v>HP</x:v>
      </x:c>
      <x:c r="B38" s="32" t="n">
        <x:v>41</x:v>
      </x:c>
      <x:c r="C38" s="35" t="n">
        <x:v>0.2</x:v>
      </x:c>
      <x:c r="D38" s="35" t="n">
        <x:v>0.999</x:v>
      </x:c>
      <x:c r="E38" s="38" t="n">
        <x:v>0.5</x:v>
      </x:c>
      <x:c r="F38" s="41" t="n">
        <x:v>0.01</x:v>
      </x:c>
      <x:c r="G38" s="32" t="n">
        <x:v>94</x:v>
      </x:c>
      <x:c r="H38" s="32" t="n">
        <x:v>54</x:v>
      </x:c>
      <x:c r="I38" s="32" t="n">
        <x:v>38</x:v>
      </x:c>
      <x:c r="J38" s="26" t="str">
        <x:v>VALID</x:v>
      </x:c>
      <x:c r="K38" s="35" t="n">
        <x:v>88.21020513223262</x:v>
      </x:c>
      <x:c r="L38" s="35" t="n">
        <x:v>87.50593064481782</x:v>
      </x:c>
      <x:c r="M38" s="35" t="n">
        <x:f>IF($J38="VALID",$K38-$L38,"")</x:f>
        <x:v>0.7042744874147928</x:v>
      </x:c>
      <x:c r="N38" s="44" t="n">
        <x:f>IF($J38="VALID",$M38/$L38,"")</x:f>
        <x:v>0.008048305780249428</x:v>
      </x:c>
      <x:c r="O38" s="35" t="n">
        <x:v>-0.0749999999999999</x:v>
      </x:c>
      <x:c r="P38" s="35" t="n">
        <x:v>0.1250000000000001</x:v>
      </x:c>
      <x:c r="Q38" s="35" t="n">
        <x:v>2.2522226107142505</x:v>
      </x:c>
      <x:c r="R38" s="47" t="n">
        <x:v>0.9999764980748138</x:v>
      </x:c>
      <x:c r="S38" s="50" t="n">
        <x:v>2.887618113375948e-9</x:v>
      </x:c>
      <x:c r="T38" s="50" t="n">
        <x:v>5.161338802160976e-7</x:v>
      </x:c>
      <x:c r="U38" s="26" t="str">
        <x:v>NO</x:v>
      </x:c>
      <x:c r="V38" s="53" t="str">
        <x:v>Selected minimum local SS</x:v>
      </x:c>
      <x:c r="W38" s="27" t="str">
        <x:f>IF($J38&lt;&gt;"VALID","N/A",IF(ABS($N38)&lt;=5%,"PASS",IF(ABS($N38)&lt;=10%,"REVIEW","UNSTABLE")))</x:f>
        <x:v>PASS</x:v>
      </x:c>
    </x:row>
    <x:row r="39">
      <x:c r="A39" s="25" t="str">
        <x:v>HP</x:v>
      </x:c>
      <x:c r="B39" s="32" t="n">
        <x:v>41</x:v>
      </x:c>
      <x:c r="C39" s="35" t="n">
        <x:v>0.2</x:v>
      </x:c>
      <x:c r="D39" s="35" t="n">
        <x:v>0.999</x:v>
      </x:c>
      <x:c r="E39" s="38" t="n">
        <x:v>0.75</x:v>
      </x:c>
      <x:c r="F39" s="41" t="n">
        <x:v>0.01</x:v>
      </x:c>
      <x:c r="G39" s="32" t="n">
        <x:v>94</x:v>
      </x:c>
      <x:c r="H39" s="32" t="n">
        <x:v>54</x:v>
      </x:c>
      <x:c r="I39" s="32" t="n">
        <x:v>38</x:v>
      </x:c>
      <x:c r="J39" s="26" t="str">
        <x:v>VALID</x:v>
      </x:c>
      <x:c r="K39" s="35" t="n">
        <x:v>88.21020513223262</x:v>
      </x:c>
      <x:c r="L39" s="35" t="n">
        <x:v>87.50593064481782</x:v>
      </x:c>
      <x:c r="M39" s="35" t="n">
        <x:f>IF($J39="VALID",$K39-$L39,"")</x:f>
        <x:v>0.7042744874147928</x:v>
      </x:c>
      <x:c r="N39" s="44" t="n">
        <x:f>IF($J39="VALID",$M39/$L39,"")</x:f>
        <x:v>0.008048305780249428</x:v>
      </x:c>
      <x:c r="O39" s="35" t="n">
        <x:v>-0.0749999999999999</x:v>
      </x:c>
      <x:c r="P39" s="35" t="n">
        <x:v>0.1250000000000001</x:v>
      </x:c>
      <x:c r="Q39" s="35" t="n">
        <x:v>2.2522226107142505</x:v>
      </x:c>
      <x:c r="R39" s="47" t="n">
        <x:v>0.9999764980748138</x:v>
      </x:c>
      <x:c r="S39" s="50" t="n">
        <x:v>2.887618113375948e-9</x:v>
      </x:c>
      <x:c r="T39" s="50" t="n">
        <x:v>5.161338802160976e-7</x:v>
      </x:c>
      <x:c r="U39" s="26" t="str">
        <x:v>NO</x:v>
      </x:c>
      <x:c r="V39" s="53" t="str">
        <x:v>Selected minimum local SS</x:v>
      </x:c>
      <x:c r="W39" s="27" t="str">
        <x:f>IF($J39&lt;&gt;"VALID","N/A",IF(ABS($N39)&lt;=5%,"PASS",IF(ABS($N39)&lt;=10%,"REVIEW","UNSTABLE")))</x:f>
        <x:v>PASS</x:v>
      </x:c>
    </x:row>
    <x:row r="40">
      <x:c r="A40" s="25" t="str">
        <x:v>HP</x:v>
      </x:c>
      <x:c r="B40" s="32" t="n">
        <x:v>41</x:v>
      </x:c>
      <x:c r="C40" s="35" t="n">
        <x:v>0.2</x:v>
      </x:c>
      <x:c r="D40" s="35" t="n">
        <x:v>0.999</x:v>
      </x:c>
      <x:c r="E40" s="38" t="n">
        <x:v>1</x:v>
      </x:c>
      <x:c r="F40" s="41" t="n">
        <x:v>0.01</x:v>
      </x:c>
      <x:c r="G40" s="32" t="n">
        <x:v>94</x:v>
      </x:c>
      <x:c r="H40" s="32" t="n">
        <x:v>54</x:v>
      </x:c>
      <x:c r="I40" s="32" t="n">
        <x:v>38</x:v>
      </x:c>
      <x:c r="J40" s="26" t="str">
        <x:v>VALID</x:v>
      </x:c>
      <x:c r="K40" s="35" t="n">
        <x:v>88.21020513223262</x:v>
      </x:c>
      <x:c r="L40" s="35" t="n">
        <x:v>87.50593064481782</x:v>
      </x:c>
      <x:c r="M40" s="35" t="n">
        <x:f>IF($J40="VALID",$K40-$L40,"")</x:f>
        <x:v>0.7042744874147928</x:v>
      </x:c>
      <x:c r="N40" s="44" t="n">
        <x:f>IF($J40="VALID",$M40/$L40,"")</x:f>
        <x:v>0.008048305780249428</x:v>
      </x:c>
      <x:c r="O40" s="35" t="n">
        <x:v>-0.0749999999999999</x:v>
      </x:c>
      <x:c r="P40" s="35" t="n">
        <x:v>0.1250000000000001</x:v>
      </x:c>
      <x:c r="Q40" s="35" t="n">
        <x:v>2.2522226107142505</x:v>
      </x:c>
      <x:c r="R40" s="47" t="n">
        <x:v>0.9999764980748138</x:v>
      </x:c>
      <x:c r="S40" s="50" t="n">
        <x:v>2.887618113375948e-9</x:v>
      </x:c>
      <x:c r="T40" s="50" t="n">
        <x:v>5.161338802160976e-7</x:v>
      </x:c>
      <x:c r="U40" s="26" t="str">
        <x:v>NO</x:v>
      </x:c>
      <x:c r="V40" s="53" t="str">
        <x:v>Selected minimum local SS</x:v>
      </x:c>
      <x:c r="W40" s="27" t="str">
        <x:f>IF($J40&lt;&gt;"VALID","N/A",IF(ABS($N40)&lt;=5%,"PASS",IF(ABS($N40)&lt;=10%,"REVIEW","UNSTABLE")))</x:f>
        <x:v>PASS</x:v>
      </x:c>
    </x:row>
    <x:row r="41">
      <x:c r="A41" s="25" t="str">
        <x:v>LP</x:v>
      </x:c>
      <x:c r="B41" s="32" t="n">
        <x:v>11</x:v>
      </x:c>
      <x:c r="C41" s="35" t="n">
        <x:v>0.05</x:v>
      </x:c>
      <x:c r="D41" s="35" t="n">
        <x:v>0.99</x:v>
      </x:c>
      <x:c r="E41" s="38" t="n">
        <x:v>0.5</x:v>
      </x:c>
      <x:c r="F41" s="41" t="n">
        <x:v>0.01</x:v>
      </x:c>
      <x:c r="G41" s="32" t="n">
        <x:v>138</x:v>
      </x:c>
      <x:c r="H41" s="32" t="n">
        <x:v>128</x:v>
      </x:c>
      <x:c r="I41" s="32" t="n">
        <x:v>88</x:v>
      </x:c>
      <x:c r="J41" s="26" t="str">
        <x:v>VALID</x:v>
      </x:c>
      <x:c r="K41" s="35" t="n">
        <x:v>86.33343868186688</x:v>
      </x:c>
      <x:c r="L41" s="35" t="n">
        <x:v>86.6480245274117</x:v>
      </x:c>
      <x:c r="M41" s="35" t="n">
        <x:f>IF($J41="VALID",$K41-$L41,"")</x:f>
        <x:v>-0.31458584554482627</x:v>
      </x:c>
      <x:c r="N41" s="44" t="n">
        <x:f>IF($J41="VALID",$M41/$L41,"")</x:f>
        <x:v>-0.0036306176310494515</x:v>
      </x:c>
      <x:c r="O41" s="35" t="n">
        <x:v>0.055</x:v>
      </x:c>
      <x:c r="P41" s="35" t="n">
        <x:v>0.1050000000000001</x:v>
      </x:c>
      <x:c r="Q41" s="35" t="n">
        <x:v>0.5781069981074385</x:v>
      </x:c>
      <x:c r="R41" s="47" t="n">
        <x:v>0.9999776960147039</x:v>
      </x:c>
      <x:c r="S41" s="50" t="n">
        <x:v>8.835508707411416e-11</x:v>
      </x:c>
      <x:c r="T41" s="50" t="n">
        <x:v>3.3445566569647457e-10</x:v>
      </x:c>
      <x:c r="U41" s="26" t="str">
        <x:v>NO</x:v>
      </x:c>
      <x:c r="V41" s="53" t="str">
        <x:v>Selected minimum local SS</x:v>
      </x:c>
      <x:c r="W41" s="27" t="str">
        <x:f>IF($J41&lt;&gt;"VALID","N/A",IF(ABS($N41)&lt;=5%,"PASS",IF(ABS($N41)&lt;=10%,"REVIEW","UNSTABLE")))</x:f>
        <x:v>PASS</x:v>
      </x:c>
    </x:row>
    <x:row r="42">
      <x:c r="A42" s="25" t="str">
        <x:v>LP</x:v>
      </x:c>
      <x:c r="B42" s="32" t="n">
        <x:v>11</x:v>
      </x:c>
      <x:c r="C42" s="35" t="n">
        <x:v>0.05</x:v>
      </x:c>
      <x:c r="D42" s="35" t="n">
        <x:v>0.99</x:v>
      </x:c>
      <x:c r="E42" s="38" t="n">
        <x:v>0.75</x:v>
      </x:c>
      <x:c r="F42" s="41" t="n">
        <x:v>0.01</x:v>
      </x:c>
      <x:c r="G42" s="32" t="n">
        <x:v>138</x:v>
      </x:c>
      <x:c r="H42" s="32" t="n">
        <x:v>128</x:v>
      </x:c>
      <x:c r="I42" s="32" t="n">
        <x:v>0</x:v>
      </x:c>
      <x:c r="J42" s="26" t="str">
        <x:v>N/A</x:v>
      </x:c>
      <x:c r="K42" s="35"/>
      <x:c r="L42" s="35" t="n">
        <x:v>86.6480245274117</x:v>
      </x:c>
      <x:c r="M42" s="35" t="str">
        <x:f>IF($J42="VALID",$K42-$L42,"")</x:f>
      </x:c>
      <x:c r="N42" s="44" t="str">
        <x:f>IF($J42="VALID",$M42/$L42,"")</x:f>
      </x:c>
      <x:c r="O42" s="35"/>
      <x:c r="P42" s="35"/>
      <x:c r="Q42" s="35"/>
      <x:c r="R42" s="47"/>
      <x:c r="S42" s="50"/>
      <x:c r="T42" s="50"/>
      <x:c r="U42" s="26" t="str">
        <x:v>N/A</x:v>
      </x:c>
      <x:c r="V42" s="53" t="str">
        <x:v>Incompatible window/span: no candidate</x:v>
      </x:c>
      <x:c r="W42" s="27" t="str">
        <x:f>IF($J42&lt;&gt;"VALID","N/A",IF(ABS($N42)&lt;=5%,"PASS",IF(ABS($N42)&lt;=10%,"REVIEW","UNSTABLE")))</x:f>
        <x:v>N/A</x:v>
      </x:c>
    </x:row>
    <x:row r="43">
      <x:c r="A43" s="25" t="str">
        <x:v>LP</x:v>
      </x:c>
      <x:c r="B43" s="32" t="n">
        <x:v>11</x:v>
      </x:c>
      <x:c r="C43" s="35" t="n">
        <x:v>0.05</x:v>
      </x:c>
      <x:c r="D43" s="35" t="n">
        <x:v>0.99</x:v>
      </x:c>
      <x:c r="E43" s="38" t="n">
        <x:v>1</x:v>
      </x:c>
      <x:c r="F43" s="41" t="n">
        <x:v>0.01</x:v>
      </x:c>
      <x:c r="G43" s="32" t="n">
        <x:v>138</x:v>
      </x:c>
      <x:c r="H43" s="32" t="n">
        <x:v>128</x:v>
      </x:c>
      <x:c r="I43" s="32" t="n">
        <x:v>0</x:v>
      </x:c>
      <x:c r="J43" s="26" t="str">
        <x:v>N/A</x:v>
      </x:c>
      <x:c r="K43" s="35"/>
      <x:c r="L43" s="35" t="n">
        <x:v>86.6480245274117</x:v>
      </x:c>
      <x:c r="M43" s="35" t="str">
        <x:f>IF($J43="VALID",$K43-$L43,"")</x:f>
      </x:c>
      <x:c r="N43" s="44" t="str">
        <x:f>IF($J43="VALID",$M43/$L43,"")</x:f>
      </x:c>
      <x:c r="O43" s="35"/>
      <x:c r="P43" s="35"/>
      <x:c r="Q43" s="35"/>
      <x:c r="R43" s="47"/>
      <x:c r="S43" s="50"/>
      <x:c r="T43" s="50"/>
      <x:c r="U43" s="26" t="str">
        <x:v>N/A</x:v>
      </x:c>
      <x:c r="V43" s="53" t="str">
        <x:v>Incompatible window/span: no candidate</x:v>
      </x:c>
      <x:c r="W43" s="27" t="str">
        <x:f>IF($J43&lt;&gt;"VALID","N/A",IF(ABS($N43)&lt;=5%,"PASS",IF(ABS($N43)&lt;=10%,"REVIEW","UNSTABLE")))</x:f>
        <x:v>N/A</x:v>
      </x:c>
    </x:row>
    <x:row r="44">
      <x:c r="A44" s="25" t="str">
        <x:v>LP</x:v>
      </x:c>
      <x:c r="B44" s="32" t="n">
        <x:v>11</x:v>
      </x:c>
      <x:c r="C44" s="35" t="n">
        <x:v>0.05</x:v>
      </x:c>
      <x:c r="D44" s="35" t="n">
        <x:v>0.995</x:v>
      </x:c>
      <x:c r="E44" s="38" t="n">
        <x:v>0.5</x:v>
      </x:c>
      <x:c r="F44" s="41" t="n">
        <x:v>0.01</x:v>
      </x:c>
      <x:c r="G44" s="32" t="n">
        <x:v>138</x:v>
      </x:c>
      <x:c r="H44" s="32" t="n">
        <x:v>128</x:v>
      </x:c>
      <x:c r="I44" s="32" t="n">
        <x:v>88</x:v>
      </x:c>
      <x:c r="J44" s="26" t="str">
        <x:v>VALID</x:v>
      </x:c>
      <x:c r="K44" s="35" t="n">
        <x:v>86.33343868186688</x:v>
      </x:c>
      <x:c r="L44" s="35" t="n">
        <x:v>86.6480245274117</x:v>
      </x:c>
      <x:c r="M44" s="35" t="n">
        <x:f>IF($J44="VALID",$K44-$L44,"")</x:f>
        <x:v>-0.31458584554482627</x:v>
      </x:c>
      <x:c r="N44" s="44" t="n">
        <x:f>IF($J44="VALID",$M44/$L44,"")</x:f>
        <x:v>-0.0036306176310494515</x:v>
      </x:c>
      <x:c r="O44" s="35" t="n">
        <x:v>0.055</x:v>
      </x:c>
      <x:c r="P44" s="35" t="n">
        <x:v>0.1050000000000001</x:v>
      </x:c>
      <x:c r="Q44" s="35" t="n">
        <x:v>0.5781069981074385</x:v>
      </x:c>
      <x:c r="R44" s="47" t="n">
        <x:v>0.9999776960147039</x:v>
      </x:c>
      <x:c r="S44" s="50" t="n">
        <x:v>8.835508707411416e-11</x:v>
      </x:c>
      <x:c r="T44" s="50" t="n">
        <x:v>3.3445566569647457e-10</x:v>
      </x:c>
      <x:c r="U44" s="26" t="str">
        <x:v>NO</x:v>
      </x:c>
      <x:c r="V44" s="53" t="str">
        <x:v>Selected minimum local SS</x:v>
      </x:c>
      <x:c r="W44" s="27" t="str">
        <x:f>IF($J44&lt;&gt;"VALID","N/A",IF(ABS($N44)&lt;=5%,"PASS",IF(ABS($N44)&lt;=10%,"REVIEW","UNSTABLE")))</x:f>
        <x:v>PASS</x:v>
      </x:c>
    </x:row>
    <x:row r="45">
      <x:c r="A45" s="25" t="str">
        <x:v>LP</x:v>
      </x:c>
      <x:c r="B45" s="32" t="n">
        <x:v>11</x:v>
      </x:c>
      <x:c r="C45" s="35" t="n">
        <x:v>0.05</x:v>
      </x:c>
      <x:c r="D45" s="35" t="n">
        <x:v>0.995</x:v>
      </x:c>
      <x:c r="E45" s="38" t="n">
        <x:v>0.75</x:v>
      </x:c>
      <x:c r="F45" s="41" t="n">
        <x:v>0.01</x:v>
      </x:c>
      <x:c r="G45" s="32" t="n">
        <x:v>138</x:v>
      </x:c>
      <x:c r="H45" s="32" t="n">
        <x:v>128</x:v>
      </x:c>
      <x:c r="I45" s="32" t="n">
        <x:v>0</x:v>
      </x:c>
      <x:c r="J45" s="26" t="str">
        <x:v>N/A</x:v>
      </x:c>
      <x:c r="K45" s="35"/>
      <x:c r="L45" s="35" t="n">
        <x:v>86.6480245274117</x:v>
      </x:c>
      <x:c r="M45" s="35" t="str">
        <x:f>IF($J45="VALID",$K45-$L45,"")</x:f>
      </x:c>
      <x:c r="N45" s="44" t="str">
        <x:f>IF($J45="VALID",$M45/$L45,"")</x:f>
      </x:c>
      <x:c r="O45" s="35"/>
      <x:c r="P45" s="35"/>
      <x:c r="Q45" s="35"/>
      <x:c r="R45" s="47"/>
      <x:c r="S45" s="50"/>
      <x:c r="T45" s="50"/>
      <x:c r="U45" s="26" t="str">
        <x:v>N/A</x:v>
      </x:c>
      <x:c r="V45" s="53" t="str">
        <x:v>Incompatible window/span: no candidate</x:v>
      </x:c>
      <x:c r="W45" s="27" t="str">
        <x:f>IF($J45&lt;&gt;"VALID","N/A",IF(ABS($N45)&lt;=5%,"PASS",IF(ABS($N45)&lt;=10%,"REVIEW","UNSTABLE")))</x:f>
        <x:v>N/A</x:v>
      </x:c>
    </x:row>
    <x:row r="46">
      <x:c r="A46" s="25" t="str">
        <x:v>LP</x:v>
      </x:c>
      <x:c r="B46" s="32" t="n">
        <x:v>11</x:v>
      </x:c>
      <x:c r="C46" s="35" t="n">
        <x:v>0.05</x:v>
      </x:c>
      <x:c r="D46" s="35" t="n">
        <x:v>0.995</x:v>
      </x:c>
      <x:c r="E46" s="38" t="n">
        <x:v>1</x:v>
      </x:c>
      <x:c r="F46" s="41" t="n">
        <x:v>0.01</x:v>
      </x:c>
      <x:c r="G46" s="32" t="n">
        <x:v>138</x:v>
      </x:c>
      <x:c r="H46" s="32" t="n">
        <x:v>128</x:v>
      </x:c>
      <x:c r="I46" s="32" t="n">
        <x:v>0</x:v>
      </x:c>
      <x:c r="J46" s="26" t="str">
        <x:v>N/A</x:v>
      </x:c>
      <x:c r="K46" s="35"/>
      <x:c r="L46" s="35" t="n">
        <x:v>86.6480245274117</x:v>
      </x:c>
      <x:c r="M46" s="35" t="str">
        <x:f>IF($J46="VALID",$K46-$L46,"")</x:f>
      </x:c>
      <x:c r="N46" s="44" t="str">
        <x:f>IF($J46="VALID",$M46/$L46,"")</x:f>
      </x:c>
      <x:c r="O46" s="35"/>
      <x:c r="P46" s="35"/>
      <x:c r="Q46" s="35"/>
      <x:c r="R46" s="47"/>
      <x:c r="S46" s="50"/>
      <x:c r="T46" s="50"/>
      <x:c r="U46" s="26" t="str">
        <x:v>N/A</x:v>
      </x:c>
      <x:c r="V46" s="53" t="str">
        <x:v>Incompatible window/span: no candidate</x:v>
      </x:c>
      <x:c r="W46" s="27" t="str">
        <x:f>IF($J46&lt;&gt;"VALID","N/A",IF(ABS($N46)&lt;=5%,"PASS",IF(ABS($N46)&lt;=10%,"REVIEW","UNSTABLE")))</x:f>
        <x:v>N/A</x:v>
      </x:c>
    </x:row>
    <x:row r="47">
      <x:c r="A47" s="25" t="str">
        <x:v>LP</x:v>
      </x:c>
      <x:c r="B47" s="32" t="n">
        <x:v>11</x:v>
      </x:c>
      <x:c r="C47" s="35" t="n">
        <x:v>0.05</x:v>
      </x:c>
      <x:c r="D47" s="35" t="n">
        <x:v>0.999</x:v>
      </x:c>
      <x:c r="E47" s="38" t="n">
        <x:v>0.5</x:v>
      </x:c>
      <x:c r="F47" s="41" t="n">
        <x:v>0.01</x:v>
      </x:c>
      <x:c r="G47" s="32" t="n">
        <x:v>138</x:v>
      </x:c>
      <x:c r="H47" s="32" t="n">
        <x:v>128</x:v>
      </x:c>
      <x:c r="I47" s="32" t="n">
        <x:v>88</x:v>
      </x:c>
      <x:c r="J47" s="26" t="str">
        <x:v>VALID</x:v>
      </x:c>
      <x:c r="K47" s="35" t="n">
        <x:v>86.33343868186688</x:v>
      </x:c>
      <x:c r="L47" s="35" t="n">
        <x:v>86.6480245274117</x:v>
      </x:c>
      <x:c r="M47" s="35" t="n">
        <x:f>IF($J47="VALID",$K47-$L47,"")</x:f>
        <x:v>-0.31458584554482627</x:v>
      </x:c>
      <x:c r="N47" s="44" t="n">
        <x:f>IF($J47="VALID",$M47/$L47,"")</x:f>
        <x:v>-0.0036306176310494515</x:v>
      </x:c>
      <x:c r="O47" s="35" t="n">
        <x:v>0.055</x:v>
      </x:c>
      <x:c r="P47" s="35" t="n">
        <x:v>0.1050000000000001</x:v>
      </x:c>
      <x:c r="Q47" s="35" t="n">
        <x:v>0.5781069981074385</x:v>
      </x:c>
      <x:c r="R47" s="47" t="n">
        <x:v>0.9999776960147039</x:v>
      </x:c>
      <x:c r="S47" s="50" t="n">
        <x:v>8.835508707411416e-11</x:v>
      </x:c>
      <x:c r="T47" s="50" t="n">
        <x:v>3.3445566569647457e-10</x:v>
      </x:c>
      <x:c r="U47" s="26" t="str">
        <x:v>NO</x:v>
      </x:c>
      <x:c r="V47" s="53" t="str">
        <x:v>Selected minimum local SS</x:v>
      </x:c>
      <x:c r="W47" s="27" t="str">
        <x:f>IF($J47&lt;&gt;"VALID","N/A",IF(ABS($N47)&lt;=5%,"PASS",IF(ABS($N47)&lt;=10%,"REVIEW","UNSTABLE")))</x:f>
        <x:v>PASS</x:v>
      </x:c>
    </x:row>
    <x:row r="48">
      <x:c r="A48" s="25" t="str">
        <x:v>LP</x:v>
      </x:c>
      <x:c r="B48" s="32" t="n">
        <x:v>11</x:v>
      </x:c>
      <x:c r="C48" s="35" t="n">
        <x:v>0.05</x:v>
      </x:c>
      <x:c r="D48" s="35" t="n">
        <x:v>0.999</x:v>
      </x:c>
      <x:c r="E48" s="38" t="n">
        <x:v>0.75</x:v>
      </x:c>
      <x:c r="F48" s="41" t="n">
        <x:v>0.01</x:v>
      </x:c>
      <x:c r="G48" s="32" t="n">
        <x:v>138</x:v>
      </x:c>
      <x:c r="H48" s="32" t="n">
        <x:v>128</x:v>
      </x:c>
      <x:c r="I48" s="32" t="n">
        <x:v>0</x:v>
      </x:c>
      <x:c r="J48" s="26" t="str">
        <x:v>N/A</x:v>
      </x:c>
      <x:c r="K48" s="35"/>
      <x:c r="L48" s="35" t="n">
        <x:v>86.6480245274117</x:v>
      </x:c>
      <x:c r="M48" s="35" t="str">
        <x:f>IF($J48="VALID",$K48-$L48,"")</x:f>
      </x:c>
      <x:c r="N48" s="44" t="str">
        <x:f>IF($J48="VALID",$M48/$L48,"")</x:f>
      </x:c>
      <x:c r="O48" s="35"/>
      <x:c r="P48" s="35"/>
      <x:c r="Q48" s="35"/>
      <x:c r="R48" s="47"/>
      <x:c r="S48" s="50"/>
      <x:c r="T48" s="50"/>
      <x:c r="U48" s="26" t="str">
        <x:v>N/A</x:v>
      </x:c>
      <x:c r="V48" s="53" t="str">
        <x:v>Incompatible window/span: no candidate</x:v>
      </x:c>
      <x:c r="W48" s="27" t="str">
        <x:f>IF($J48&lt;&gt;"VALID","N/A",IF(ABS($N48)&lt;=5%,"PASS",IF(ABS($N48)&lt;=10%,"REVIEW","UNSTABLE")))</x:f>
        <x:v>N/A</x:v>
      </x:c>
    </x:row>
    <x:row r="49">
      <x:c r="A49" s="25" t="str">
        <x:v>LP</x:v>
      </x:c>
      <x:c r="B49" s="32" t="n">
        <x:v>11</x:v>
      </x:c>
      <x:c r="C49" s="35" t="n">
        <x:v>0.05</x:v>
      </x:c>
      <x:c r="D49" s="35" t="n">
        <x:v>0.999</x:v>
      </x:c>
      <x:c r="E49" s="38" t="n">
        <x:v>1</x:v>
      </x:c>
      <x:c r="F49" s="41" t="n">
        <x:v>0.01</x:v>
      </x:c>
      <x:c r="G49" s="32" t="n">
        <x:v>138</x:v>
      </x:c>
      <x:c r="H49" s="32" t="n">
        <x:v>128</x:v>
      </x:c>
      <x:c r="I49" s="32" t="n">
        <x:v>0</x:v>
      </x:c>
      <x:c r="J49" s="26" t="str">
        <x:v>N/A</x:v>
      </x:c>
      <x:c r="K49" s="35"/>
      <x:c r="L49" s="35" t="n">
        <x:v>86.6480245274117</x:v>
      </x:c>
      <x:c r="M49" s="35" t="str">
        <x:f>IF($J49="VALID",$K49-$L49,"")</x:f>
      </x:c>
      <x:c r="N49" s="44" t="str">
        <x:f>IF($J49="VALID",$M49/$L49,"")</x:f>
      </x:c>
      <x:c r="O49" s="35"/>
      <x:c r="P49" s="35"/>
      <x:c r="Q49" s="35"/>
      <x:c r="R49" s="47"/>
      <x:c r="S49" s="50"/>
      <x:c r="T49" s="50"/>
      <x:c r="U49" s="26" t="str">
        <x:v>N/A</x:v>
      </x:c>
      <x:c r="V49" s="53" t="str">
        <x:v>Incompatible window/span: no candidate</x:v>
      </x:c>
      <x:c r="W49" s="27" t="str">
        <x:f>IF($J49&lt;&gt;"VALID","N/A",IF(ABS($N49)&lt;=5%,"PASS",IF(ABS($N49)&lt;=10%,"REVIEW","UNSTABLE")))</x:f>
        <x:v>N/A</x:v>
      </x:c>
    </x:row>
    <x:row r="50">
      <x:c r="A50" s="25" t="str">
        <x:v>LP</x:v>
      </x:c>
      <x:c r="B50" s="32" t="n">
        <x:v>21</x:v>
      </x:c>
      <x:c r="C50" s="35" t="n">
        <x:v>0.1</x:v>
      </x:c>
      <x:c r="D50" s="35" t="n">
        <x:v>0.99</x:v>
      </x:c>
      <x:c r="E50" s="38" t="n">
        <x:v>0.5</x:v>
      </x:c>
      <x:c r="F50" s="41" t="n">
        <x:v>0.01</x:v>
      </x:c>
      <x:c r="G50" s="32" t="n">
        <x:v>138</x:v>
      </x:c>
      <x:c r="H50" s="32" t="n">
        <x:v>118</x:v>
      </x:c>
      <x:c r="I50" s="32" t="n">
        <x:v>103</x:v>
      </x:c>
      <x:c r="J50" s="26" t="str">
        <x:v>VALID</x:v>
      </x:c>
      <x:c r="K50" s="35" t="n">
        <x:v>86.64802452741225</x:v>
      </x:c>
      <x:c r="L50" s="35" t="n">
        <x:v>86.6480245274117</x:v>
      </x:c>
      <x:c r="M50" s="35" t="n">
        <x:f>IF($J50="VALID",$K50-$L50,"")</x:f>
        <x:v>5.400124791776761e-13</x:v>
      </x:c>
      <x:c r="N50" s="44" t="n">
        <x:f>IF($J50="VALID",$M50/$L50,"")</x:f>
        <x:v>6.2322537890848215e-15</x:v>
      </x:c>
      <x:c r="O50" s="35" t="n">
        <x:v>0.0450000000000001</x:v>
      </x:c>
      <x:c r="P50" s="35" t="n">
        <x:v>0.1450000000000002</x:v>
      </x:c>
      <x:c r="Q50" s="35" t="n">
        <x:v>1.1528649445035768</x:v>
      </x:c>
      <x:c r="R50" s="47" t="n">
        <x:v>0.9999942895690928</x:v>
      </x:c>
      <x:c r="S50" s="50" t="n">
        <x:v>6.791409370813255e-11</x:v>
      </x:c>
      <x:c r="T50" s="50" t="n">
        <x:v>9.656613603731478e-10</x:v>
      </x:c>
      <x:c r="U50" s="26" t="str">
        <x:v>NO</x:v>
      </x:c>
      <x:c r="V50" s="53" t="str">
        <x:v>Selected minimum local SS</x:v>
      </x:c>
      <x:c r="W50" s="27" t="str">
        <x:f>IF($J50&lt;&gt;"VALID","N/A",IF(ABS($N50)&lt;=5%,"PASS",IF(ABS($N50)&lt;=10%,"REVIEW","UNSTABLE")))</x:f>
        <x:v>PASS</x:v>
      </x:c>
    </x:row>
    <x:row r="51">
      <x:c r="A51" s="25" t="str">
        <x:v>LP</x:v>
      </x:c>
      <x:c r="B51" s="32" t="n">
        <x:v>21</x:v>
      </x:c>
      <x:c r="C51" s="35" t="n">
        <x:v>0.1</x:v>
      </x:c>
      <x:c r="D51" s="35" t="n">
        <x:v>0.99</x:v>
      </x:c>
      <x:c r="E51" s="38" t="n">
        <x:v>0.75</x:v>
      </x:c>
      <x:c r="F51" s="41" t="n">
        <x:v>0.01</x:v>
      </x:c>
      <x:c r="G51" s="32" t="n">
        <x:v>138</x:v>
      </x:c>
      <x:c r="H51" s="32" t="n">
        <x:v>118</x:v>
      </x:c>
      <x:c r="I51" s="32" t="n">
        <x:v>103</x:v>
      </x:c>
      <x:c r="J51" s="26" t="str">
        <x:v>VALID</x:v>
      </x:c>
      <x:c r="K51" s="35" t="n">
        <x:v>86.64802452741225</x:v>
      </x:c>
      <x:c r="L51" s="35" t="n">
        <x:v>86.6480245274117</x:v>
      </x:c>
      <x:c r="M51" s="35" t="n">
        <x:f>IF($J51="VALID",$K51-$L51,"")</x:f>
        <x:v>5.400124791776761e-13</x:v>
      </x:c>
      <x:c r="N51" s="44" t="n">
        <x:f>IF($J51="VALID",$M51/$L51,"")</x:f>
        <x:v>6.2322537890848215e-15</x:v>
      </x:c>
      <x:c r="O51" s="35" t="n">
        <x:v>0.0450000000000001</x:v>
      </x:c>
      <x:c r="P51" s="35" t="n">
        <x:v>0.1450000000000002</x:v>
      </x:c>
      <x:c r="Q51" s="35" t="n">
        <x:v>1.1528649445035768</x:v>
      </x:c>
      <x:c r="R51" s="47" t="n">
        <x:v>0.9999942895690928</x:v>
      </x:c>
      <x:c r="S51" s="50" t="n">
        <x:v>6.791409370813255e-11</x:v>
      </x:c>
      <x:c r="T51" s="50" t="n">
        <x:v>9.656613603731478e-10</x:v>
      </x:c>
      <x:c r="U51" s="26" t="str">
        <x:v>NO</x:v>
      </x:c>
      <x:c r="V51" s="53" t="str">
        <x:v>Selected minimum local SS</x:v>
      </x:c>
      <x:c r="W51" s="27" t="str">
        <x:f>IF($J51&lt;&gt;"VALID","N/A",IF(ABS($N51)&lt;=5%,"PASS",IF(ABS($N51)&lt;=10%,"REVIEW","UNSTABLE")))</x:f>
        <x:v>PASS</x:v>
      </x:c>
    </x:row>
    <x:row r="52">
      <x:c r="A52" s="25" t="str">
        <x:v>LP</x:v>
      </x:c>
      <x:c r="B52" s="32" t="n">
        <x:v>21</x:v>
      </x:c>
      <x:c r="C52" s="35" t="n">
        <x:v>0.1</x:v>
      </x:c>
      <x:c r="D52" s="35" t="n">
        <x:v>0.99</x:v>
      </x:c>
      <x:c r="E52" s="38" t="n">
        <x:v>1</x:v>
      </x:c>
      <x:c r="F52" s="41" t="n">
        <x:v>0.01</x:v>
      </x:c>
      <x:c r="G52" s="32" t="n">
        <x:v>138</x:v>
      </x:c>
      <x:c r="H52" s="32" t="n">
        <x:v>118</x:v>
      </x:c>
      <x:c r="I52" s="32" t="n">
        <x:v>87</x:v>
      </x:c>
      <x:c r="J52" s="26" t="str">
        <x:v>VALID</x:v>
      </x:c>
      <x:c r="K52" s="35" t="n">
        <x:v>86.64802452741225</x:v>
      </x:c>
      <x:c r="L52" s="35" t="n">
        <x:v>86.6480245274117</x:v>
      </x:c>
      <x:c r="M52" s="35" t="n">
        <x:f>IF($J52="VALID",$K52-$L52,"")</x:f>
        <x:v>5.400124791776761e-13</x:v>
      </x:c>
      <x:c r="N52" s="44" t="n">
        <x:f>IF($J52="VALID",$M52/$L52,"")</x:f>
        <x:v>6.2322537890848215e-15</x:v>
      </x:c>
      <x:c r="O52" s="35" t="n">
        <x:v>0.0450000000000001</x:v>
      </x:c>
      <x:c r="P52" s="35" t="n">
        <x:v>0.1450000000000002</x:v>
      </x:c>
      <x:c r="Q52" s="35" t="n">
        <x:v>1.1528649445035768</x:v>
      </x:c>
      <x:c r="R52" s="47" t="n">
        <x:v>0.9999942895690928</x:v>
      </x:c>
      <x:c r="S52" s="50" t="n">
        <x:v>6.791409370813255e-11</x:v>
      </x:c>
      <x:c r="T52" s="50" t="n">
        <x:v>9.656613603731478e-10</x:v>
      </x:c>
      <x:c r="U52" s="26" t="str">
        <x:v>NO</x:v>
      </x:c>
      <x:c r="V52" s="53" t="str">
        <x:v>Selected minimum local SS</x:v>
      </x:c>
      <x:c r="W52" s="27" t="str">
        <x:f>IF($J52&lt;&gt;"VALID","N/A",IF(ABS($N52)&lt;=5%,"PASS",IF(ABS($N52)&lt;=10%,"REVIEW","UNSTABLE")))</x:f>
        <x:v>PASS</x:v>
      </x:c>
    </x:row>
    <x:row r="53">
      <x:c r="A53" s="25" t="str">
        <x:v>LP</x:v>
      </x:c>
      <x:c r="B53" s="32" t="n">
        <x:v>21</x:v>
      </x:c>
      <x:c r="C53" s="35" t="n">
        <x:v>0.1</x:v>
      </x:c>
      <x:c r="D53" s="35" t="n">
        <x:v>0.995</x:v>
      </x:c>
      <x:c r="E53" s="38" t="n">
        <x:v>0.5</x:v>
      </x:c>
      <x:c r="F53" s="41" t="n">
        <x:v>0.01</x:v>
      </x:c>
      <x:c r="G53" s="32" t="n">
        <x:v>138</x:v>
      </x:c>
      <x:c r="H53" s="32" t="n">
        <x:v>118</x:v>
      </x:c>
      <x:c r="I53" s="32" t="n">
        <x:v>99</x:v>
      </x:c>
      <x:c r="J53" s="26" t="str">
        <x:v>VALID</x:v>
      </x:c>
      <x:c r="K53" s="35" t="n">
        <x:v>86.64802452741225</x:v>
      </x:c>
      <x:c r="L53" s="35" t="n">
        <x:v>86.6480245274117</x:v>
      </x:c>
      <x:c r="M53" s="35" t="n">
        <x:f>IF($J53="VALID",$K53-$L53,"")</x:f>
        <x:v>5.400124791776761e-13</x:v>
      </x:c>
      <x:c r="N53" s="44" t="n">
        <x:f>IF($J53="VALID",$M53/$L53,"")</x:f>
        <x:v>6.2322537890848215e-15</x:v>
      </x:c>
      <x:c r="O53" s="35" t="n">
        <x:v>0.0450000000000001</x:v>
      </x:c>
      <x:c r="P53" s="35" t="n">
        <x:v>0.1450000000000002</x:v>
      </x:c>
      <x:c r="Q53" s="35" t="n">
        <x:v>1.1528649445035768</x:v>
      </x:c>
      <x:c r="R53" s="47" t="n">
        <x:v>0.9999942895690928</x:v>
      </x:c>
      <x:c r="S53" s="50" t="n">
        <x:v>6.791409370813255e-11</x:v>
      </x:c>
      <x:c r="T53" s="50" t="n">
        <x:v>9.656613603731478e-10</x:v>
      </x:c>
      <x:c r="U53" s="26" t="str">
        <x:v>NO</x:v>
      </x:c>
      <x:c r="V53" s="53" t="str">
        <x:v>Selected minimum local SS</x:v>
      </x:c>
      <x:c r="W53" s="27" t="str">
        <x:f>IF($J53&lt;&gt;"VALID","N/A",IF(ABS($N53)&lt;=5%,"PASS",IF(ABS($N53)&lt;=10%,"REVIEW","UNSTABLE")))</x:f>
        <x:v>PASS</x:v>
      </x:c>
    </x:row>
    <x:row r="54">
      <x:c r="A54" s="25" t="str">
        <x:v>LP</x:v>
      </x:c>
      <x:c r="B54" s="32" t="n">
        <x:v>21</x:v>
      </x:c>
      <x:c r="C54" s="35" t="n">
        <x:v>0.1</x:v>
      </x:c>
      <x:c r="D54" s="35" t="n">
        <x:v>0.995</x:v>
      </x:c>
      <x:c r="E54" s="38" t="n">
        <x:v>0.75</x:v>
      </x:c>
      <x:c r="F54" s="41" t="n">
        <x:v>0.01</x:v>
      </x:c>
      <x:c r="G54" s="32" t="n">
        <x:v>138</x:v>
      </x:c>
      <x:c r="H54" s="32" t="n">
        <x:v>118</x:v>
      </x:c>
      <x:c r="I54" s="32" t="n">
        <x:v>99</x:v>
      </x:c>
      <x:c r="J54" s="26" t="str">
        <x:v>VALID</x:v>
      </x:c>
      <x:c r="K54" s="35" t="n">
        <x:v>86.64802452741225</x:v>
      </x:c>
      <x:c r="L54" s="35" t="n">
        <x:v>86.6480245274117</x:v>
      </x:c>
      <x:c r="M54" s="35" t="n">
        <x:f>IF($J54="VALID",$K54-$L54,"")</x:f>
        <x:v>5.400124791776761e-13</x:v>
      </x:c>
      <x:c r="N54" s="44" t="n">
        <x:f>IF($J54="VALID",$M54/$L54,"")</x:f>
        <x:v>6.2322537890848215e-15</x:v>
      </x:c>
      <x:c r="O54" s="35" t="n">
        <x:v>0.0450000000000001</x:v>
      </x:c>
      <x:c r="P54" s="35" t="n">
        <x:v>0.1450000000000002</x:v>
      </x:c>
      <x:c r="Q54" s="35" t="n">
        <x:v>1.1528649445035768</x:v>
      </x:c>
      <x:c r="R54" s="47" t="n">
        <x:v>0.9999942895690928</x:v>
      </x:c>
      <x:c r="S54" s="50" t="n">
        <x:v>6.791409370813255e-11</x:v>
      </x:c>
      <x:c r="T54" s="50" t="n">
        <x:v>9.656613603731478e-10</x:v>
      </x:c>
      <x:c r="U54" s="26" t="str">
        <x:v>NO</x:v>
      </x:c>
      <x:c r="V54" s="53" t="str">
        <x:v>Selected minimum local SS</x:v>
      </x:c>
      <x:c r="W54" s="27" t="str">
        <x:f>IF($J54&lt;&gt;"VALID","N/A",IF(ABS($N54)&lt;=5%,"PASS",IF(ABS($N54)&lt;=10%,"REVIEW","UNSTABLE")))</x:f>
        <x:v>PASS</x:v>
      </x:c>
    </x:row>
    <x:row r="55">
      <x:c r="A55" s="25" t="str">
        <x:v>LP</x:v>
      </x:c>
      <x:c r="B55" s="32" t="n">
        <x:v>21</x:v>
      </x:c>
      <x:c r="C55" s="35" t="n">
        <x:v>0.1</x:v>
      </x:c>
      <x:c r="D55" s="35" t="n">
        <x:v>0.995</x:v>
      </x:c>
      <x:c r="E55" s="38" t="n">
        <x:v>1</x:v>
      </x:c>
      <x:c r="F55" s="41" t="n">
        <x:v>0.01</x:v>
      </x:c>
      <x:c r="G55" s="32" t="n">
        <x:v>138</x:v>
      </x:c>
      <x:c r="H55" s="32" t="n">
        <x:v>118</x:v>
      </x:c>
      <x:c r="I55" s="32" t="n">
        <x:v>87</x:v>
      </x:c>
      <x:c r="J55" s="26" t="str">
        <x:v>VALID</x:v>
      </x:c>
      <x:c r="K55" s="35" t="n">
        <x:v>86.64802452741225</x:v>
      </x:c>
      <x:c r="L55" s="35" t="n">
        <x:v>86.6480245274117</x:v>
      </x:c>
      <x:c r="M55" s="35" t="n">
        <x:f>IF($J55="VALID",$K55-$L55,"")</x:f>
        <x:v>5.400124791776761e-13</x:v>
      </x:c>
      <x:c r="N55" s="44" t="n">
        <x:f>IF($J55="VALID",$M55/$L55,"")</x:f>
        <x:v>6.2322537890848215e-15</x:v>
      </x:c>
      <x:c r="O55" s="35" t="n">
        <x:v>0.0450000000000001</x:v>
      </x:c>
      <x:c r="P55" s="35" t="n">
        <x:v>0.1450000000000002</x:v>
      </x:c>
      <x:c r="Q55" s="35" t="n">
        <x:v>1.1528649445035768</x:v>
      </x:c>
      <x:c r="R55" s="47" t="n">
        <x:v>0.9999942895690928</x:v>
      </x:c>
      <x:c r="S55" s="50" t="n">
        <x:v>6.791409370813255e-11</x:v>
      </x:c>
      <x:c r="T55" s="50" t="n">
        <x:v>9.656613603731478e-10</x:v>
      </x:c>
      <x:c r="U55" s="26" t="str">
        <x:v>NO</x:v>
      </x:c>
      <x:c r="V55" s="53" t="str">
        <x:v>Selected minimum local SS</x:v>
      </x:c>
      <x:c r="W55" s="27" t="str">
        <x:f>IF($J55&lt;&gt;"VALID","N/A",IF(ABS($N55)&lt;=5%,"PASS",IF(ABS($N55)&lt;=10%,"REVIEW","UNSTABLE")))</x:f>
        <x:v>PASS</x:v>
      </x:c>
    </x:row>
    <x:row r="56">
      <x:c r="A56" s="25" t="str">
        <x:v>LP</x:v>
      </x:c>
      <x:c r="B56" s="32" t="n">
        <x:v>21</x:v>
      </x:c>
      <x:c r="C56" s="35" t="n">
        <x:v>0.1</x:v>
      </x:c>
      <x:c r="D56" s="35" t="n">
        <x:v>0.999</x:v>
      </x:c>
      <x:c r="E56" s="38" t="n">
        <x:v>0.5</x:v>
      </x:c>
      <x:c r="F56" s="41" t="n">
        <x:v>0.01</x:v>
      </x:c>
      <x:c r="G56" s="32" t="n">
        <x:v>138</x:v>
      </x:c>
      <x:c r="H56" s="32" t="n">
        <x:v>118</x:v>
      </x:c>
      <x:c r="I56" s="32" t="n">
        <x:v>92</x:v>
      </x:c>
      <x:c r="J56" s="26" t="str">
        <x:v>VALID</x:v>
      </x:c>
      <x:c r="K56" s="35" t="n">
        <x:v>86.64802452741225</x:v>
      </x:c>
      <x:c r="L56" s="35" t="n">
        <x:v>86.6480245274117</x:v>
      </x:c>
      <x:c r="M56" s="35" t="n">
        <x:f>IF($J56="VALID",$K56-$L56,"")</x:f>
        <x:v>5.400124791776761e-13</x:v>
      </x:c>
      <x:c r="N56" s="44" t="n">
        <x:f>IF($J56="VALID",$M56/$L56,"")</x:f>
        <x:v>6.2322537890848215e-15</x:v>
      </x:c>
      <x:c r="O56" s="35" t="n">
        <x:v>0.0450000000000001</x:v>
      </x:c>
      <x:c r="P56" s="35" t="n">
        <x:v>0.1450000000000002</x:v>
      </x:c>
      <x:c r="Q56" s="35" t="n">
        <x:v>1.1528649445035768</x:v>
      </x:c>
      <x:c r="R56" s="47" t="n">
        <x:v>0.9999942895690928</x:v>
      </x:c>
      <x:c r="S56" s="50" t="n">
        <x:v>6.791409370813255e-11</x:v>
      </x:c>
      <x:c r="T56" s="50" t="n">
        <x:v>9.656613603731478e-10</x:v>
      </x:c>
      <x:c r="U56" s="26" t="str">
        <x:v>NO</x:v>
      </x:c>
      <x:c r="V56" s="53" t="str">
        <x:v>Selected minimum local SS</x:v>
      </x:c>
      <x:c r="W56" s="27" t="str">
        <x:f>IF($J56&lt;&gt;"VALID","N/A",IF(ABS($N56)&lt;=5%,"PASS",IF(ABS($N56)&lt;=10%,"REVIEW","UNSTABLE")))</x:f>
        <x:v>PASS</x:v>
      </x:c>
    </x:row>
    <x:row r="57">
      <x:c r="A57" s="25" t="str">
        <x:v>LP</x:v>
      </x:c>
      <x:c r="B57" s="32" t="n">
        <x:v>21</x:v>
      </x:c>
      <x:c r="C57" s="35" t="n">
        <x:v>0.1</x:v>
      </x:c>
      <x:c r="D57" s="35" t="n">
        <x:v>0.999</x:v>
      </x:c>
      <x:c r="E57" s="38" t="n">
        <x:v>0.75</x:v>
      </x:c>
      <x:c r="F57" s="41" t="n">
        <x:v>0.01</x:v>
      </x:c>
      <x:c r="G57" s="32" t="n">
        <x:v>138</x:v>
      </x:c>
      <x:c r="H57" s="32" t="n">
        <x:v>118</x:v>
      </x:c>
      <x:c r="I57" s="32" t="n">
        <x:v>92</x:v>
      </x:c>
      <x:c r="J57" s="26" t="str">
        <x:v>VALID</x:v>
      </x:c>
      <x:c r="K57" s="35" t="n">
        <x:v>86.64802452741225</x:v>
      </x:c>
      <x:c r="L57" s="35" t="n">
        <x:v>86.6480245274117</x:v>
      </x:c>
      <x:c r="M57" s="35" t="n">
        <x:f>IF($J57="VALID",$K57-$L57,"")</x:f>
        <x:v>5.400124791776761e-13</x:v>
      </x:c>
      <x:c r="N57" s="44" t="n">
        <x:f>IF($J57="VALID",$M57/$L57,"")</x:f>
        <x:v>6.2322537890848215e-15</x:v>
      </x:c>
      <x:c r="O57" s="35" t="n">
        <x:v>0.0450000000000001</x:v>
      </x:c>
      <x:c r="P57" s="35" t="n">
        <x:v>0.1450000000000002</x:v>
      </x:c>
      <x:c r="Q57" s="35" t="n">
        <x:v>1.1528649445035768</x:v>
      </x:c>
      <x:c r="R57" s="47" t="n">
        <x:v>0.9999942895690928</x:v>
      </x:c>
      <x:c r="S57" s="50" t="n">
        <x:v>6.791409370813255e-11</x:v>
      </x:c>
      <x:c r="T57" s="50" t="n">
        <x:v>9.656613603731478e-10</x:v>
      </x:c>
      <x:c r="U57" s="26" t="str">
        <x:v>NO</x:v>
      </x:c>
      <x:c r="V57" s="53" t="str">
        <x:v>Selected minimum local SS</x:v>
      </x:c>
      <x:c r="W57" s="27" t="str">
        <x:f>IF($J57&lt;&gt;"VALID","N/A",IF(ABS($N57)&lt;=5%,"PASS",IF(ABS($N57)&lt;=10%,"REVIEW","UNSTABLE")))</x:f>
        <x:v>PASS</x:v>
      </x:c>
    </x:row>
    <x:row r="58">
      <x:c r="A58" s="25" t="str">
        <x:v>LP</x:v>
      </x:c>
      <x:c r="B58" s="32" t="n">
        <x:v>21</x:v>
      </x:c>
      <x:c r="C58" s="35" t="n">
        <x:v>0.1</x:v>
      </x:c>
      <x:c r="D58" s="35" t="n">
        <x:v>0.999</x:v>
      </x:c>
      <x:c r="E58" s="38" t="n">
        <x:v>1</x:v>
      </x:c>
      <x:c r="F58" s="41" t="n">
        <x:v>0.01</x:v>
      </x:c>
      <x:c r="G58" s="32" t="n">
        <x:v>138</x:v>
      </x:c>
      <x:c r="H58" s="32" t="n">
        <x:v>118</x:v>
      </x:c>
      <x:c r="I58" s="32" t="n">
        <x:v>84</x:v>
      </x:c>
      <x:c r="J58" s="26" t="str">
        <x:v>VALID</x:v>
      </x:c>
      <x:c r="K58" s="35" t="n">
        <x:v>86.64802452741225</x:v>
      </x:c>
      <x:c r="L58" s="35" t="n">
        <x:v>86.6480245274117</x:v>
      </x:c>
      <x:c r="M58" s="35" t="n">
        <x:f>IF($J58="VALID",$K58-$L58,"")</x:f>
        <x:v>5.400124791776761e-13</x:v>
      </x:c>
      <x:c r="N58" s="44" t="n">
        <x:f>IF($J58="VALID",$M58/$L58,"")</x:f>
        <x:v>6.2322537890848215e-15</x:v>
      </x:c>
      <x:c r="O58" s="35" t="n">
        <x:v>0.0450000000000001</x:v>
      </x:c>
      <x:c r="P58" s="35" t="n">
        <x:v>0.1450000000000002</x:v>
      </x:c>
      <x:c r="Q58" s="35" t="n">
        <x:v>1.1528649445035768</x:v>
      </x:c>
      <x:c r="R58" s="47" t="n">
        <x:v>0.9999942895690928</x:v>
      </x:c>
      <x:c r="S58" s="50" t="n">
        <x:v>6.791409370813255e-11</x:v>
      </x:c>
      <x:c r="T58" s="50" t="n">
        <x:v>9.656613603731478e-10</x:v>
      </x:c>
      <x:c r="U58" s="26" t="str">
        <x:v>NO</x:v>
      </x:c>
      <x:c r="V58" s="53" t="str">
        <x:v>Selected minimum local SS</x:v>
      </x:c>
      <x:c r="W58" s="27" t="str">
        <x:f>IF($J58&lt;&gt;"VALID","N/A",IF(ABS($N58)&lt;=5%,"PASS",IF(ABS($N58)&lt;=10%,"REVIEW","UNSTABLE")))</x:f>
        <x:v>PASS</x:v>
      </x:c>
    </x:row>
    <x:row r="59">
      <x:c r="A59" s="25" t="str">
        <x:v>LP</x:v>
      </x:c>
      <x:c r="B59" s="32" t="n">
        <x:v>31</x:v>
      </x:c>
      <x:c r="C59" s="35" t="n">
        <x:v>0.15</x:v>
      </x:c>
      <x:c r="D59" s="35" t="n">
        <x:v>0.99</x:v>
      </x:c>
      <x:c r="E59" s="38" t="n">
        <x:v>0.5</x:v>
      </x:c>
      <x:c r="F59" s="41" t="n">
        <x:v>0.01</x:v>
      </x:c>
      <x:c r="G59" s="32" t="n">
        <x:v>138</x:v>
      </x:c>
      <x:c r="H59" s="32" t="n">
        <x:v>108</x:v>
      </x:c>
      <x:c r="I59" s="32" t="n">
        <x:v>93</x:v>
      </x:c>
      <x:c r="J59" s="26" t="str">
        <x:v>VALID</x:v>
      </x:c>
      <x:c r="K59" s="35" t="n">
        <x:v>86.79524521950086</x:v>
      </x:c>
      <x:c r="L59" s="35" t="n">
        <x:v>86.6480245274117</x:v>
      </x:c>
      <x:c r="M59" s="35" t="n">
        <x:f>IF($J59="VALID",$K59-$L59,"")</x:f>
        <x:v>0.14722069208914945</x:v>
      </x:c>
      <x:c r="N59" s="44" t="n">
        <x:f>IF($J59="VALID",$M59/$L59,"")</x:f>
        <x:v>0.001699065765112454</x:v>
      </x:c>
      <x:c r="O59" s="35" t="n">
        <x:v>0.0350000000000001</x:v>
      </x:c>
      <x:c r="P59" s="35" t="n">
        <x:v>0.1850000000000002</x:v>
      </x:c>
      <x:c r="Q59" s="35" t="n">
        <x:v>1.7258542715674032</x:v>
      </x:c>
      <x:c r="R59" s="47" t="n">
        <x:v>0.9999967076921688</x:v>
      </x:c>
      <x:c r="S59" s="50" t="n">
        <x:v>5.2252985954002747e-11</x:v>
      </x:c>
      <x:c r="T59" s="50" t="n">
        <x:v>2.77949171892227e-9</x:v>
      </x:c>
      <x:c r="U59" s="26" t="str">
        <x:v>NO</x:v>
      </x:c>
      <x:c r="V59" s="53" t="str">
        <x:v>Selected minimum local SS</x:v>
      </x:c>
      <x:c r="W59" s="27" t="str">
        <x:f>IF($J59&lt;&gt;"VALID","N/A",IF(ABS($N59)&lt;=5%,"PASS",IF(ABS($N59)&lt;=10%,"REVIEW","UNSTABLE")))</x:f>
        <x:v>PASS</x:v>
      </x:c>
    </x:row>
    <x:row r="60">
      <x:c r="A60" s="25" t="str">
        <x:v>LP</x:v>
      </x:c>
      <x:c r="B60" s="32" t="n">
        <x:v>31</x:v>
      </x:c>
      <x:c r="C60" s="35" t="n">
        <x:v>0.15</x:v>
      </x:c>
      <x:c r="D60" s="35" t="n">
        <x:v>0.99</x:v>
      </x:c>
      <x:c r="E60" s="38" t="n">
        <x:v>0.75</x:v>
      </x:c>
      <x:c r="F60" s="41" t="n">
        <x:v>0.01</x:v>
      </x:c>
      <x:c r="G60" s="32" t="n">
        <x:v>138</x:v>
      </x:c>
      <x:c r="H60" s="32" t="n">
        <x:v>108</x:v>
      </x:c>
      <x:c r="I60" s="32" t="n">
        <x:v>93</x:v>
      </x:c>
      <x:c r="J60" s="26" t="str">
        <x:v>VALID</x:v>
      </x:c>
      <x:c r="K60" s="35" t="n">
        <x:v>86.79524521950086</x:v>
      </x:c>
      <x:c r="L60" s="35" t="n">
        <x:v>86.6480245274117</x:v>
      </x:c>
      <x:c r="M60" s="35" t="n">
        <x:f>IF($J60="VALID",$K60-$L60,"")</x:f>
        <x:v>0.14722069208914945</x:v>
      </x:c>
      <x:c r="N60" s="44" t="n">
        <x:f>IF($J60="VALID",$M60/$L60,"")</x:f>
        <x:v>0.001699065765112454</x:v>
      </x:c>
      <x:c r="O60" s="35" t="n">
        <x:v>0.0350000000000001</x:v>
      </x:c>
      <x:c r="P60" s="35" t="n">
        <x:v>0.1850000000000002</x:v>
      </x:c>
      <x:c r="Q60" s="35" t="n">
        <x:v>1.7258542715674032</x:v>
      </x:c>
      <x:c r="R60" s="47" t="n">
        <x:v>0.9999967076921688</x:v>
      </x:c>
      <x:c r="S60" s="50" t="n">
        <x:v>5.2252985954002747e-11</x:v>
      </x:c>
      <x:c r="T60" s="50" t="n">
        <x:v>2.77949171892227e-9</x:v>
      </x:c>
      <x:c r="U60" s="26" t="str">
        <x:v>NO</x:v>
      </x:c>
      <x:c r="V60" s="53" t="str">
        <x:v>Selected minimum local SS</x:v>
      </x:c>
      <x:c r="W60" s="27" t="str">
        <x:f>IF($J60&lt;&gt;"VALID","N/A",IF(ABS($N60)&lt;=5%,"PASS",IF(ABS($N60)&lt;=10%,"REVIEW","UNSTABLE")))</x:f>
        <x:v>PASS</x:v>
      </x:c>
    </x:row>
    <x:row r="61">
      <x:c r="A61" s="25" t="str">
        <x:v>LP</x:v>
      </x:c>
      <x:c r="B61" s="32" t="n">
        <x:v>31</x:v>
      </x:c>
      <x:c r="C61" s="35" t="n">
        <x:v>0.15</x:v>
      </x:c>
      <x:c r="D61" s="35" t="n">
        <x:v>0.99</x:v>
      </x:c>
      <x:c r="E61" s="38" t="n">
        <x:v>1</x:v>
      </x:c>
      <x:c r="F61" s="41" t="n">
        <x:v>0.01</x:v>
      </x:c>
      <x:c r="G61" s="32" t="n">
        <x:v>138</x:v>
      </x:c>
      <x:c r="H61" s="32" t="n">
        <x:v>108</x:v>
      </x:c>
      <x:c r="I61" s="32" t="n">
        <x:v>93</x:v>
      </x:c>
      <x:c r="J61" s="26" t="str">
        <x:v>VALID</x:v>
      </x:c>
      <x:c r="K61" s="35" t="n">
        <x:v>86.79524521950086</x:v>
      </x:c>
      <x:c r="L61" s="35" t="n">
        <x:v>86.6480245274117</x:v>
      </x:c>
      <x:c r="M61" s="35" t="n">
        <x:f>IF($J61="VALID",$K61-$L61,"")</x:f>
        <x:v>0.14722069208914945</x:v>
      </x:c>
      <x:c r="N61" s="44" t="n">
        <x:f>IF($J61="VALID",$M61/$L61,"")</x:f>
        <x:v>0.001699065765112454</x:v>
      </x:c>
      <x:c r="O61" s="35" t="n">
        <x:v>0.0350000000000001</x:v>
      </x:c>
      <x:c r="P61" s="35" t="n">
        <x:v>0.1850000000000002</x:v>
      </x:c>
      <x:c r="Q61" s="35" t="n">
        <x:v>1.7258542715674032</x:v>
      </x:c>
      <x:c r="R61" s="47" t="n">
        <x:v>0.9999967076921688</x:v>
      </x:c>
      <x:c r="S61" s="50" t="n">
        <x:v>5.2252985954002747e-11</x:v>
      </x:c>
      <x:c r="T61" s="50" t="n">
        <x:v>2.77949171892227e-9</x:v>
      </x:c>
      <x:c r="U61" s="26" t="str">
        <x:v>NO</x:v>
      </x:c>
      <x:c r="V61" s="53" t="str">
        <x:v>Selected minimum local SS</x:v>
      </x:c>
      <x:c r="W61" s="27" t="str">
        <x:f>IF($J61&lt;&gt;"VALID","N/A",IF(ABS($N61)&lt;=5%,"PASS",IF(ABS($N61)&lt;=10%,"REVIEW","UNSTABLE")))</x:f>
        <x:v>PASS</x:v>
      </x:c>
    </x:row>
    <x:row r="62">
      <x:c r="A62" s="25" t="str">
        <x:v>LP</x:v>
      </x:c>
      <x:c r="B62" s="32" t="n">
        <x:v>31</x:v>
      </x:c>
      <x:c r="C62" s="35" t="n">
        <x:v>0.15</x:v>
      </x:c>
      <x:c r="D62" s="35" t="n">
        <x:v>0.995</x:v>
      </x:c>
      <x:c r="E62" s="38" t="n">
        <x:v>0.5</x:v>
      </x:c>
      <x:c r="F62" s="41" t="n">
        <x:v>0.01</x:v>
      </x:c>
      <x:c r="G62" s="32" t="n">
        <x:v>138</x:v>
      </x:c>
      <x:c r="H62" s="32" t="n">
        <x:v>108</x:v>
      </x:c>
      <x:c r="I62" s="32" t="n">
        <x:v>90</x:v>
      </x:c>
      <x:c r="J62" s="26" t="str">
        <x:v>VALID</x:v>
      </x:c>
      <x:c r="K62" s="35" t="n">
        <x:v>86.79524521950086</x:v>
      </x:c>
      <x:c r="L62" s="35" t="n">
        <x:v>86.6480245274117</x:v>
      </x:c>
      <x:c r="M62" s="35" t="n">
        <x:f>IF($J62="VALID",$K62-$L62,"")</x:f>
        <x:v>0.14722069208914945</x:v>
      </x:c>
      <x:c r="N62" s="44" t="n">
        <x:f>IF($J62="VALID",$M62/$L62,"")</x:f>
        <x:v>0.001699065765112454</x:v>
      </x:c>
      <x:c r="O62" s="35" t="n">
        <x:v>0.0350000000000001</x:v>
      </x:c>
      <x:c r="P62" s="35" t="n">
        <x:v>0.1850000000000002</x:v>
      </x:c>
      <x:c r="Q62" s="35" t="n">
        <x:v>1.7258542715674032</x:v>
      </x:c>
      <x:c r="R62" s="47" t="n">
        <x:v>0.9999967076921688</x:v>
      </x:c>
      <x:c r="S62" s="50" t="n">
        <x:v>5.2252985954002747e-11</x:v>
      </x:c>
      <x:c r="T62" s="50" t="n">
        <x:v>2.77949171892227e-9</x:v>
      </x:c>
      <x:c r="U62" s="26" t="str">
        <x:v>NO</x:v>
      </x:c>
      <x:c r="V62" s="53" t="str">
        <x:v>Selected minimum local SS</x:v>
      </x:c>
      <x:c r="W62" s="27" t="str">
        <x:f>IF($J62&lt;&gt;"VALID","N/A",IF(ABS($N62)&lt;=5%,"PASS",IF(ABS($N62)&lt;=10%,"REVIEW","UNSTABLE")))</x:f>
        <x:v>PASS</x:v>
      </x:c>
    </x:row>
    <x:row r="63">
      <x:c r="A63" s="25" t="str">
        <x:v>LP</x:v>
      </x:c>
      <x:c r="B63" s="32" t="n">
        <x:v>31</x:v>
      </x:c>
      <x:c r="C63" s="35" t="n">
        <x:v>0.15</x:v>
      </x:c>
      <x:c r="D63" s="35" t="n">
        <x:v>0.995</x:v>
      </x:c>
      <x:c r="E63" s="38" t="n">
        <x:v>0.75</x:v>
      </x:c>
      <x:c r="F63" s="41" t="n">
        <x:v>0.01</x:v>
      </x:c>
      <x:c r="G63" s="32" t="n">
        <x:v>138</x:v>
      </x:c>
      <x:c r="H63" s="32" t="n">
        <x:v>108</x:v>
      </x:c>
      <x:c r="I63" s="32" t="n">
        <x:v>90</x:v>
      </x:c>
      <x:c r="J63" s="26" t="str">
        <x:v>VALID</x:v>
      </x:c>
      <x:c r="K63" s="35" t="n">
        <x:v>86.79524521950086</x:v>
      </x:c>
      <x:c r="L63" s="35" t="n">
        <x:v>86.6480245274117</x:v>
      </x:c>
      <x:c r="M63" s="35" t="n">
        <x:f>IF($J63="VALID",$K63-$L63,"")</x:f>
        <x:v>0.14722069208914945</x:v>
      </x:c>
      <x:c r="N63" s="44" t="n">
        <x:f>IF($J63="VALID",$M63/$L63,"")</x:f>
        <x:v>0.001699065765112454</x:v>
      </x:c>
      <x:c r="O63" s="35" t="n">
        <x:v>0.0350000000000001</x:v>
      </x:c>
      <x:c r="P63" s="35" t="n">
        <x:v>0.1850000000000002</x:v>
      </x:c>
      <x:c r="Q63" s="35" t="n">
        <x:v>1.7258542715674032</x:v>
      </x:c>
      <x:c r="R63" s="47" t="n">
        <x:v>0.9999967076921688</x:v>
      </x:c>
      <x:c r="S63" s="50" t="n">
        <x:v>5.2252985954002747e-11</x:v>
      </x:c>
      <x:c r="T63" s="50" t="n">
        <x:v>2.77949171892227e-9</x:v>
      </x:c>
      <x:c r="U63" s="26" t="str">
        <x:v>NO</x:v>
      </x:c>
      <x:c r="V63" s="53" t="str">
        <x:v>Selected minimum local SS</x:v>
      </x:c>
      <x:c r="W63" s="27" t="str">
        <x:f>IF($J63&lt;&gt;"VALID","N/A",IF(ABS($N63)&lt;=5%,"PASS",IF(ABS($N63)&lt;=10%,"REVIEW","UNSTABLE")))</x:f>
        <x:v>PASS</x:v>
      </x:c>
    </x:row>
    <x:row r="64">
      <x:c r="A64" s="25" t="str">
        <x:v>LP</x:v>
      </x:c>
      <x:c r="B64" s="32" t="n">
        <x:v>31</x:v>
      </x:c>
      <x:c r="C64" s="35" t="n">
        <x:v>0.15</x:v>
      </x:c>
      <x:c r="D64" s="35" t="n">
        <x:v>0.995</x:v>
      </x:c>
      <x:c r="E64" s="38" t="n">
        <x:v>1</x:v>
      </x:c>
      <x:c r="F64" s="41" t="n">
        <x:v>0.01</x:v>
      </x:c>
      <x:c r="G64" s="32" t="n">
        <x:v>138</x:v>
      </x:c>
      <x:c r="H64" s="32" t="n">
        <x:v>108</x:v>
      </x:c>
      <x:c r="I64" s="32" t="n">
        <x:v>90</x:v>
      </x:c>
      <x:c r="J64" s="26" t="str">
        <x:v>VALID</x:v>
      </x:c>
      <x:c r="K64" s="35" t="n">
        <x:v>86.79524521950086</x:v>
      </x:c>
      <x:c r="L64" s="35" t="n">
        <x:v>86.6480245274117</x:v>
      </x:c>
      <x:c r="M64" s="35" t="n">
        <x:f>IF($J64="VALID",$K64-$L64,"")</x:f>
        <x:v>0.14722069208914945</x:v>
      </x:c>
      <x:c r="N64" s="44" t="n">
        <x:f>IF($J64="VALID",$M64/$L64,"")</x:f>
        <x:v>0.001699065765112454</x:v>
      </x:c>
      <x:c r="O64" s="35" t="n">
        <x:v>0.0350000000000001</x:v>
      </x:c>
      <x:c r="P64" s="35" t="n">
        <x:v>0.1850000000000002</x:v>
      </x:c>
      <x:c r="Q64" s="35" t="n">
        <x:v>1.7258542715674032</x:v>
      </x:c>
      <x:c r="R64" s="47" t="n">
        <x:v>0.9999967076921688</x:v>
      </x:c>
      <x:c r="S64" s="50" t="n">
        <x:v>5.2252985954002747e-11</x:v>
      </x:c>
      <x:c r="T64" s="50" t="n">
        <x:v>2.77949171892227e-9</x:v>
      </x:c>
      <x:c r="U64" s="26" t="str">
        <x:v>NO</x:v>
      </x:c>
      <x:c r="V64" s="53" t="str">
        <x:v>Selected minimum local SS</x:v>
      </x:c>
      <x:c r="W64" s="27" t="str">
        <x:f>IF($J64&lt;&gt;"VALID","N/A",IF(ABS($N64)&lt;=5%,"PASS",IF(ABS($N64)&lt;=10%,"REVIEW","UNSTABLE")))</x:f>
        <x:v>PASS</x:v>
      </x:c>
    </x:row>
    <x:row r="65">
      <x:c r="A65" s="25" t="str">
        <x:v>LP</x:v>
      </x:c>
      <x:c r="B65" s="32" t="n">
        <x:v>31</x:v>
      </x:c>
      <x:c r="C65" s="35" t="n">
        <x:v>0.15</x:v>
      </x:c>
      <x:c r="D65" s="35" t="n">
        <x:v>0.999</x:v>
      </x:c>
      <x:c r="E65" s="38" t="n">
        <x:v>0.5</x:v>
      </x:c>
      <x:c r="F65" s="41" t="n">
        <x:v>0.01</x:v>
      </x:c>
      <x:c r="G65" s="32" t="n">
        <x:v>138</x:v>
      </x:c>
      <x:c r="H65" s="32" t="n">
        <x:v>108</x:v>
      </x:c>
      <x:c r="I65" s="32" t="n">
        <x:v>82</x:v>
      </x:c>
      <x:c r="J65" s="26" t="str">
        <x:v>VALID</x:v>
      </x:c>
      <x:c r="K65" s="35" t="n">
        <x:v>86.79524521950086</x:v>
      </x:c>
      <x:c r="L65" s="35" t="n">
        <x:v>86.6480245274117</x:v>
      </x:c>
      <x:c r="M65" s="35" t="n">
        <x:f>IF($J65="VALID",$K65-$L65,"")</x:f>
        <x:v>0.14722069208914945</x:v>
      </x:c>
      <x:c r="N65" s="44" t="n">
        <x:f>IF($J65="VALID",$M65/$L65,"")</x:f>
        <x:v>0.001699065765112454</x:v>
      </x:c>
      <x:c r="O65" s="35" t="n">
        <x:v>0.0350000000000001</x:v>
      </x:c>
      <x:c r="P65" s="35" t="n">
        <x:v>0.1850000000000002</x:v>
      </x:c>
      <x:c r="Q65" s="35" t="n">
        <x:v>1.7258542715674032</x:v>
      </x:c>
      <x:c r="R65" s="47" t="n">
        <x:v>0.9999967076921688</x:v>
      </x:c>
      <x:c r="S65" s="50" t="n">
        <x:v>5.2252985954002747e-11</x:v>
      </x:c>
      <x:c r="T65" s="50" t="n">
        <x:v>2.77949171892227e-9</x:v>
      </x:c>
      <x:c r="U65" s="26" t="str">
        <x:v>NO</x:v>
      </x:c>
      <x:c r="V65" s="53" t="str">
        <x:v>Selected minimum local SS</x:v>
      </x:c>
      <x:c r="W65" s="27" t="str">
        <x:f>IF($J65&lt;&gt;"VALID","N/A",IF(ABS($N65)&lt;=5%,"PASS",IF(ABS($N65)&lt;=10%,"REVIEW","UNSTABLE")))</x:f>
        <x:v>PASS</x:v>
      </x:c>
    </x:row>
    <x:row r="66">
      <x:c r="A66" s="25" t="str">
        <x:v>LP</x:v>
      </x:c>
      <x:c r="B66" s="32" t="n">
        <x:v>31</x:v>
      </x:c>
      <x:c r="C66" s="35" t="n">
        <x:v>0.15</x:v>
      </x:c>
      <x:c r="D66" s="35" t="n">
        <x:v>0.999</x:v>
      </x:c>
      <x:c r="E66" s="38" t="n">
        <x:v>0.75</x:v>
      </x:c>
      <x:c r="F66" s="41" t="n">
        <x:v>0.01</x:v>
      </x:c>
      <x:c r="G66" s="32" t="n">
        <x:v>138</x:v>
      </x:c>
      <x:c r="H66" s="32" t="n">
        <x:v>108</x:v>
      </x:c>
      <x:c r="I66" s="32" t="n">
        <x:v>82</x:v>
      </x:c>
      <x:c r="J66" s="26" t="str">
        <x:v>VALID</x:v>
      </x:c>
      <x:c r="K66" s="35" t="n">
        <x:v>86.79524521950086</x:v>
      </x:c>
      <x:c r="L66" s="35" t="n">
        <x:v>86.6480245274117</x:v>
      </x:c>
      <x:c r="M66" s="35" t="n">
        <x:f>IF($J66="VALID",$K66-$L66,"")</x:f>
        <x:v>0.14722069208914945</x:v>
      </x:c>
      <x:c r="N66" s="44" t="n">
        <x:f>IF($J66="VALID",$M66/$L66,"")</x:f>
        <x:v>0.001699065765112454</x:v>
      </x:c>
      <x:c r="O66" s="35" t="n">
        <x:v>0.0350000000000001</x:v>
      </x:c>
      <x:c r="P66" s="35" t="n">
        <x:v>0.1850000000000002</x:v>
      </x:c>
      <x:c r="Q66" s="35" t="n">
        <x:v>1.7258542715674032</x:v>
      </x:c>
      <x:c r="R66" s="47" t="n">
        <x:v>0.9999967076921688</x:v>
      </x:c>
      <x:c r="S66" s="50" t="n">
        <x:v>5.2252985954002747e-11</x:v>
      </x:c>
      <x:c r="T66" s="50" t="n">
        <x:v>2.77949171892227e-9</x:v>
      </x:c>
      <x:c r="U66" s="26" t="str">
        <x:v>NO</x:v>
      </x:c>
      <x:c r="V66" s="53" t="str">
        <x:v>Selected minimum local SS</x:v>
      </x:c>
      <x:c r="W66" s="27" t="str">
        <x:f>IF($J66&lt;&gt;"VALID","N/A",IF(ABS($N66)&lt;=5%,"PASS",IF(ABS($N66)&lt;=10%,"REVIEW","UNSTABLE")))</x:f>
        <x:v>PASS</x:v>
      </x:c>
    </x:row>
    <x:row r="67">
      <x:c r="A67" s="25" t="str">
        <x:v>LP</x:v>
      </x:c>
      <x:c r="B67" s="32" t="n">
        <x:v>31</x:v>
      </x:c>
      <x:c r="C67" s="35" t="n">
        <x:v>0.15</x:v>
      </x:c>
      <x:c r="D67" s="35" t="n">
        <x:v>0.999</x:v>
      </x:c>
      <x:c r="E67" s="38" t="n">
        <x:v>1</x:v>
      </x:c>
      <x:c r="F67" s="41" t="n">
        <x:v>0.01</x:v>
      </x:c>
      <x:c r="G67" s="32" t="n">
        <x:v>138</x:v>
      </x:c>
      <x:c r="H67" s="32" t="n">
        <x:v>108</x:v>
      </x:c>
      <x:c r="I67" s="32" t="n">
        <x:v>82</x:v>
      </x:c>
      <x:c r="J67" s="26" t="str">
        <x:v>VALID</x:v>
      </x:c>
      <x:c r="K67" s="35" t="n">
        <x:v>86.79524521950086</x:v>
      </x:c>
      <x:c r="L67" s="35" t="n">
        <x:v>86.6480245274117</x:v>
      </x:c>
      <x:c r="M67" s="35" t="n">
        <x:f>IF($J67="VALID",$K67-$L67,"")</x:f>
        <x:v>0.14722069208914945</x:v>
      </x:c>
      <x:c r="N67" s="44" t="n">
        <x:f>IF($J67="VALID",$M67/$L67,"")</x:f>
        <x:v>0.001699065765112454</x:v>
      </x:c>
      <x:c r="O67" s="35" t="n">
        <x:v>0.0350000000000001</x:v>
      </x:c>
      <x:c r="P67" s="35" t="n">
        <x:v>0.1850000000000002</x:v>
      </x:c>
      <x:c r="Q67" s="35" t="n">
        <x:v>1.7258542715674032</x:v>
      </x:c>
      <x:c r="R67" s="47" t="n">
        <x:v>0.9999967076921688</x:v>
      </x:c>
      <x:c r="S67" s="50" t="n">
        <x:v>5.2252985954002747e-11</x:v>
      </x:c>
      <x:c r="T67" s="50" t="n">
        <x:v>2.77949171892227e-9</x:v>
      </x:c>
      <x:c r="U67" s="26" t="str">
        <x:v>NO</x:v>
      </x:c>
      <x:c r="V67" s="53" t="str">
        <x:v>Selected minimum local SS</x:v>
      </x:c>
      <x:c r="W67" s="27" t="str">
        <x:f>IF($J67&lt;&gt;"VALID","N/A",IF(ABS($N67)&lt;=5%,"PASS",IF(ABS($N67)&lt;=10%,"REVIEW","UNSTABLE")))</x:f>
        <x:v>PASS</x:v>
      </x:c>
    </x:row>
    <x:row r="68">
      <x:c r="A68" s="25" t="str">
        <x:v>LP</x:v>
      </x:c>
      <x:c r="B68" s="32" t="n">
        <x:v>41</x:v>
      </x:c>
      <x:c r="C68" s="35" t="n">
        <x:v>0.2</x:v>
      </x:c>
      <x:c r="D68" s="35" t="n">
        <x:v>0.99</x:v>
      </x:c>
      <x:c r="E68" s="38" t="n">
        <x:v>0.5</x:v>
      </x:c>
      <x:c r="F68" s="41" t="n">
        <x:v>0.01</x:v>
      </x:c>
      <x:c r="G68" s="32" t="n">
        <x:v>138</x:v>
      </x:c>
      <x:c r="H68" s="32" t="n">
        <x:v>98</x:v>
      </x:c>
      <x:c r="I68" s="32" t="n">
        <x:v>85</x:v>
      </x:c>
      <x:c r="J68" s="26" t="str">
        <x:v>VALID</x:v>
      </x:c>
      <x:c r="K68" s="35" t="n">
        <x:v>86.94876327076652</x:v>
      </x:c>
      <x:c r="L68" s="35" t="n">
        <x:v>86.6480245274117</x:v>
      </x:c>
      <x:c r="M68" s="35" t="n">
        <x:f>IF($J68="VALID",$K68-$L68,"")</x:f>
        <x:v>0.3007387433548132</x:v>
      </x:c>
      <x:c r="N68" s="44" t="n">
        <x:f>IF($J68="VALID",$M68/$L68,"")</x:f>
        <x:v>0.0034708089999175044</x:v>
      </x:c>
      <x:c r="O68" s="35" t="n">
        <x:v>0.0200000000000001</x:v>
      </x:c>
      <x:c r="P68" s="35" t="n">
        <x:v>0.2200000000000002</x:v>
      </x:c>
      <x:c r="Q68" s="35" t="n">
        <x:v>2.2949323692049575</x:v>
      </x:c>
      <x:c r="R68" s="47" t="n">
        <x:v>0.9999958590068565</x:v>
      </x:c>
      <x:c r="S68" s="50" t="n">
        <x:v>3.535429495798751e-11</x:v>
      </x:c>
      <x:c r="T68" s="50" t="n">
        <x:v>6.972275672665353e-9</x:v>
      </x:c>
      <x:c r="U68" s="26" t="str">
        <x:v>NO</x:v>
      </x:c>
      <x:c r="V68" s="53" t="str">
        <x:v>Selected minimum local SS</x:v>
      </x:c>
      <x:c r="W68" s="27" t="str">
        <x:f>IF($J68&lt;&gt;"VALID","N/A",IF(ABS($N68)&lt;=5%,"PASS",IF(ABS($N68)&lt;=10%,"REVIEW","UNSTABLE")))</x:f>
        <x:v>PASS</x:v>
      </x:c>
    </x:row>
    <x:row r="69">
      <x:c r="A69" s="25" t="str">
        <x:v>LP</x:v>
      </x:c>
      <x:c r="B69" s="32" t="n">
        <x:v>41</x:v>
      </x:c>
      <x:c r="C69" s="35" t="n">
        <x:v>0.2</x:v>
      </x:c>
      <x:c r="D69" s="35" t="n">
        <x:v>0.99</x:v>
      </x:c>
      <x:c r="E69" s="38" t="n">
        <x:v>0.75</x:v>
      </x:c>
      <x:c r="F69" s="41" t="n">
        <x:v>0.01</x:v>
      </x:c>
      <x:c r="G69" s="32" t="n">
        <x:v>138</x:v>
      </x:c>
      <x:c r="H69" s="32" t="n">
        <x:v>98</x:v>
      </x:c>
      <x:c r="I69" s="32" t="n">
        <x:v>85</x:v>
      </x:c>
      <x:c r="J69" s="26" t="str">
        <x:v>VALID</x:v>
      </x:c>
      <x:c r="K69" s="35" t="n">
        <x:v>86.94876327076652</x:v>
      </x:c>
      <x:c r="L69" s="35" t="n">
        <x:v>86.6480245274117</x:v>
      </x:c>
      <x:c r="M69" s="35" t="n">
        <x:f>IF($J69="VALID",$K69-$L69,"")</x:f>
        <x:v>0.3007387433548132</x:v>
      </x:c>
      <x:c r="N69" s="44" t="n">
        <x:f>IF($J69="VALID",$M69/$L69,"")</x:f>
        <x:v>0.0034708089999175044</x:v>
      </x:c>
      <x:c r="O69" s="35" t="n">
        <x:v>0.0200000000000001</x:v>
      </x:c>
      <x:c r="P69" s="35" t="n">
        <x:v>0.2200000000000002</x:v>
      </x:c>
      <x:c r="Q69" s="35" t="n">
        <x:v>2.2949323692049575</x:v>
      </x:c>
      <x:c r="R69" s="47" t="n">
        <x:v>0.9999958590068565</x:v>
      </x:c>
      <x:c r="S69" s="50" t="n">
        <x:v>3.535429495798751e-11</x:v>
      </x:c>
      <x:c r="T69" s="50" t="n">
        <x:v>6.972275672665353e-9</x:v>
      </x:c>
      <x:c r="U69" s="26" t="str">
        <x:v>NO</x:v>
      </x:c>
      <x:c r="V69" s="53" t="str">
        <x:v>Selected minimum local SS</x:v>
      </x:c>
      <x:c r="W69" s="27" t="str">
        <x:f>IF($J69&lt;&gt;"VALID","N/A",IF(ABS($N69)&lt;=5%,"PASS",IF(ABS($N69)&lt;=10%,"REVIEW","UNSTABLE")))</x:f>
        <x:v>PASS</x:v>
      </x:c>
    </x:row>
    <x:row r="70">
      <x:c r="A70" s="25" t="str">
        <x:v>LP</x:v>
      </x:c>
      <x:c r="B70" s="32" t="n">
        <x:v>41</x:v>
      </x:c>
      <x:c r="C70" s="35" t="n">
        <x:v>0.2</x:v>
      </x:c>
      <x:c r="D70" s="35" t="n">
        <x:v>0.99</x:v>
      </x:c>
      <x:c r="E70" s="38" t="n">
        <x:v>1</x:v>
      </x:c>
      <x:c r="F70" s="41" t="n">
        <x:v>0.01</x:v>
      </x:c>
      <x:c r="G70" s="32" t="n">
        <x:v>138</x:v>
      </x:c>
      <x:c r="H70" s="32" t="n">
        <x:v>98</x:v>
      </x:c>
      <x:c r="I70" s="32" t="n">
        <x:v>85</x:v>
      </x:c>
      <x:c r="J70" s="26" t="str">
        <x:v>VALID</x:v>
      </x:c>
      <x:c r="K70" s="35" t="n">
        <x:v>86.94876327076652</x:v>
      </x:c>
      <x:c r="L70" s="35" t="n">
        <x:v>86.6480245274117</x:v>
      </x:c>
      <x:c r="M70" s="35" t="n">
        <x:f>IF($J70="VALID",$K70-$L70,"")</x:f>
        <x:v>0.3007387433548132</x:v>
      </x:c>
      <x:c r="N70" s="44" t="n">
        <x:f>IF($J70="VALID",$M70/$L70,"")</x:f>
        <x:v>0.0034708089999175044</x:v>
      </x:c>
      <x:c r="O70" s="35" t="n">
        <x:v>0.0200000000000001</x:v>
      </x:c>
      <x:c r="P70" s="35" t="n">
        <x:v>0.2200000000000002</x:v>
      </x:c>
      <x:c r="Q70" s="35" t="n">
        <x:v>2.2949323692049575</x:v>
      </x:c>
      <x:c r="R70" s="47" t="n">
        <x:v>0.9999958590068565</x:v>
      </x:c>
      <x:c r="S70" s="50" t="n">
        <x:v>3.535429495798751e-11</x:v>
      </x:c>
      <x:c r="T70" s="50" t="n">
        <x:v>6.972275672665353e-9</x:v>
      </x:c>
      <x:c r="U70" s="26" t="str">
        <x:v>NO</x:v>
      </x:c>
      <x:c r="V70" s="53" t="str">
        <x:v>Selected minimum local SS</x:v>
      </x:c>
      <x:c r="W70" s="27" t="str">
        <x:f>IF($J70&lt;&gt;"VALID","N/A",IF(ABS($N70)&lt;=5%,"PASS",IF(ABS($N70)&lt;=10%,"REVIEW","UNSTABLE")))</x:f>
        <x:v>PASS</x:v>
      </x:c>
    </x:row>
    <x:row r="71">
      <x:c r="A71" s="25" t="str">
        <x:v>LP</x:v>
      </x:c>
      <x:c r="B71" s="32" t="n">
        <x:v>41</x:v>
      </x:c>
      <x:c r="C71" s="35" t="n">
        <x:v>0.2</x:v>
      </x:c>
      <x:c r="D71" s="35" t="n">
        <x:v>0.995</x:v>
      </x:c>
      <x:c r="E71" s="38" t="n">
        <x:v>0.5</x:v>
      </x:c>
      <x:c r="F71" s="41" t="n">
        <x:v>0.01</x:v>
      </x:c>
      <x:c r="G71" s="32" t="n">
        <x:v>138</x:v>
      </x:c>
      <x:c r="H71" s="32" t="n">
        <x:v>98</x:v>
      </x:c>
      <x:c r="I71" s="32" t="n">
        <x:v>81</x:v>
      </x:c>
      <x:c r="J71" s="26" t="str">
        <x:v>VALID</x:v>
      </x:c>
      <x:c r="K71" s="35" t="n">
        <x:v>86.94876327076652</x:v>
      </x:c>
      <x:c r="L71" s="35" t="n">
        <x:v>86.6480245274117</x:v>
      </x:c>
      <x:c r="M71" s="35" t="n">
        <x:f>IF($J71="VALID",$K71-$L71,"")</x:f>
        <x:v>0.3007387433548132</x:v>
      </x:c>
      <x:c r="N71" s="44" t="n">
        <x:f>IF($J71="VALID",$M71/$L71,"")</x:f>
        <x:v>0.0034708089999175044</x:v>
      </x:c>
      <x:c r="O71" s="35" t="n">
        <x:v>0.0200000000000001</x:v>
      </x:c>
      <x:c r="P71" s="35" t="n">
        <x:v>0.2200000000000002</x:v>
      </x:c>
      <x:c r="Q71" s="35" t="n">
        <x:v>2.2949323692049575</x:v>
      </x:c>
      <x:c r="R71" s="47" t="n">
        <x:v>0.9999958590068565</x:v>
      </x:c>
      <x:c r="S71" s="50" t="n">
        <x:v>3.535429495798751e-11</x:v>
      </x:c>
      <x:c r="T71" s="50" t="n">
        <x:v>6.972275672665353e-9</x:v>
      </x:c>
      <x:c r="U71" s="26" t="str">
        <x:v>NO</x:v>
      </x:c>
      <x:c r="V71" s="53" t="str">
        <x:v>Selected minimum local SS</x:v>
      </x:c>
      <x:c r="W71" s="27" t="str">
        <x:f>IF($J71&lt;&gt;"VALID","N/A",IF(ABS($N71)&lt;=5%,"PASS",IF(ABS($N71)&lt;=10%,"REVIEW","UNSTABLE")))</x:f>
        <x:v>PASS</x:v>
      </x:c>
    </x:row>
    <x:row r="72">
      <x:c r="A72" s="25" t="str">
        <x:v>LP</x:v>
      </x:c>
      <x:c r="B72" s="32" t="n">
        <x:v>41</x:v>
      </x:c>
      <x:c r="C72" s="35" t="n">
        <x:v>0.2</x:v>
      </x:c>
      <x:c r="D72" s="35" t="n">
        <x:v>0.995</x:v>
      </x:c>
      <x:c r="E72" s="38" t="n">
        <x:v>0.75</x:v>
      </x:c>
      <x:c r="F72" s="41" t="n">
        <x:v>0.01</x:v>
      </x:c>
      <x:c r="G72" s="32" t="n">
        <x:v>138</x:v>
      </x:c>
      <x:c r="H72" s="32" t="n">
        <x:v>98</x:v>
      </x:c>
      <x:c r="I72" s="32" t="n">
        <x:v>81</x:v>
      </x:c>
      <x:c r="J72" s="26" t="str">
        <x:v>VALID</x:v>
      </x:c>
      <x:c r="K72" s="35" t="n">
        <x:v>86.94876327076652</x:v>
      </x:c>
      <x:c r="L72" s="35" t="n">
        <x:v>86.6480245274117</x:v>
      </x:c>
      <x:c r="M72" s="35" t="n">
        <x:f>IF($J72="VALID",$K72-$L72,"")</x:f>
        <x:v>0.3007387433548132</x:v>
      </x:c>
      <x:c r="N72" s="44" t="n">
        <x:f>IF($J72="VALID",$M72/$L72,"")</x:f>
        <x:v>0.0034708089999175044</x:v>
      </x:c>
      <x:c r="O72" s="35" t="n">
        <x:v>0.0200000000000001</x:v>
      </x:c>
      <x:c r="P72" s="35" t="n">
        <x:v>0.2200000000000002</x:v>
      </x:c>
      <x:c r="Q72" s="35" t="n">
        <x:v>2.2949323692049575</x:v>
      </x:c>
      <x:c r="R72" s="47" t="n">
        <x:v>0.9999958590068565</x:v>
      </x:c>
      <x:c r="S72" s="50" t="n">
        <x:v>3.535429495798751e-11</x:v>
      </x:c>
      <x:c r="T72" s="50" t="n">
        <x:v>6.972275672665353e-9</x:v>
      </x:c>
      <x:c r="U72" s="26" t="str">
        <x:v>NO</x:v>
      </x:c>
      <x:c r="V72" s="53" t="str">
        <x:v>Selected minimum local SS</x:v>
      </x:c>
      <x:c r="W72" s="27" t="str">
        <x:f>IF($J72&lt;&gt;"VALID","N/A",IF(ABS($N72)&lt;=5%,"PASS",IF(ABS($N72)&lt;=10%,"REVIEW","UNSTABLE")))</x:f>
        <x:v>PASS</x:v>
      </x:c>
    </x:row>
    <x:row r="73">
      <x:c r="A73" s="25" t="str">
        <x:v>LP</x:v>
      </x:c>
      <x:c r="B73" s="32" t="n">
        <x:v>41</x:v>
      </x:c>
      <x:c r="C73" s="35" t="n">
        <x:v>0.2</x:v>
      </x:c>
      <x:c r="D73" s="35" t="n">
        <x:v>0.995</x:v>
      </x:c>
      <x:c r="E73" s="38" t="n">
        <x:v>1</x:v>
      </x:c>
      <x:c r="F73" s="41" t="n">
        <x:v>0.01</x:v>
      </x:c>
      <x:c r="G73" s="32" t="n">
        <x:v>138</x:v>
      </x:c>
      <x:c r="H73" s="32" t="n">
        <x:v>98</x:v>
      </x:c>
      <x:c r="I73" s="32" t="n">
        <x:v>81</x:v>
      </x:c>
      <x:c r="J73" s="26" t="str">
        <x:v>VALID</x:v>
      </x:c>
      <x:c r="K73" s="35" t="n">
        <x:v>86.94876327076652</x:v>
      </x:c>
      <x:c r="L73" s="35" t="n">
        <x:v>86.6480245274117</x:v>
      </x:c>
      <x:c r="M73" s="35" t="n">
        <x:f>IF($J73="VALID",$K73-$L73,"")</x:f>
        <x:v>0.3007387433548132</x:v>
      </x:c>
      <x:c r="N73" s="44" t="n">
        <x:f>IF($J73="VALID",$M73/$L73,"")</x:f>
        <x:v>0.0034708089999175044</x:v>
      </x:c>
      <x:c r="O73" s="35" t="n">
        <x:v>0.0200000000000001</x:v>
      </x:c>
      <x:c r="P73" s="35" t="n">
        <x:v>0.2200000000000002</x:v>
      </x:c>
      <x:c r="Q73" s="35" t="n">
        <x:v>2.2949323692049575</x:v>
      </x:c>
      <x:c r="R73" s="47" t="n">
        <x:v>0.9999958590068565</x:v>
      </x:c>
      <x:c r="S73" s="50" t="n">
        <x:v>3.535429495798751e-11</x:v>
      </x:c>
      <x:c r="T73" s="50" t="n">
        <x:v>6.972275672665353e-9</x:v>
      </x:c>
      <x:c r="U73" s="26" t="str">
        <x:v>NO</x:v>
      </x:c>
      <x:c r="V73" s="53" t="str">
        <x:v>Selected minimum local SS</x:v>
      </x:c>
      <x:c r="W73" s="27" t="str">
        <x:f>IF($J73&lt;&gt;"VALID","N/A",IF(ABS($N73)&lt;=5%,"PASS",IF(ABS($N73)&lt;=10%,"REVIEW","UNSTABLE")))</x:f>
        <x:v>PASS</x:v>
      </x:c>
    </x:row>
    <x:row r="74">
      <x:c r="A74" s="25" t="str">
        <x:v>LP</x:v>
      </x:c>
      <x:c r="B74" s="32" t="n">
        <x:v>41</x:v>
      </x:c>
      <x:c r="C74" s="35" t="n">
        <x:v>0.2</x:v>
      </x:c>
      <x:c r="D74" s="35" t="n">
        <x:v>0.999</x:v>
      </x:c>
      <x:c r="E74" s="38" t="n">
        <x:v>0.5</x:v>
      </x:c>
      <x:c r="F74" s="41" t="n">
        <x:v>0.01</x:v>
      </x:c>
      <x:c r="G74" s="32" t="n">
        <x:v>138</x:v>
      </x:c>
      <x:c r="H74" s="32" t="n">
        <x:v>98</x:v>
      </x:c>
      <x:c r="I74" s="32" t="n">
        <x:v>73</x:v>
      </x:c>
      <x:c r="J74" s="26" t="str">
        <x:v>VALID</x:v>
      </x:c>
      <x:c r="K74" s="35" t="n">
        <x:v>86.94876327076652</x:v>
      </x:c>
      <x:c r="L74" s="35" t="n">
        <x:v>86.6480245274117</x:v>
      </x:c>
      <x:c r="M74" s="35" t="n">
        <x:f>IF($J74="VALID",$K74-$L74,"")</x:f>
        <x:v>0.3007387433548132</x:v>
      </x:c>
      <x:c r="N74" s="44" t="n">
        <x:f>IF($J74="VALID",$M74/$L74,"")</x:f>
        <x:v>0.0034708089999175044</x:v>
      </x:c>
      <x:c r="O74" s="35" t="n">
        <x:v>0.0200000000000001</x:v>
      </x:c>
      <x:c r="P74" s="35" t="n">
        <x:v>0.2200000000000002</x:v>
      </x:c>
      <x:c r="Q74" s="35" t="n">
        <x:v>2.2949323692049575</x:v>
      </x:c>
      <x:c r="R74" s="47" t="n">
        <x:v>0.9999958590068565</x:v>
      </x:c>
      <x:c r="S74" s="50" t="n">
        <x:v>3.535429495798751e-11</x:v>
      </x:c>
      <x:c r="T74" s="50" t="n">
        <x:v>6.972275672665353e-9</x:v>
      </x:c>
      <x:c r="U74" s="26" t="str">
        <x:v>NO</x:v>
      </x:c>
      <x:c r="V74" s="53" t="str">
        <x:v>Selected minimum local SS</x:v>
      </x:c>
      <x:c r="W74" s="27" t="str">
        <x:f>IF($J74&lt;&gt;"VALID","N/A",IF(ABS($N74)&lt;=5%,"PASS",IF(ABS($N74)&lt;=10%,"REVIEW","UNSTABLE")))</x:f>
        <x:v>PASS</x:v>
      </x:c>
    </x:row>
    <x:row r="75">
      <x:c r="A75" s="25" t="str">
        <x:v>LP</x:v>
      </x:c>
      <x:c r="B75" s="32" t="n">
        <x:v>41</x:v>
      </x:c>
      <x:c r="C75" s="35" t="n">
        <x:v>0.2</x:v>
      </x:c>
      <x:c r="D75" s="35" t="n">
        <x:v>0.999</x:v>
      </x:c>
      <x:c r="E75" s="38" t="n">
        <x:v>0.75</x:v>
      </x:c>
      <x:c r="F75" s="41" t="n">
        <x:v>0.01</x:v>
      </x:c>
      <x:c r="G75" s="32" t="n">
        <x:v>138</x:v>
      </x:c>
      <x:c r="H75" s="32" t="n">
        <x:v>98</x:v>
      </x:c>
      <x:c r="I75" s="32" t="n">
        <x:v>73</x:v>
      </x:c>
      <x:c r="J75" s="26" t="str">
        <x:v>VALID</x:v>
      </x:c>
      <x:c r="K75" s="35" t="n">
        <x:v>86.94876327076652</x:v>
      </x:c>
      <x:c r="L75" s="35" t="n">
        <x:v>86.6480245274117</x:v>
      </x:c>
      <x:c r="M75" s="35" t="n">
        <x:f>IF($J75="VALID",$K75-$L75,"")</x:f>
        <x:v>0.3007387433548132</x:v>
      </x:c>
      <x:c r="N75" s="44" t="n">
        <x:f>IF($J75="VALID",$M75/$L75,"")</x:f>
        <x:v>0.0034708089999175044</x:v>
      </x:c>
      <x:c r="O75" s="35" t="n">
        <x:v>0.0200000000000001</x:v>
      </x:c>
      <x:c r="P75" s="35" t="n">
        <x:v>0.2200000000000002</x:v>
      </x:c>
      <x:c r="Q75" s="35" t="n">
        <x:v>2.2949323692049575</x:v>
      </x:c>
      <x:c r="R75" s="47" t="n">
        <x:v>0.9999958590068565</x:v>
      </x:c>
      <x:c r="S75" s="50" t="n">
        <x:v>3.535429495798751e-11</x:v>
      </x:c>
      <x:c r="T75" s="50" t="n">
        <x:v>6.972275672665353e-9</x:v>
      </x:c>
      <x:c r="U75" s="26" t="str">
        <x:v>NO</x:v>
      </x:c>
      <x:c r="V75" s="53" t="str">
        <x:v>Selected minimum local SS</x:v>
      </x:c>
      <x:c r="W75" s="27" t="str">
        <x:f>IF($J75&lt;&gt;"VALID","N/A",IF(ABS($N75)&lt;=5%,"PASS",IF(ABS($N75)&lt;=10%,"REVIEW","UNSTABLE")))</x:f>
        <x:v>PASS</x:v>
      </x:c>
    </x:row>
    <x:row r="76">
      <x:c r="A76" s="28" t="str">
        <x:v>LP</x:v>
      </x:c>
      <x:c r="B76" s="33" t="n">
        <x:v>41</x:v>
      </x:c>
      <x:c r="C76" s="36" t="n">
        <x:v>0.2</x:v>
      </x:c>
      <x:c r="D76" s="36" t="n">
        <x:v>0.999</x:v>
      </x:c>
      <x:c r="E76" s="39" t="n">
        <x:v>1</x:v>
      </x:c>
      <x:c r="F76" s="42" t="n">
        <x:v>0.01</x:v>
      </x:c>
      <x:c r="G76" s="33" t="n">
        <x:v>138</x:v>
      </x:c>
      <x:c r="H76" s="33" t="n">
        <x:v>98</x:v>
      </x:c>
      <x:c r="I76" s="33" t="n">
        <x:v>73</x:v>
      </x:c>
      <x:c r="J76" s="29" t="str">
        <x:v>VALID</x:v>
      </x:c>
      <x:c r="K76" s="36" t="n">
        <x:v>86.94876327076652</x:v>
      </x:c>
      <x:c r="L76" s="36" t="n">
        <x:v>86.6480245274117</x:v>
      </x:c>
      <x:c r="M76" s="36" t="n">
        <x:f>IF($J76="VALID",$K76-$L76,"")</x:f>
        <x:v>0.3007387433548132</x:v>
      </x:c>
      <x:c r="N76" s="45" t="n">
        <x:f>IF($J76="VALID",$M76/$L76,"")</x:f>
        <x:v>0.0034708089999175044</x:v>
      </x:c>
      <x:c r="O76" s="36" t="n">
        <x:v>0.0200000000000001</x:v>
      </x:c>
      <x:c r="P76" s="36" t="n">
        <x:v>0.2200000000000002</x:v>
      </x:c>
      <x:c r="Q76" s="36" t="n">
        <x:v>2.2949323692049575</x:v>
      </x:c>
      <x:c r="R76" s="48" t="n">
        <x:v>0.9999958590068565</x:v>
      </x:c>
      <x:c r="S76" s="51" t="n">
        <x:v>3.535429495798751e-11</x:v>
      </x:c>
      <x:c r="T76" s="51" t="n">
        <x:v>6.972275672665353e-9</x:v>
      </x:c>
      <x:c r="U76" s="29" t="str">
        <x:v>NO</x:v>
      </x:c>
      <x:c r="V76" s="54" t="str">
        <x:v>Selected minimum local SS</x:v>
      </x:c>
      <x:c r="W76" s="30" t="str">
        <x:f>IF($J76&lt;&gt;"VALID","N/A",IF(ABS($N76)&lt;=5%,"PASS",IF(ABS($N76)&lt;=10%,"REVIEW","UNSTABLE")))</x:f>
        <x:v>PASS</x:v>
      </x:c>
    </x:row>
  </x:sheetData>
  <x:mergeCells>
    <x:mergeCell ref="A1:W1"/>
    <x:mergeCell ref="A2:W2"/>
  </x:mergeCells>
  <x:conditionalFormatting sqref="J5:J76">
    <x:cfRule type="containsText" dxfId="0" priority="1" operator="containsText" text="VALID"/>
    <x:cfRule type="containsText" dxfId="1" priority="2" operator="containsText" text="PASS"/>
    <x:cfRule type="containsText" dxfId="2" priority="3" operator="containsText" text="WARNING"/>
    <x:cfRule type="containsText" dxfId="3" priority="4" operator="containsText" text="REVIEW"/>
    <x:cfRule type="containsText" dxfId="4" priority="5" operator="containsText" text="UNSTABLE"/>
    <x:cfRule type="containsText" dxfId="5" priority="6" operator="containsText" text="N/A"/>
  </x:conditionalFormatting>
  <x:conditionalFormatting sqref="W5:W76">
    <x:cfRule type="containsText" dxfId="6" priority="7" operator="containsText" text="VALID"/>
    <x:cfRule type="containsText" dxfId="7" priority="8" operator="containsText" text="PASS"/>
    <x:cfRule type="containsText" dxfId="8" priority="9" operator="containsText" text="WARNING"/>
    <x:cfRule type="containsText" dxfId="9" priority="10" operator="containsText" text="REVIEW"/>
    <x:cfRule type="containsText" dxfId="10" priority="11" operator="containsText" text="UNSTABLE"/>
    <x:cfRule type="containsText" dxfId="11" priority="12" operator="containsText" text="N/A"/>
  </x:conditionalFormatting>
  <x:conditionalFormatting sqref="U5:U76">
    <x:cfRule type="containsText" dxfId="12" priority="13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a5d67d8c46c143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1" hidden="0" customWidth="1"/>
    <x:col min="5" max="5" width="11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0" hidden="0" customWidth="1"/>
    <x:col min="11" max="11" width="11" hidden="0" customWidth="1"/>
    <x:col min="12" max="12" width="31" hidden="0" customWidth="1"/>
  </x:cols>
  <x:sheetData>
    <x:row r="1" ht="30" customHeight="1">
      <x:c r="A1" s="158" t="str">
        <x:v>PTM 45 nm HP-LP — Current-Ceiling Robustness Check</x:v>
      </x:c>
      <x:c r="B1" s="158"/>
      <x:c r="C1" s="158"/>
      <x:c r="D1" s="158"/>
      <x:c r="E1" s="158"/>
      <x:c r="F1" s="158"/>
      <x:c r="G1" s="158"/>
      <x:c r="H1" s="158"/>
      <x:c r="I1" s="158"/>
      <x:c r="J1" s="158"/>
      <x:c r="K1" s="158"/>
      <x:c r="L1" s="158"/>
    </x:row>
    <x:row r="2" ht="24" customHeight="1">
      <x:c r="A2" s="160" t="str">
        <x:v>The max(ID) ceiling is varied from 0.1% to 10% of Ion with the baseline 21-point / R² 0.995 / 0.75-decade fit settings.</x:v>
      </x:c>
      <x:c r="B2" s="160"/>
      <x:c r="C2" s="160"/>
      <x:c r="D2" s="160"/>
      <x:c r="E2" s="160"/>
      <x:c r="F2" s="160"/>
      <x:c r="G2" s="160"/>
      <x:c r="H2" s="160"/>
      <x:c r="I2" s="160"/>
      <x:c r="J2" s="160"/>
      <x:c r="K2" s="160"/>
      <x:c r="L2" s="160"/>
    </x:row>
    <x:row r="4" ht="34" customHeight="1">
      <x:c r="A4" s="165" t="str">
        <x:v>Device</x:v>
      </x:c>
      <x:c r="B4" s="165" t="str">
        <x:v>Max ID / Ion</x:v>
      </x:c>
      <x:c r="C4" s="165" t="str">
        <x:v>Eligible points</x:v>
      </x:c>
      <x:c r="D4" s="165" t="str">
        <x:v>Candidates</x:v>
      </x:c>
      <x:c r="E4" s="165" t="str">
        <x:v>Status</x:v>
      </x:c>
      <x:c r="F4" s="165" t="str">
        <x:v>SS (mV/dec)</x:v>
      </x:c>
      <x:c r="G4" s="165" t="str">
        <x:v>Baseline SS</x:v>
      </x:c>
      <x:c r="H4" s="165" t="str">
        <x:v>Delta</x:v>
      </x:c>
      <x:c r="I4" s="165" t="str">
        <x:v>VGS min</x:v>
      </x:c>
      <x:c r="J4" s="165" t="str">
        <x:v>VGS max</x:v>
      </x:c>
      <x:c r="K4" s="165" t="str">
        <x:v>Lower edge</x:v>
      </x:c>
      <x:c r="L4" s="165" t="str">
        <x:v>Interpretation</x:v>
      </x:c>
    </x:row>
    <x:row r="5">
      <x:c r="A5" s="166" t="str">
        <x:v>HP</x:v>
      </x:c>
      <x:c r="B5" s="172" t="n">
        <x:v>0.001</x:v>
      </x:c>
      <x:c r="C5" s="173" t="n">
        <x:v>73</x:v>
      </x:c>
      <x:c r="D5" s="173" t="n">
        <x:v>42</x:v>
      </x:c>
      <x:c r="E5" s="166" t="str">
        <x:v>VALID</x:v>
      </x:c>
      <x:c r="F5" s="174" t="n">
        <x:v>87.50593064481697</x:v>
      </x:c>
      <x:c r="G5" s="174" t="n">
        <x:v>87.50593064481782</x:v>
      </x:c>
      <x:c r="H5" s="175" t="n">
        <x:f>IF($E5="VALID",($F5-$G5)/$G5,"")</x:f>
        <x:v>-9.743925658856071e-15</x:v>
      </x:c>
      <x:c r="I5" s="174" t="n">
        <x:v>-0.0349999999999999</x:v>
      </x:c>
      <x:c r="J5" s="174" t="n">
        <x:v>0.065</x:v>
      </x:c>
      <x:c r="K5" s="166" t="str">
        <x:v>NO</x:v>
      </x:c>
      <x:c r="L5" s="166" t="str">
        <x:v>Selected SS and interval unchanged</x:v>
      </x:c>
    </x:row>
    <x:row r="6">
      <x:c r="A6" s="166" t="str">
        <x:v>HP</x:v>
      </x:c>
      <x:c r="B6" s="172" t="n">
        <x:v>0.003</x:v>
      </x:c>
      <x:c r="C6" s="173" t="n">
        <x:v>83</x:v>
      </x:c>
      <x:c r="D6" s="173" t="n">
        <x:v>52</x:v>
      </x:c>
      <x:c r="E6" s="166" t="str">
        <x:v>VALID</x:v>
      </x:c>
      <x:c r="F6" s="174" t="n">
        <x:v>87.50593064481697</x:v>
      </x:c>
      <x:c r="G6" s="174" t="n">
        <x:v>87.50593064481782</x:v>
      </x:c>
      <x:c r="H6" s="175" t="n">
        <x:f>IF($E6="VALID",($F6-$G6)/$G6,"")</x:f>
        <x:v>-9.743925658856071e-15</x:v>
      </x:c>
      <x:c r="I6" s="174" t="n">
        <x:v>-0.0349999999999999</x:v>
      </x:c>
      <x:c r="J6" s="174" t="n">
        <x:v>0.065</x:v>
      </x:c>
      <x:c r="K6" s="166" t="str">
        <x:v>NO</x:v>
      </x:c>
      <x:c r="L6" s="166" t="str">
        <x:v>Selected SS and interval unchanged</x:v>
      </x:c>
    </x:row>
    <x:row r="7">
      <x:c r="A7" s="166" t="str">
        <x:v>HP</x:v>
      </x:c>
      <x:c r="B7" s="172" t="n">
        <x:v>0.01</x:v>
      </x:c>
      <x:c r="C7" s="173" t="n">
        <x:v>94</x:v>
      </x:c>
      <x:c r="D7" s="173" t="n">
        <x:v>63</x:v>
      </x:c>
      <x:c r="E7" s="166" t="str">
        <x:v>VALID</x:v>
      </x:c>
      <x:c r="F7" s="174" t="n">
        <x:v>87.50593064481697</x:v>
      </x:c>
      <x:c r="G7" s="174" t="n">
        <x:v>87.50593064481782</x:v>
      </x:c>
      <x:c r="H7" s="175" t="n">
        <x:f>IF($E7="VALID",($F7-$G7)/$G7,"")</x:f>
        <x:v>-9.743925658856071e-15</x:v>
      </x:c>
      <x:c r="I7" s="174" t="n">
        <x:v>-0.0349999999999999</x:v>
      </x:c>
      <x:c r="J7" s="174" t="n">
        <x:v>0.065</x:v>
      </x:c>
      <x:c r="K7" s="166" t="str">
        <x:v>NO</x:v>
      </x:c>
      <x:c r="L7" s="166" t="str">
        <x:v>Selected SS and interval unchanged</x:v>
      </x:c>
    </x:row>
    <x:row r="8">
      <x:c r="A8" s="166" t="str">
        <x:v>HP</x:v>
      </x:c>
      <x:c r="B8" s="172" t="n">
        <x:v>0.03</x:v>
      </x:c>
      <x:c r="C8" s="173" t="n">
        <x:v>106</x:v>
      </x:c>
      <x:c r="D8" s="173" t="n">
        <x:v>75</x:v>
      </x:c>
      <x:c r="E8" s="166" t="str">
        <x:v>VALID</x:v>
      </x:c>
      <x:c r="F8" s="174" t="n">
        <x:v>87.50593064481697</x:v>
      </x:c>
      <x:c r="G8" s="174" t="n">
        <x:v>87.50593064481782</x:v>
      </x:c>
      <x:c r="H8" s="175" t="n">
        <x:f>IF($E8="VALID",($F8-$G8)/$G8,"")</x:f>
        <x:v>-9.743925658856071e-15</x:v>
      </x:c>
      <x:c r="I8" s="174" t="n">
        <x:v>-0.0349999999999999</x:v>
      </x:c>
      <x:c r="J8" s="174" t="n">
        <x:v>0.065</x:v>
      </x:c>
      <x:c r="K8" s="166" t="str">
        <x:v>NO</x:v>
      </x:c>
      <x:c r="L8" s="166" t="str">
        <x:v>Selected SS and interval unchanged</x:v>
      </x:c>
    </x:row>
    <x:row r="9">
      <x:c r="A9" s="166" t="str">
        <x:v>HP</x:v>
      </x:c>
      <x:c r="B9" s="172" t="n">
        <x:v>0.1</x:v>
      </x:c>
      <x:c r="C9" s="173" t="n">
        <x:v>123</x:v>
      </x:c>
      <x:c r="D9" s="173" t="n">
        <x:v>83</x:v>
      </x:c>
      <x:c r="E9" s="166" t="str">
        <x:v>VALID</x:v>
      </x:c>
      <x:c r="F9" s="174" t="n">
        <x:v>87.50593064481697</x:v>
      </x:c>
      <x:c r="G9" s="174" t="n">
        <x:v>87.50593064481782</x:v>
      </x:c>
      <x:c r="H9" s="175" t="n">
        <x:f>IF($E9="VALID",($F9-$G9)/$G9,"")</x:f>
        <x:v>-9.743925658856071e-15</x:v>
      </x:c>
      <x:c r="I9" s="174" t="n">
        <x:v>-0.0349999999999999</x:v>
      </x:c>
      <x:c r="J9" s="174" t="n">
        <x:v>0.065</x:v>
      </x:c>
      <x:c r="K9" s="166" t="str">
        <x:v>NO</x:v>
      </x:c>
      <x:c r="L9" s="166" t="str">
        <x:v>Selected SS and interval unchanged</x:v>
      </x:c>
    </x:row>
    <x:row r="10">
      <x:c r="A10" s="166" t="str">
        <x:v>LP</x:v>
      </x:c>
      <x:c r="B10" s="172" t="n">
        <x:v>0.001</x:v>
      </x:c>
      <x:c r="C10" s="173" t="n">
        <x:v>117</x:v>
      </x:c>
      <x:c r="D10" s="173" t="n">
        <x:v>78</x:v>
      </x:c>
      <x:c r="E10" s="166" t="str">
        <x:v>VALID</x:v>
      </x:c>
      <x:c r="F10" s="174" t="n">
        <x:v>86.64802452741225</x:v>
      </x:c>
      <x:c r="G10" s="174" t="n">
        <x:v>86.6480245274117</x:v>
      </x:c>
      <x:c r="H10" s="175" t="n">
        <x:f>IF($E10="VALID",($F10-$G10)/$G10,"")</x:f>
        <x:v>6.2322537890848215e-15</x:v>
      </x:c>
      <x:c r="I10" s="174" t="n">
        <x:v>0.0450000000000001</x:v>
      </x:c>
      <x:c r="J10" s="174" t="n">
        <x:v>0.1450000000000002</x:v>
      </x:c>
      <x:c r="K10" s="166" t="str">
        <x:v>NO</x:v>
      </x:c>
      <x:c r="L10" s="166" t="str">
        <x:v>Selected SS and interval unchanged</x:v>
      </x:c>
    </x:row>
    <x:row r="11">
      <x:c r="A11" s="166" t="str">
        <x:v>LP</x:v>
      </x:c>
      <x:c r="B11" s="172" t="n">
        <x:v>0.003</x:v>
      </x:c>
      <x:c r="C11" s="173" t="n">
        <x:v>126</x:v>
      </x:c>
      <x:c r="D11" s="173" t="n">
        <x:v>87</x:v>
      </x:c>
      <x:c r="E11" s="166" t="str">
        <x:v>VALID</x:v>
      </x:c>
      <x:c r="F11" s="174" t="n">
        <x:v>86.64802452741225</x:v>
      </x:c>
      <x:c r="G11" s="174" t="n">
        <x:v>86.6480245274117</x:v>
      </x:c>
      <x:c r="H11" s="175" t="n">
        <x:f>IF($E11="VALID",($F11-$G11)/$G11,"")</x:f>
        <x:v>6.2322537890848215e-15</x:v>
      </x:c>
      <x:c r="I11" s="174" t="n">
        <x:v>0.0450000000000001</x:v>
      </x:c>
      <x:c r="J11" s="174" t="n">
        <x:v>0.1450000000000002</x:v>
      </x:c>
      <x:c r="K11" s="166" t="str">
        <x:v>NO</x:v>
      </x:c>
      <x:c r="L11" s="166" t="str">
        <x:v>Selected SS and interval unchanged</x:v>
      </x:c>
    </x:row>
    <x:row r="12">
      <x:c r="A12" s="166" t="str">
        <x:v>LP</x:v>
      </x:c>
      <x:c r="B12" s="172" t="n">
        <x:v>0.01</x:v>
      </x:c>
      <x:c r="C12" s="173" t="n">
        <x:v>138</x:v>
      </x:c>
      <x:c r="D12" s="173" t="n">
        <x:v>99</x:v>
      </x:c>
      <x:c r="E12" s="166" t="str">
        <x:v>VALID</x:v>
      </x:c>
      <x:c r="F12" s="174" t="n">
        <x:v>86.64802452741225</x:v>
      </x:c>
      <x:c r="G12" s="174" t="n">
        <x:v>86.6480245274117</x:v>
      </x:c>
      <x:c r="H12" s="175" t="n">
        <x:f>IF($E12="VALID",($F12-$G12)/$G12,"")</x:f>
        <x:v>6.2322537890848215e-15</x:v>
      </x:c>
      <x:c r="I12" s="174" t="n">
        <x:v>0.0450000000000001</x:v>
      </x:c>
      <x:c r="J12" s="174" t="n">
        <x:v>0.1450000000000002</x:v>
      </x:c>
      <x:c r="K12" s="166" t="str">
        <x:v>NO</x:v>
      </x:c>
      <x:c r="L12" s="166" t="str">
        <x:v>Selected SS and interval unchanged</x:v>
      </x:c>
    </x:row>
    <x:row r="13">
      <x:c r="A13" s="166" t="str">
        <x:v>LP</x:v>
      </x:c>
      <x:c r="B13" s="172" t="n">
        <x:v>0.03</x:v>
      </x:c>
      <x:c r="C13" s="173" t="n">
        <x:v>149</x:v>
      </x:c>
      <x:c r="D13" s="173" t="n">
        <x:v>110</x:v>
      </x:c>
      <x:c r="E13" s="166" t="str">
        <x:v>VALID</x:v>
      </x:c>
      <x:c r="F13" s="174" t="n">
        <x:v>86.64802452741225</x:v>
      </x:c>
      <x:c r="G13" s="174" t="n">
        <x:v>86.6480245274117</x:v>
      </x:c>
      <x:c r="H13" s="175" t="n">
        <x:f>IF($E13="VALID",($F13-$G13)/$G13,"")</x:f>
        <x:v>6.2322537890848215e-15</x:v>
      </x:c>
      <x:c r="I13" s="174" t="n">
        <x:v>0.0450000000000001</x:v>
      </x:c>
      <x:c r="J13" s="174" t="n">
        <x:v>0.1450000000000002</x:v>
      </x:c>
      <x:c r="K13" s="166" t="str">
        <x:v>NO</x:v>
      </x:c>
      <x:c r="L13" s="166" t="str">
        <x:v>Selected SS and interval unchanged</x:v>
      </x:c>
    </x:row>
    <x:row r="14">
      <x:c r="A14" s="166" t="str">
        <x:v>LP</x:v>
      </x:c>
      <x:c r="B14" s="172" t="n">
        <x:v>0.1</x:v>
      </x:c>
      <x:c r="C14" s="173" t="n">
        <x:v>165</x:v>
      </x:c>
      <x:c r="D14" s="173" t="n">
        <x:v>121</x:v>
      </x:c>
      <x:c r="E14" s="166" t="str">
        <x:v>VALID</x:v>
      </x:c>
      <x:c r="F14" s="174" t="n">
        <x:v>86.64802452741225</x:v>
      </x:c>
      <x:c r="G14" s="174" t="n">
        <x:v>86.6480245274117</x:v>
      </x:c>
      <x:c r="H14" s="175" t="n">
        <x:f>IF($E14="VALID",($F14-$G14)/$G14,"")</x:f>
        <x:v>6.2322537890848215e-15</x:v>
      </x:c>
      <x:c r="I14" s="174" t="n">
        <x:v>0.0450000000000001</x:v>
      </x:c>
      <x:c r="J14" s="174" t="n">
        <x:v>0.1450000000000002</x:v>
      </x:c>
      <x:c r="K14" s="166" t="str">
        <x:v>NO</x:v>
      </x:c>
      <x:c r="L14" s="166" t="str">
        <x:v>Selected SS and interval unchanged</x:v>
      </x:c>
    </x:row>
    <x:row r="17" ht="22" customHeight="1">
      <x:c r="A17" s="168" t="str">
        <x:v>Conclusion</x:v>
      </x:c>
      <x:c r="B17" s="168"/>
      <x:c r="C17" s="168"/>
      <x:c r="D17" s="168"/>
      <x:c r="E17" s="168"/>
      <x:c r="F17" s="168"/>
      <x:c r="G17" s="168"/>
      <x:c r="H17" s="168"/>
      <x:c r="I17" s="168"/>
      <x:c r="J17" s="168"/>
      <x:c r="K17" s="168"/>
      <x:c r="L17" s="168"/>
    </x:row>
    <x:row r="18" ht="44" customHeight="1">
      <x:c r="A18" s="171" t="str">
        <x:v>The selected minimum local SS and VGS interval remain unchanged from 0.1% through 10% of Ion. Within this model, bias, and extraction grid, the 1% ceiling is non-binding and no selected interval touches the −0.2 V lower edge.</x:v>
      </x:c>
      <x:c r="B18" s="171"/>
      <x:c r="C18" s="171"/>
      <x:c r="D18" s="171"/>
      <x:c r="E18" s="171"/>
      <x:c r="F18" s="171"/>
      <x:c r="G18" s="171"/>
      <x:c r="H18" s="171"/>
      <x:c r="I18" s="171"/>
      <x:c r="J18" s="171"/>
      <x:c r="K18" s="171"/>
      <x:c r="L18" s="171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</x:row>
  </x:sheetData>
  <x:mergeCells>
    <x:mergeCell ref="A1:L1"/>
    <x:mergeCell ref="A2:L2"/>
    <x:mergeCell ref="A17:L17"/>
    <x:mergeCell ref="A18:L18"/>
  </x:mergeCells>
  <x:conditionalFormatting sqref="E5:E14">
    <x:cfRule type="containsText" dxfId="20" priority="1" operator="containsText" text="VALID"/>
    <x:cfRule type="containsText" dxfId="21" priority="2" operator="containsText" text="PASS"/>
    <x:cfRule type="containsText" dxfId="22" priority="3" operator="containsText" text="WARNING"/>
    <x:cfRule type="containsText" dxfId="23" priority="4" operator="containsText" text="REVIEW"/>
    <x:cfRule type="containsText" dxfId="24" priority="5" operator="containsText" text="UNSTABLE"/>
    <x:cfRule type="containsText" dxfId="25" priority="6" operator="containsText" text="N/A"/>
    <x:cfRule type="expression" dxfId="39" priority="8">
      <x:formula>E5="VALID"</x:formula>
    </x:cfRule>
  </x:conditionalFormatting>
  <x:conditionalFormatting sqref="K5:K14">
    <x:cfRule type="containsText" dxfId="26" priority="7" operator="containsText" text="YES"/>
    <x:cfRule type="expression" dxfId="40" priority="9">
      <x:formula>K5="YES"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5fac779ef542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2" hidden="0" customWidth="1"/>
    <x:col min="15" max="15" width="13" hidden="0" customWidth="1"/>
    <x:col min="16" max="16" width="13" hidden="0" customWidth="1"/>
  </x:cols>
  <x:sheetData>
    <x:row r="1" ht="30" customHeight="1">
      <x:c r="A1" s="3" t="str">
        <x:v>PTM 45 nm HP-LP — Sliding-Window Statistics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2" customHeight="1">
      <x:c r="A2" s="5" t="str">
        <x:v>Every candidate window below the baseline max(ID) ≤ 1% Ion ceiling; these rows support the 72-case selection grid.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 ht="34" customHeight="1">
      <x:c r="A4" s="11" t="str">
        <x:v>Device</x:v>
      </x:c>
      <x:c r="B4" s="11" t="str">
        <x:v>Window points</x:v>
      </x:c>
      <x:c r="C4" s="11" t="str">
        <x:v>Width (V)</x:v>
      </x:c>
      <x:c r="D4" s="11" t="str">
        <x:v>Start index</x:v>
      </x:c>
      <x:c r="E4" s="11" t="str">
        <x:v>Stop index</x:v>
      </x:c>
      <x:c r="F4" s="11" t="str">
        <x:v>VGS min</x:v>
      </x:c>
      <x:c r="G4" s="11" t="str">
        <x:v>VGS max</x:v>
      </x:c>
      <x:c r="H4" s="11" t="str">
        <x:v>ID min (A)</x:v>
      </x:c>
      <x:c r="I4" s="11" t="str">
        <x:v>ID max (A)</x:v>
      </x:c>
      <x:c r="J4" s="11" t="str">
        <x:v>Log-ID span (dec)</x:v>
      </x:c>
      <x:c r="K4" s="11" t="str">
        <x:v>Slope (dec/V)</x:v>
      </x:c>
      <x:c r="L4" s="11" t="str">
        <x:v>R²</x:v>
      </x:c>
      <x:c r="M4" s="11" t="str">
        <x:v>SS (mV/dec)</x:v>
      </x:c>
      <x:c r="N4" s="11" t="str">
        <x:v>Max ID / Ion</x:v>
      </x:c>
      <x:c r="O4" s="11" t="str">
        <x:v>Lower sweep edge</x:v>
      </x:c>
      <x:c r="P4" s="11" t="str">
        <x:v>Eligible high edge</x:v>
      </x:c>
    </x:row>
    <x:row r="5">
      <x:c r="A5" s="22" t="str">
        <x:v>HP</x:v>
      </x:c>
      <x:c r="B5" s="31" t="n">
        <x:v>11</x:v>
      </x:c>
      <x:c r="C5" s="34" t="n">
        <x:v>0.05000000000000002</x:v>
      </x:c>
      <x:c r="D5" s="31" t="n">
        <x:v>0</x:v>
      </x:c>
      <x:c r="E5" s="31" t="n">
        <x:v>11</x:v>
      </x:c>
      <x:c r="F5" s="34" t="n">
        <x:v>-0.2</x:v>
      </x:c>
      <x:c r="G5" s="34" t="n">
        <x:v>-0.15</x:v>
      </x:c>
      <x:c r="H5" s="49" t="n">
        <x:v>4.9668355471382e-10</x:v>
      </x:c>
      <x:c r="I5" s="49" t="n">
        <x:v>6.492179884146697e-10</x:v>
      </x:c>
      <x:c r="J5" s="46" t="n">
        <x:v>0.11631076401284446</x:v>
      </x:c>
      <x:c r="K5" s="46" t="n">
        <x:v>2.1973369992893357</x:v>
      </x:c>
      <x:c r="L5" s="46" t="n">
        <x:v>0.8286193221287673</x:v>
      </x:c>
      <x:c r="M5" s="34" t="n">
        <x:v>455.09632811144616</x:v>
      </x:c>
      <x:c r="N5" s="97" t="n">
        <x:v>4.847781980574255e-7</x:v>
      </x:c>
      <x:c r="O5" s="23" t="str">
        <x:v>YES</x:v>
      </x:c>
      <x:c r="P5" s="24" t="str">
        <x:v>NO</x:v>
      </x:c>
    </x:row>
    <x:row r="6">
      <x:c r="A6" s="25" t="str">
        <x:v>HP</x:v>
      </x:c>
      <x:c r="B6" s="32" t="n">
        <x:v>11</x:v>
      </x:c>
      <x:c r="C6" s="35" t="n">
        <x:v>0.05000000000000002</x:v>
      </x:c>
      <x:c r="D6" s="32" t="n">
        <x:v>1</x:v>
      </x:c>
      <x:c r="E6" s="32" t="n">
        <x:v>12</x:v>
      </x:c>
      <x:c r="F6" s="35" t="n">
        <x:v>-0.195</x:v>
      </x:c>
      <x:c r="G6" s="35" t="n">
        <x:v>-0.145</x:v>
      </x:c>
      <x:c r="H6" s="50" t="n">
        <x:v>4.9668355471382e-10</x:v>
      </x:c>
      <x:c r="I6" s="50" t="n">
        <x:v>6.93797913027349e-10</x:v>
      </x:c>
      <x:c r="J6" s="47" t="n">
        <x:v>0.14515320847128343</x:v>
      </x:c>
      <x:c r="K6" s="47" t="n">
        <x:v>2.898431238744276</x:v>
      </x:c>
      <x:c r="L6" s="47" t="n">
        <x:v>0.901984884430783</x:v>
      </x:c>
      <x:c r="M6" s="35" t="n">
        <x:v>345.01422239474715</x:v>
      </x:c>
      <x:c r="N6" s="98" t="n">
        <x:v>5.180665170949856e-7</x:v>
      </x:c>
      <x:c r="O6" s="26" t="str">
        <x:v>NO</x:v>
      </x:c>
      <x:c r="P6" s="27" t="str">
        <x:v>NO</x:v>
      </x:c>
    </x:row>
    <x:row r="7">
      <x:c r="A7" s="25" t="str">
        <x:v>HP</x:v>
      </x:c>
      <x:c r="B7" s="32" t="n">
        <x:v>11</x:v>
      </x:c>
      <x:c r="C7" s="35" t="n">
        <x:v>0.04999999999999999</x:v>
      </x:c>
      <x:c r="D7" s="32" t="n">
        <x:v>2</x:v>
      </x:c>
      <x:c r="E7" s="32" t="n">
        <x:v>13</x:v>
      </x:c>
      <x:c r="F7" s="35" t="n">
        <x:v>-0.19</x:v>
      </x:c>
      <x:c r="G7" s="35" t="n">
        <x:v>-0.14</x:v>
      </x:c>
      <x:c r="H7" s="50" t="n">
        <x:v>4.9668355471382e-10</x:v>
      </x:c>
      <x:c r="I7" s="50" t="n">
        <x:v>7.461031649478636e-10</x:v>
      </x:c>
      <x:c r="J7" s="47" t="n">
        <x:v>0.17671910159696935</x:v>
      </x:c>
      <x:c r="K7" s="47" t="n">
        <x:v>3.5686650734452776</x:v>
      </x:c>
      <x:c r="L7" s="47" t="n">
        <x:v>0.938424438880786</x:v>
      </x:c>
      <x:c r="M7" s="35" t="n">
        <x:v>280.21682601740355</x:v>
      </x:c>
      <x:c r="N7" s="98" t="n">
        <x:v>5.571234228299682e-7</x:v>
      </x:c>
      <x:c r="O7" s="26" t="str">
        <x:v>NO</x:v>
      </x:c>
      <x:c r="P7" s="27" t="str">
        <x:v>NO</x:v>
      </x:c>
    </x:row>
    <x:row r="8">
      <x:c r="A8" s="25" t="str">
        <x:v>HP</x:v>
      </x:c>
      <x:c r="B8" s="32" t="n">
        <x:v>11</x:v>
      </x:c>
      <x:c r="C8" s="35" t="n">
        <x:v>0.04999999999999999</x:v>
      </x:c>
      <x:c r="D8" s="32" t="n">
        <x:v>3</x:v>
      </x:c>
      <x:c r="E8" s="32" t="n">
        <x:v>14</x:v>
      </x:c>
      <x:c r="F8" s="35" t="n">
        <x:v>-0.185</x:v>
      </x:c>
      <x:c r="G8" s="35" t="n">
        <x:v>-0.135</x:v>
      </x:c>
      <x:c r="H8" s="50" t="n">
        <x:v>4.990330642746987e-10</x:v>
      </x:c>
      <x:c r="I8" s="50" t="n">
        <x:v>8.071309868639366e-10</x:v>
      </x:c>
      <x:c r="J8" s="47" t="n">
        <x:v>0.20881469930116126</x:v>
      </x:c>
      <x:c r="K8" s="47" t="n">
        <x:v>4.209423988296278</x:v>
      </x:c>
      <x:c r="L8" s="47" t="n">
        <x:v>0.9586150746184547</x:v>
      </x:c>
      <x:c r="M8" s="35" t="n">
        <x:v>237.5621944428411</x:v>
      </x:c>
      <x:c r="N8" s="98" t="n">
        <x:v>6.026935673234796e-7</x:v>
      </x:c>
      <x:c r="O8" s="26" t="str">
        <x:v>NO</x:v>
      </x:c>
      <x:c r="P8" s="27" t="str">
        <x:v>NO</x:v>
      </x:c>
    </x:row>
    <x:row r="9">
      <x:c r="A9" s="25" t="str">
        <x:v>HP</x:v>
      </x:c>
      <x:c r="B9" s="32" t="n">
        <x:v>11</x:v>
      </x:c>
      <x:c r="C9" s="35" t="n">
        <x:v>0.0500000000000001</x:v>
      </x:c>
      <x:c r="D9" s="32" t="n">
        <x:v>4</x:v>
      </x:c>
      <x:c r="E9" s="32" t="n">
        <x:v>15</x:v>
      </x:c>
      <x:c r="F9" s="35" t="n">
        <x:v>-0.18</x:v>
      </x:c>
      <x:c r="G9" s="35" t="n">
        <x:v>-0.1299999999999999</x:v>
      </x:c>
      <x:c r="H9" s="50" t="n">
        <x:v>5.05913562123524e-10</x:v>
      </x:c>
      <x:c r="I9" s="50" t="n">
        <x:v>8.78045448843836e-10</x:v>
      </x:c>
      <x:c r="J9" s="47" t="n">
        <x:v>0.23944067438798378</x:v>
      </x:c>
      <x:c r="K9" s="47" t="n">
        <x:v>4.821633597211169</x:v>
      </x:c>
      <x:c r="L9" s="47" t="n">
        <x:v>0.9708135894929348</x:v>
      </x:c>
      <x:c r="M9" s="35" t="n">
        <x:v>207.39858801763776</x:v>
      </x:c>
      <x:c r="N9" s="98" t="n">
        <x:v>6.556461744728514e-7</x:v>
      </x:c>
      <x:c r="O9" s="26" t="str">
        <x:v>NO</x:v>
      </x:c>
      <x:c r="P9" s="27" t="str">
        <x:v>NO</x:v>
      </x:c>
    </x:row>
    <x:row r="10">
      <x:c r="A10" s="25" t="str">
        <x:v>HP</x:v>
      </x:c>
      <x:c r="B10" s="32" t="n">
        <x:v>11</x:v>
      </x:c>
      <x:c r="C10" s="35" t="n">
        <x:v>0.050000000000000086</x:v>
      </x:c>
      <x:c r="D10" s="32" t="n">
        <x:v>5</x:v>
      </x:c>
      <x:c r="E10" s="32" t="n">
        <x:v>16</x:v>
      </x:c>
      <x:c r="F10" s="35" t="n">
        <x:v>-0.175</x:v>
      </x:c>
      <x:c r="G10" s="35" t="n">
        <x:v>-0.1249999999999999</x:v>
      </x:c>
      <x:c r="H10" s="50" t="n">
        <x:v>5.172951347963915e-10</x:v>
      </x:c>
      <x:c r="I10" s="50" t="n">
        <x:v>9.601961473783615e-10</x:v>
      </x:c>
      <x:c r="J10" s="47" t="n">
        <x:v>0.2686215652521451</x:v>
      </x:c>
      <x:c r="K10" s="47" t="n">
        <x:v>5.405678009321427</x:v>
      </x:c>
      <x:c r="L10" s="47" t="n">
        <x:v>0.9787017626373514</x:v>
      </x:c>
      <x:c r="M10" s="35" t="n">
        <x:v>184.9906706014718</x:v>
      </x:c>
      <x:c r="N10" s="98" t="n">
        <x:v>7.16989002791541e-7</x:v>
      </x:c>
      <x:c r="O10" s="26" t="str">
        <x:v>NO</x:v>
      </x:c>
      <x:c r="P10" s="27" t="str">
        <x:v>NO</x:v>
      </x:c>
    </x:row>
    <x:row r="11">
      <x:c r="A11" s="25" t="str">
        <x:v>HP</x:v>
      </x:c>
      <x:c r="B11" s="32" t="n">
        <x:v>11</x:v>
      </x:c>
      <x:c r="C11" s="35" t="n">
        <x:v>0.050000000000000114</x:v>
      </x:c>
      <x:c r="D11" s="32" t="n">
        <x:v>6</x:v>
      </x:c>
      <x:c r="E11" s="32" t="n">
        <x:v>17</x:v>
      </x:c>
      <x:c r="F11" s="35" t="n">
        <x:v>-0.17</x:v>
      </x:c>
      <x:c r="G11" s="35" t="n">
        <x:v>-0.1199999999999999</x:v>
      </x:c>
      <x:c r="H11" s="50" t="n">
        <x:v>5.33272245024237e-10</x:v>
      </x:c>
      <x:c r="I11" s="50" t="n">
        <x:v>1.055140541806699e-9</x:v>
      </x:c>
      <x:c r="J11" s="47" t="n">
        <x:v>0.29636132956686545</x:v>
      </x:c>
      <x:c r="K11" s="47" t="n">
        <x:v>5.961432514416441</x:v>
      </x:c>
      <x:c r="L11" s="47" t="n">
        <x:v>0.9840834533206577</x:v>
      </x:c>
      <x:c r="M11" s="35" t="n">
        <x:v>167.74491660883777</x:v>
      </x:c>
      <x:c r="N11" s="98" t="n">
        <x:v>7.878850242634914e-7</x:v>
      </x:c>
      <x:c r="O11" s="26" t="str">
        <x:v>NO</x:v>
      </x:c>
      <x:c r="P11" s="27" t="str">
        <x:v>NO</x:v>
      </x:c>
    </x:row>
    <x:row r="12">
      <x:c r="A12" s="25" t="str">
        <x:v>HP</x:v>
      </x:c>
      <x:c r="B12" s="32" t="n">
        <x:v>11</x:v>
      </x:c>
      <x:c r="C12" s="35" t="n">
        <x:v>0.050000000000000114</x:v>
      </x:c>
      <x:c r="D12" s="32" t="n">
        <x:v>7</x:v>
      </x:c>
      <x:c r="E12" s="32" t="n">
        <x:v>18</x:v>
      </x:c>
      <x:c r="F12" s="35" t="n">
        <x:v>-0.165</x:v>
      </x:c>
      <x:c r="G12" s="35" t="n">
        <x:v>-0.1149999999999999</x:v>
      </x:c>
      <x:c r="H12" s="50" t="n">
        <x:v>5.540595432906032e-10</x:v>
      </x:c>
      <x:c r="I12" s="50" t="n">
        <x:v>1.16467027569472e-9</x:v>
      </x:c>
      <x:c r="J12" s="47" t="n">
        <x:v>0.3226465520039081</x:v>
      </x:c>
      <x:c r="K12" s="47" t="n">
        <x:v>6.488377950135698</x:v>
      </x:c>
      <x:c r="L12" s="47" t="n">
        <x:v>0.9879125011684857</x:v>
      </x:c>
      <x:c r="M12" s="35" t="n">
        <x:v>154.12172467220194</x:v>
      </x:c>
      <x:c r="N12" s="98" t="n">
        <x:v>8.696720788052235e-7</x:v>
      </x:c>
      <x:c r="O12" s="26" t="str">
        <x:v>NO</x:v>
      </x:c>
      <x:c r="P12" s="27" t="str">
        <x:v>NO</x:v>
      </x:c>
    </x:row>
    <x:row r="13">
      <x:c r="A13" s="25" t="str">
        <x:v>HP</x:v>
      </x:c>
      <x:c r="B13" s="32" t="n">
        <x:v>11</x:v>
      </x:c>
      <x:c r="C13" s="35" t="n">
        <x:v>0.0500000000000001</x:v>
      </x:c>
      <x:c r="D13" s="32" t="n">
        <x:v>8</x:v>
      </x:c>
      <x:c r="E13" s="32" t="n">
        <x:v>19</x:v>
      </x:c>
      <x:c r="F13" s="35" t="n">
        <x:v>-0.16</x:v>
      </x:c>
      <x:c r="G13" s="35" t="n">
        <x:v>-0.1099999999999999</x:v>
      </x:c>
      <x:c r="H13" s="50" t="n">
        <x:v>5.799903253714522e-10</x:v>
      </x:c>
      <x:c r="I13" s="50" t="n">
        <x:v>1.290841899359029e-9</x:v>
      </x:c>
      <x:c r="J13" s="47" t="n">
        <x:v>0.3474523043995106</x:v>
      </x:c>
      <x:c r="K13" s="47" t="n">
        <x:v>6.985761663570689</x:v>
      </x:c>
      <x:c r="L13" s="47" t="n">
        <x:v>0.9907259326397886</x:v>
      </x:c>
      <x:c r="M13" s="35" t="n">
        <x:v>143.14831340651006</x:v>
      </x:c>
      <x:c r="N13" s="98" t="n">
        <x:v>9.638858151117655e-7</x:v>
      </x:c>
      <x:c r="O13" s="26" t="str">
        <x:v>NO</x:v>
      </x:c>
      <x:c r="P13" s="27" t="str">
        <x:v>NO</x:v>
      </x:c>
    </x:row>
    <x:row r="14">
      <x:c r="A14" s="25" t="str">
        <x:v>HP</x:v>
      </x:c>
      <x:c r="B14" s="32" t="n">
        <x:v>11</x:v>
      </x:c>
      <x:c r="C14" s="35" t="n">
        <x:v>0.0500000000000001</x:v>
      </x:c>
      <x:c r="D14" s="32" t="n">
        <x:v>9</x:v>
      </x:c>
      <x:c r="E14" s="32" t="n">
        <x:v>20</x:v>
      </x:c>
      <x:c r="F14" s="35" t="n">
        <x:v>-0.155</x:v>
      </x:c>
      <x:c r="G14" s="35" t="n">
        <x:v>-0.1049999999999999</x:v>
      </x:c>
      <x:c r="H14" s="50" t="n">
        <x:v>6.11517628490725e-10</x:v>
      </x:c>
      <x:c r="I14" s="50" t="n">
        <x:v>1.436012485864877e-9</x:v>
      </x:c>
      <x:c r="J14" s="47" t="n">
        <x:v>0.3707492348804724</x:v>
      </x:c>
      <x:c r="K14" s="47" t="n">
        <x:v>7.452772750245249</x:v>
      </x:c>
      <x:c r="L14" s="47" t="n">
        <x:v>0.992842866755008</x:v>
      </x:c>
      <x:c r="M14" s="35" t="n">
        <x:v>134.17824929212995</x:v>
      </x:c>
      <x:c r="N14" s="98" t="n">
        <x:v>0.000001072286285513233</x:v>
      </x:c>
      <x:c r="O14" s="26" t="str">
        <x:v>NO</x:v>
      </x:c>
      <x:c r="P14" s="27" t="str">
        <x:v>NO</x:v>
      </x:c>
    </x:row>
    <x:row r="15">
      <x:c r="A15" s="25" t="str">
        <x:v>HP</x:v>
      </x:c>
      <x:c r="B15" s="32" t="n">
        <x:v>11</x:v>
      </x:c>
      <x:c r="C15" s="35" t="n">
        <x:v>0.0500000000000001</x:v>
      </x:c>
      <x:c r="D15" s="32" t="n">
        <x:v>10</x:v>
      </x:c>
      <x:c r="E15" s="32" t="n">
        <x:v>21</x:v>
      </x:c>
      <x:c r="F15" s="35" t="n">
        <x:v>-0.15</x:v>
      </x:c>
      <x:c r="G15" s="35" t="n">
        <x:v>-0.0999999999999999</x:v>
      </x:c>
      <x:c r="H15" s="50" t="n">
        <x:v>6.492179884146697e-10</x:v>
      </x:c>
      <x:c r="I15" s="50" t="n">
        <x:v>1.602880717400002e-9</x:v>
      </x:c>
      <x:c r="J15" s="47" t="n">
        <x:v>0.3925106597123804</x:v>
      </x:c>
      <x:c r="K15" s="47" t="n">
        <x:v>7.888705411740676</x:v>
      </x:c>
      <x:c r="L15" s="47" t="n">
        <x:v>0.994462479539872</x:v>
      </x:c>
      <x:c r="M15" s="35" t="n">
        <x:v>126.76351160378111</x:v>
      </x:c>
      <x:c r="N15" s="98" t="n">
        <x:v>0.0000011968886256211573</x:v>
      </x:c>
      <x:c r="O15" s="26" t="str">
        <x:v>NO</x:v>
      </x:c>
      <x:c r="P15" s="27" t="str">
        <x:v>NO</x:v>
      </x:c>
    </x:row>
    <x:row r="16">
      <x:c r="A16" s="25" t="str">
        <x:v>HP</x:v>
      </x:c>
      <x:c r="B16" s="32" t="n">
        <x:v>11</x:v>
      </x:c>
      <x:c r="C16" s="35" t="n">
        <x:v>0.050000000000000086</x:v>
      </x:c>
      <x:c r="D16" s="32" t="n">
        <x:v>11</x:v>
      </x:c>
      <x:c r="E16" s="32" t="n">
        <x:v>22</x:v>
      </x:c>
      <x:c r="F16" s="35" t="n">
        <x:v>-0.145</x:v>
      </x:c>
      <x:c r="G16" s="35" t="n">
        <x:v>-0.0949999999999999</x:v>
      </x:c>
      <x:c r="H16" s="50" t="n">
        <x:v>6.93797913027349e-10</x:v>
      </x:c>
      <x:c r="I16" s="50" t="n">
        <x:v>1.7945341129954902e-9</x:v>
      </x:c>
      <x:c r="J16" s="47" t="n">
        <x:v>0.4127187292877572</x:v>
      </x:c>
      <x:c r="K16" s="47" t="n">
        <x:v>8.293092124256537</x:v>
      </x:c>
      <x:c r="L16" s="47" t="n">
        <x:v>0.9957150309712298</x:v>
      </x:c>
      <x:c r="M16" s="35" t="n">
        <x:v>120.58228523412772</x:v>
      </x:c>
      <x:c r="N16" s="98" t="n">
        <x:v>0.000001339998319786046</x:v>
      </x:c>
      <x:c r="O16" s="26" t="str">
        <x:v>NO</x:v>
      </x:c>
      <x:c r="P16" s="27" t="str">
        <x:v>NO</x:v>
      </x:c>
    </x:row>
    <x:row r="17">
      <x:c r="A17" s="25" t="str">
        <x:v>HP</x:v>
      </x:c>
      <x:c r="B17" s="32" t="n">
        <x:v>11</x:v>
      </x:c>
      <x:c r="C17" s="35" t="n">
        <x:v>0.050000000000000114</x:v>
      </x:c>
      <x:c r="D17" s="32" t="n">
        <x:v>12</x:v>
      </x:c>
      <x:c r="E17" s="32" t="n">
        <x:v>23</x:v>
      </x:c>
      <x:c r="F17" s="35" t="n">
        <x:v>-0.14</x:v>
      </x:c>
      <x:c r="G17" s="35" t="n">
        <x:v>-0.0899999999999999</x:v>
      </x:c>
      <x:c r="H17" s="50" t="n">
        <x:v>7.461031649478636e-10</x:v>
      </x:c>
      <x:c r="I17" s="50" t="n">
        <x:v>2.014503173327516e-9</x:v>
      </x:c>
      <x:c r="J17" s="47" t="n">
        <x:v>0.4313690735852749</x:v>
      </x:c>
      <x:c r="K17" s="47" t="n">
        <x:v>8.665796436991387</x:v>
      </x:c>
      <x:c r="L17" s="47" t="n">
        <x:v>0.9966896259618703</x:v>
      </x:c>
      <x:c r="M17" s="35" t="n">
        <x:v>115.39620244612883</x:v>
      </x:c>
      <x:c r="N17" s="98" t="n">
        <x:v>0.0000015042516316151595</x:v>
      </x:c>
      <x:c r="O17" s="26" t="str">
        <x:v>NO</x:v>
      </x:c>
      <x:c r="P17" s="27" t="str">
        <x:v>NO</x:v>
      </x:c>
    </x:row>
    <x:row r="18">
      <x:c r="A18" s="25" t="str">
        <x:v>HP</x:v>
      </x:c>
      <x:c r="B18" s="32" t="n">
        <x:v>11</x:v>
      </x:c>
      <x:c r="C18" s="35" t="n">
        <x:v>0.050000000000000114</x:v>
      </x:c>
      <x:c r="D18" s="32" t="n">
        <x:v>13</x:v>
      </x:c>
      <x:c r="E18" s="32" t="n">
        <x:v>24</x:v>
      </x:c>
      <x:c r="F18" s="35" t="n">
        <x:v>-0.135</x:v>
      </x:c>
      <x:c r="G18" s="35" t="n">
        <x:v>-0.0849999999999999</x:v>
      </x:c>
      <x:c r="H18" s="50" t="n">
        <x:v>8.071309868639366e-10</x:v>
      </x:c>
      <x:c r="I18" s="50" t="n">
        <x:v>2.266823335139018e-9</x:v>
      </x:c>
      <x:c r="J18" s="47" t="n">
        <x:v>0.44847365391898464</x:v>
      </x:c>
      <x:c r="K18" s="47" t="n">
        <x:v>9.007062543119373</x:v>
      </x:c>
      <x:c r="L18" s="47" t="n">
        <x:v>0.9974498307081529</x:v>
      </x:c>
      <x:c r="M18" s="35" t="n">
        <x:v>111.02398758892983</x:v>
      </x:c>
      <x:c r="N18" s="98" t="n">
        <x:v>0.000001692661866019216</x:v>
      </x:c>
      <x:c r="O18" s="26" t="str">
        <x:v>NO</x:v>
      </x:c>
      <x:c r="P18" s="27" t="str">
        <x:v>NO</x:v>
      </x:c>
    </x:row>
    <x:row r="19">
      <x:c r="A19" s="25" t="str">
        <x:v>HP</x:v>
      </x:c>
      <x:c r="B19" s="32" t="n">
        <x:v>11</x:v>
      </x:c>
      <x:c r="C19" s="35" t="n">
        <x:v>0.04999999999999999</x:v>
      </x:c>
      <x:c r="D19" s="32" t="n">
        <x:v>14</x:v>
      </x:c>
      <x:c r="E19" s="32" t="n">
        <x:v>25</x:v>
      </x:c>
      <x:c r="F19" s="35" t="n">
        <x:v>-0.1299999999999999</x:v>
      </x:c>
      <x:c r="G19" s="35" t="n">
        <x:v>-0.0799999999999999</x:v>
      </x:c>
      <x:c r="H19" s="50" t="n">
        <x:v>8.78045448843836e-10</x:v>
      </x:c>
      <x:c r="I19" s="50" t="n">
        <x:v>2.556105758202359e-9</x:v>
      </x:c>
      <x:c r="J19" s="47" t="n">
        <x:v>0.46406182250840367</x:v>
      </x:c>
      <x:c r="K19" s="47" t="n">
        <x:v>9.317524573948074</x:v>
      </x:c>
      <x:c r="L19" s="47" t="n">
        <x:v>0.9980426943270984</x:v>
      </x:c>
      <x:c r="M19" s="35" t="n">
        <x:v>107.32464315640377</x:v>
      </x:c>
      <x:c r="N19" s="98" t="n">
        <x:v>0.000001908672226614399</x:v>
      </x:c>
      <x:c r="O19" s="26" t="str">
        <x:v>NO</x:v>
      </x:c>
      <x:c r="P19" s="27" t="str">
        <x:v>NO</x:v>
      </x:c>
    </x:row>
    <x:row r="20">
      <x:c r="A20" s="25" t="str">
        <x:v>HP</x:v>
      </x:c>
      <x:c r="B20" s="32" t="n">
        <x:v>11</x:v>
      </x:c>
      <x:c r="C20" s="35" t="n">
        <x:v>0.05</x:v>
      </x:c>
      <x:c r="D20" s="32" t="n">
        <x:v>15</x:v>
      </x:c>
      <x:c r="E20" s="32" t="n">
        <x:v>26</x:v>
      </x:c>
      <x:c r="F20" s="35" t="n">
        <x:v>-0.1249999999999999</x:v>
      </x:c>
      <x:c r="G20" s="35" t="n">
        <x:v>-0.0749999999999999</x:v>
      </x:c>
      <x:c r="H20" s="50" t="n">
        <x:v>9.601961473783615e-10</x:v>
      </x:c>
      <x:c r="I20" s="50" t="n">
        <x:v>2.887618113375948e-9</x:v>
      </x:c>
      <x:c r="J20" s="47" t="n">
        <x:v>0.47817979827615353</x:v>
      </x:c>
      <x:c r="K20" s="47" t="n">
        <x:v>9.598182510067414</x:v>
      </x:c>
      <x:c r="L20" s="47" t="n">
        <x:v>0.9985040892603617</x:v>
      </x:c>
      <x:c r="M20" s="35" t="n">
        <x:v>104.18639142890984</x:v>
      </x:c>
      <x:c r="N20" s="98" t="n">
        <x:v>0.000002156216141051004</x:v>
      </x:c>
      <x:c r="O20" s="26" t="str">
        <x:v>NO</x:v>
      </x:c>
      <x:c r="P20" s="27" t="str">
        <x:v>NO</x:v>
      </x:c>
    </x:row>
    <x:row r="21">
      <x:c r="A21" s="25" t="str">
        <x:v>HP</x:v>
      </x:c>
      <x:c r="B21" s="32" t="n">
        <x:v>11</x:v>
      </x:c>
      <x:c r="C21" s="35" t="n">
        <x:v>0.05</x:v>
      </x:c>
      <x:c r="D21" s="32" t="n">
        <x:v>16</x:v>
      </x:c>
      <x:c r="E21" s="32" t="n">
        <x:v>27</x:v>
      </x:c>
      <x:c r="F21" s="35" t="n">
        <x:v>-0.1199999999999999</x:v>
      </x:c>
      <x:c r="G21" s="35" t="n">
        <x:v>-0.0699999999999999</x:v>
      </x:c>
      <x:c r="H21" s="50" t="n">
        <x:v>1.055140541806699e-9</x:v>
      </x:c>
      <x:c r="I21" s="50" t="n">
        <x:v>3.267376703094192e-9</x:v>
      </x:c>
      <x:c r="J21" s="47" t="n">
        <x:v>0.4908888978220247</x:v>
      </x:c>
      <x:c r="K21" s="47" t="n">
        <x:v>9.85035366467354</x:v>
      </x:c>
      <x:c r="L21" s="47" t="n">
        <x:v>0.9988619610531471</x:v>
      </x:c>
      <x:c r="M21" s="35" t="n">
        <x:v>101.51919758843928</x:v>
      </x:c>
      <x:c r="N21" s="98" t="n">
        <x:v>0.0000024397860483944397</x:v>
      </x:c>
      <x:c r="O21" s="26" t="str">
        <x:v>NO</x:v>
      </x:c>
      <x:c r="P21" s="27" t="str">
        <x:v>NO</x:v>
      </x:c>
    </x:row>
    <x:row r="22">
      <x:c r="A22" s="25" t="str">
        <x:v>HP</x:v>
      </x:c>
      <x:c r="B22" s="32" t="n">
        <x:v>11</x:v>
      </x:c>
      <x:c r="C22" s="35" t="n">
        <x:v>0.0500000000000001</x:v>
      </x:c>
      <x:c r="D22" s="32" t="n">
        <x:v>17</x:v>
      </x:c>
      <x:c r="E22" s="32" t="n">
        <x:v>28</x:v>
      </x:c>
      <x:c r="F22" s="35" t="n">
        <x:v>-0.1149999999999999</x:v>
      </x:c>
      <x:c r="G22" s="35" t="n">
        <x:v>-0.0649999999999998</x:v>
      </x:c>
      <x:c r="H22" s="50" t="n">
        <x:v>1.16467027569472e-9</x:v>
      </x:c>
      <x:c r="I22" s="50" t="n">
        <x:v>3.702251427628463e-9</x:v>
      </x:c>
      <x:c r="J22" s="47" t="n">
        <x:v>0.5022629175623212</x:v>
      </x:c>
      <x:c r="K22" s="47" t="n">
        <x:v>10.07560911721276</x:v>
      </x:c>
      <x:c r="L22" s="47" t="n">
        <x:v>0.9991383788495075</x:v>
      </x:c>
      <x:c r="M22" s="35" t="n">
        <x:v>99.24958266708072</x:v>
      </x:c>
      <x:c r="N22" s="98" t="n">
        <x:v>0.0000027645117785844495</x:v>
      </x:c>
      <x:c r="O22" s="26" t="str">
        <x:v>NO</x:v>
      </x:c>
      <x:c r="P22" s="27" t="str">
        <x:v>NO</x:v>
      </x:c>
    </x:row>
    <x:row r="23">
      <x:c r="A23" s="25" t="str">
        <x:v>HP</x:v>
      </x:c>
      <x:c r="B23" s="32" t="n">
        <x:v>11</x:v>
      </x:c>
      <x:c r="C23" s="35" t="n">
        <x:v>0.05000000000000011</x:v>
      </x:c>
      <x:c r="D23" s="32" t="n">
        <x:v>18</x:v>
      </x:c>
      <x:c r="E23" s="32" t="n">
        <x:v>29</x:v>
      </x:c>
      <x:c r="F23" s="35" t="n">
        <x:v>-0.1099999999999999</x:v>
      </x:c>
      <x:c r="G23" s="35" t="n">
        <x:v>-0.0599999999999998</x:v>
      </x:c>
      <x:c r="H23" s="50" t="n">
        <x:v>1.290841899359029e-9</x:v>
      </x:c>
      <x:c r="I23" s="50" t="n">
        <x:v>4.20008531395974e-9</x:v>
      </x:c>
      <x:c r="J23" s="47" t="n">
        <x:v>0.5123850583669718</x:v>
      </x:c>
      <x:c r="K23" s="47" t="n">
        <x:v>10.27570366683173</x:v>
      </x:c>
      <x:c r="L23" s="47" t="n">
        <x:v>0.9993508923608129</x:v>
      </x:c>
      <x:c r="M23" s="35" t="n">
        <x:v>97.31693637953326</x:v>
      </x:c>
      <x:c r="N23" s="98" t="n">
        <x:v>0.000003136249805956318</x:v>
      </x:c>
      <x:c r="O23" s="26" t="str">
        <x:v>NO</x:v>
      </x:c>
      <x:c r="P23" s="27" t="str">
        <x:v>NO</x:v>
      </x:c>
    </x:row>
    <x:row r="24">
      <x:c r="A24" s="25" t="str">
        <x:v>HP</x:v>
      </x:c>
      <x:c r="B24" s="32" t="n">
        <x:v>11</x:v>
      </x:c>
      <x:c r="C24" s="35" t="n">
        <x:v>0.049999999999999996</x:v>
      </x:c>
      <x:c r="D24" s="32" t="n">
        <x:v>19</x:v>
      </x:c>
      <x:c r="E24" s="32" t="n">
        <x:v>30</x:v>
      </x:c>
      <x:c r="F24" s="35" t="n">
        <x:v>-0.1049999999999999</x:v>
      </x:c>
      <x:c r="G24" s="35" t="n">
        <x:v>-0.0549999999999999</x:v>
      </x:c>
      <x:c r="H24" s="50" t="n">
        <x:v>1.436012485864877e-9</x:v>
      </x:c>
      <x:c r="I24" s="50" t="n">
        <x:v>4.7698305515960835e-9</x:v>
      </x:c>
      <x:c r="J24" s="47" t="n">
        <x:v>0.5213447349534093</x:v>
      </x:c>
      <x:c r="K24" s="47" t="n">
        <x:v>10.452506300495054</x:v>
      </x:c>
      <x:c r="L24" s="47" t="n">
        <x:v>0.9995134822964613</x:v>
      </x:c>
      <x:c r="M24" s="35" t="n">
        <x:v>95.6708344631792</x:v>
      </x:c>
      <x:c r="N24" s="98" t="n">
        <x:v>0.000003561684828678965</x:v>
      </x:c>
      <x:c r="O24" s="26" t="str">
        <x:v>NO</x:v>
      </x:c>
      <x:c r="P24" s="27" t="str">
        <x:v>NO</x:v>
      </x:c>
    </x:row>
    <x:row r="25">
      <x:c r="A25" s="25" t="str">
        <x:v>HP</x:v>
      </x:c>
      <x:c r="B25" s="32" t="n">
        <x:v>11</x:v>
      </x:c>
      <x:c r="C25" s="35" t="n">
        <x:v>0.049999999999999996</x:v>
      </x:c>
      <x:c r="D25" s="32" t="n">
        <x:v>20</x:v>
      </x:c>
      <x:c r="E25" s="32" t="n">
        <x:v>31</x:v>
      </x:c>
      <x:c r="F25" s="35" t="n">
        <x:v>-0.0999999999999999</x:v>
      </x:c>
      <x:c r="G25" s="35" t="n">
        <x:v>-0.0499999999999999</x:v>
      </x:c>
      <x:c r="H25" s="50" t="n">
        <x:v>1.602880717400002e-9</x:v>
      </x:c>
      <x:c r="I25" s="50" t="n">
        <x:v>5.421703233852641e-9</x:v>
      </x:c>
      <x:c r="J25" s="47" t="n">
        <x:v>0.529234537661667</x:v>
      </x:c>
      <x:c r="K25" s="47" t="n">
        <x:v>10.60793626511241</x:v>
      </x:c>
      <x:c r="L25" s="47" t="n">
        <x:v>0.9996372655899156</x:v>
      </x:c>
      <x:c r="M25" s="35" t="n">
        <x:v>94.26904300781102</x:v>
      </x:c>
      <x:c r="N25" s="98" t="n">
        <x:v>0.00000404844531576724</x:v>
      </x:c>
      <x:c r="O25" s="26" t="str">
        <x:v>NO</x:v>
      </x:c>
      <x:c r="P25" s="27" t="str">
        <x:v>NO</x:v>
      </x:c>
    </x:row>
    <x:row r="26">
      <x:c r="A26" s="25" t="str">
        <x:v>HP</x:v>
      </x:c>
      <x:c r="B26" s="32" t="n">
        <x:v>11</x:v>
      </x:c>
      <x:c r="C26" s="35" t="n">
        <x:v>0.05</x:v>
      </x:c>
      <x:c r="D26" s="32" t="n">
        <x:v>21</x:v>
      </x:c>
      <x:c r="E26" s="32" t="n">
        <x:v>32</x:v>
      </x:c>
      <x:c r="F26" s="35" t="n">
        <x:v>-0.0949999999999999</x:v>
      </x:c>
      <x:c r="G26" s="35" t="n">
        <x:v>-0.0449999999999999</x:v>
      </x:c>
      <x:c r="H26" s="50" t="n">
        <x:v>1.7945341129954902e-9</x:v>
      </x:c>
      <x:c r="I26" s="50" t="n">
        <x:v>6.167359286893276e-9</x:v>
      </x:c>
      <x:c r="J26" s="47" t="n">
        <x:v>0.5361475310877726</x:v>
      </x:c>
      <x:c r="K26" s="47" t="n">
        <x:v>10.743907941369741</x:v>
      </x:c>
      <x:c r="L26" s="47" t="n">
        <x:v>0.9997310448921536</x:v>
      </x:c>
      <x:c r="M26" s="35" t="n">
        <x:v>93.07600227562169</x:v>
      </x:c>
      <x:c r="N26" s="98" t="n">
        <x:v>0.0000046052348752283795</x:v>
      </x:c>
      <x:c r="O26" s="26" t="str">
        <x:v>NO</x:v>
      </x:c>
      <x:c r="P26" s="27" t="str">
        <x:v>NO</x:v>
      </x:c>
    </x:row>
    <x:row r="27">
      <x:c r="A27" s="25" t="str">
        <x:v>HP</x:v>
      </x:c>
      <x:c r="B27" s="32" t="n">
        <x:v>11</x:v>
      </x:c>
      <x:c r="C27" s="35" t="n">
        <x:v>0.05</x:v>
      </x:c>
      <x:c r="D27" s="32" t="n">
        <x:v>22</x:v>
      </x:c>
      <x:c r="E27" s="32" t="n">
        <x:v>33</x:v>
      </x:c>
      <x:c r="F27" s="35" t="n">
        <x:v>-0.0899999999999999</x:v>
      </x:c>
      <x:c r="G27" s="35" t="n">
        <x:v>-0.0399999999999999</x:v>
      </x:c>
      <x:c r="H27" s="50" t="n">
        <x:v>2.014503173327516e-9</x:v>
      </x:c>
      <x:c r="I27" s="50" t="n">
        <x:v>7.0200943853620204e-9</x:v>
      </x:c>
      <x:c r="J27" s="47" t="n">
        <x:v>0.5421749954270023</x:v>
      </x:c>
      <x:c r="K27" s="47" t="n">
        <x:v>10.862286068342383</x:v>
      </x:c>
      <x:c r="L27" s="47" t="n">
        <x:v>0.9998017515165666</x:v>
      </x:c>
      <x:c r="M27" s="35" t="n">
        <x:v>92.0616520047702</x:v>
      </x:c>
      <x:c r="N27" s="98" t="n">
        <x:v>0.000005241981533258378</x:v>
      </x:c>
      <x:c r="O27" s="26" t="str">
        <x:v>NO</x:v>
      </x:c>
      <x:c r="P27" s="27" t="str">
        <x:v>NO</x:v>
      </x:c>
    </x:row>
    <x:row r="28">
      <x:c r="A28" s="25" t="str">
        <x:v>HP</x:v>
      </x:c>
      <x:c r="B28" s="32" t="n">
        <x:v>11</x:v>
      </x:c>
      <x:c r="C28" s="35" t="n">
        <x:v>0.049999999999999996</x:v>
      </x:c>
      <x:c r="D28" s="32" t="n">
        <x:v>23</x:v>
      </x:c>
      <x:c r="E28" s="32" t="n">
        <x:v>34</x:v>
      </x:c>
      <x:c r="F28" s="35" t="n">
        <x:v>-0.0849999999999999</x:v>
      </x:c>
      <x:c r="G28" s="35" t="n">
        <x:v>-0.0349999999999999</x:v>
      </x:c>
      <x:c r="H28" s="50" t="n">
        <x:v>2.266823335139018e-9</x:v>
      </x:c>
      <x:c r="I28" s="50" t="n">
        <x:v>7.995071005998663e-9</x:v>
      </x:c>
      <x:c r="J28" s="47" t="n">
        <x:v>0.547404650457068</x:v>
      </x:c>
      <x:c r="K28" s="47" t="n">
        <x:v>10.964851579246954</x:v>
      </x:c>
      <x:c r="L28" s="47" t="n">
        <x:v>0.9998548091795665</x:v>
      </x:c>
      <x:c r="M28" s="35" t="n">
        <x:v>91.20050488350324</x:v>
      </x:c>
      <x:c r="N28" s="98" t="n">
        <x:v>0.00000597000727766899</x:v>
      </x:c>
      <x:c r="O28" s="26" t="str">
        <x:v>NO</x:v>
      </x:c>
      <x:c r="P28" s="27" t="str">
        <x:v>NO</x:v>
      </x:c>
    </x:row>
    <x:row r="29">
      <x:c r="A29" s="25" t="str">
        <x:v>HP</x:v>
      </x:c>
      <x:c r="B29" s="32" t="n">
        <x:v>11</x:v>
      </x:c>
      <x:c r="C29" s="35" t="n">
        <x:v>0.05</x:v>
      </x:c>
      <x:c r="D29" s="32" t="n">
        <x:v>24</x:v>
      </x:c>
      <x:c r="E29" s="32" t="n">
        <x:v>35</x:v>
      </x:c>
      <x:c r="F29" s="35" t="n">
        <x:v>-0.0799999999999999</x:v>
      </x:c>
      <x:c r="G29" s="35" t="n">
        <x:v>-0.0299999999999999</x:v>
      </x:c>
      <x:c r="H29" s="50" t="n">
        <x:v>2.556105758202359e-9</x:v>
      </x:c>
      <x:c r="I29" s="50" t="n">
        <x:v>9.109576162781833e-9</x:v>
      </x:c>
      <x:c r="J29" s="47" t="n">
        <x:v>0.5519193525380306</x:v>
      </x:c>
      <x:c r="K29" s="47" t="n">
        <x:v>11.053277406734194</x:v>
      </x:c>
      <x:c r="L29" s="47" t="n">
        <x:v>0.9998944345650043</x:v>
      </x:c>
      <x:c r="M29" s="35" t="n">
        <x:v>90.47090407689862</x:v>
      </x:c>
      <x:c r="N29" s="98" t="n">
        <x:v>0.000006802220511548085</x:v>
      </x:c>
      <x:c r="O29" s="26" t="str">
        <x:v>NO</x:v>
      </x:c>
      <x:c r="P29" s="27" t="str">
        <x:v>NO</x:v>
      </x:c>
    </x:row>
    <x:row r="30">
      <x:c r="A30" s="25" t="str">
        <x:v>HP</x:v>
      </x:c>
      <x:c r="B30" s="32" t="n">
        <x:v>11</x:v>
      </x:c>
      <x:c r="C30" s="35" t="n">
        <x:v>0.05</x:v>
      </x:c>
      <x:c r="D30" s="32" t="n">
        <x:v>25</x:v>
      </x:c>
      <x:c r="E30" s="32" t="n">
        <x:v>36</x:v>
      </x:c>
      <x:c r="F30" s="35" t="n">
        <x:v>-0.0749999999999999</x:v>
      </x:c>
      <x:c r="G30" s="35" t="n">
        <x:v>-0.0249999999999999</x:v>
      </x:c>
      <x:c r="H30" s="50" t="n">
        <x:v>2.887618113375948e-9</x:v>
      </x:c>
      <x:c r="I30" s="50" t="n">
        <x:v>1.0383313802526422e-8</x:v>
      </x:c>
      <x:c r="J30" s="47" t="n">
        <x:v>0.5557962219960055</x:v>
      </x:c>
      <x:c r="K30" s="47" t="n">
        <x:v>11.129113067161727</x:v>
      </x:c>
      <x:c r="L30" s="47" t="n">
        <x:v>0.9999238851736787</x:v>
      </x:c>
      <x:c r="M30" s="35" t="n">
        <x:v>89.85442002118425</x:v>
      </x:c>
      <x:c r="N30" s="98" t="n">
        <x:v>0.000007753334388261713</x:v>
      </x:c>
      <x:c r="O30" s="26" t="str">
        <x:v>NO</x:v>
      </x:c>
      <x:c r="P30" s="27" t="str">
        <x:v>NO</x:v>
      </x:c>
    </x:row>
    <x:row r="31">
      <x:c r="A31" s="25" t="str">
        <x:v>HP</x:v>
      </x:c>
      <x:c r="B31" s="32" t="n">
        <x:v>11</x:v>
      </x:c>
      <x:c r="C31" s="35" t="n">
        <x:v>0.049999999999999996</x:v>
      </x:c>
      <x:c r="D31" s="32" t="n">
        <x:v>26</x:v>
      </x:c>
      <x:c r="E31" s="32" t="n">
        <x:v>37</x:v>
      </x:c>
      <x:c r="F31" s="35" t="n">
        <x:v>-0.0699999999999999</x:v>
      </x:c>
      <x:c r="G31" s="35" t="n">
        <x:v>-0.0199999999999999</x:v>
      </x:c>
      <x:c r="H31" s="50" t="n">
        <x:v>3.267376703094192e-9</x:v>
      </x:c>
      <x:c r="I31" s="50" t="n">
        <x:v>1.1838736322293511e-8</x:v>
      </x:c>
      <x:c r="J31" s="47" t="n">
        <x:v>0.5591061397302015</x:v>
      </x:c>
      <x:c r="K31" s="47" t="n">
        <x:v>11.19377657114885</x:v>
      </x:c>
      <x:c r="L31" s="47" t="n">
        <x:v>0.9999456622952215</x:v>
      </x:c>
      <x:c r="M31" s="35" t="n">
        <x:v>89.33535466282467</x:v>
      </x:c>
      <x:c r="N31" s="98" t="n">
        <x:v>0.000008840114359142976</x:v>
      </x:c>
      <x:c r="O31" s="26" t="str">
        <x:v>NO</x:v>
      </x:c>
      <x:c r="P31" s="27" t="str">
        <x:v>NO</x:v>
      </x:c>
    </x:row>
    <x:row r="32">
      <x:c r="A32" s="25" t="str">
        <x:v>HP</x:v>
      </x:c>
      <x:c r="B32" s="32" t="n">
        <x:v>11</x:v>
      </x:c>
      <x:c r="C32" s="35" t="n">
        <x:v>0.04999999999999989</x:v>
      </x:c>
      <x:c r="D32" s="32" t="n">
        <x:v>27</x:v>
      </x:c>
      <x:c r="E32" s="32" t="n">
        <x:v>38</x:v>
      </x:c>
      <x:c r="F32" s="35" t="n">
        <x:v>-0.0649999999999998</x:v>
      </x:c>
      <x:c r="G32" s="35" t="n">
        <x:v>-0.0149999999999999</x:v>
      </x:c>
      <x:c r="H32" s="50" t="n">
        <x:v>3.702251427628463e-9</x:v>
      </x:c>
      <x:c r="I32" s="50" t="n">
        <x:v>1.3501420203353691e-8</x:v>
      </x:c>
      <x:c r="J32" s="47" t="n">
        <x:v>0.5619135447154369</x:v>
      </x:c>
      <x:c r="K32" s="47" t="n">
        <x:v>11.248552156246198</x:v>
      </x:c>
      <x:c r="L32" s="47" t="n">
        <x:v>0.9999616756831189</x:v>
      </x:c>
      <x:c r="M32" s="35" t="n">
        <x:v>88.9003301144593</x:v>
      </x:c>
      <x:c r="N32" s="98" t="n">
        <x:v>0.000010081658663495569</x:v>
      </x:c>
      <x:c r="O32" s="26" t="str">
        <x:v>NO</x:v>
      </x:c>
      <x:c r="P32" s="27" t="str">
        <x:v>NO</x:v>
      </x:c>
    </x:row>
    <x:row r="33">
      <x:c r="A33" s="25" t="str">
        <x:v>HP</x:v>
      </x:c>
      <x:c r="B33" s="32" t="n">
        <x:v>11</x:v>
      </x:c>
      <x:c r="C33" s="35" t="n">
        <x:v>0.0499999999999999</x:v>
      </x:c>
      <x:c r="D33" s="32" t="n">
        <x:v>28</x:v>
      </x:c>
      <x:c r="E33" s="32" t="n">
        <x:v>39</x:v>
      </x:c>
      <x:c r="F33" s="35" t="n">
        <x:v>-0.0599999999999998</x:v>
      </x:c>
      <x:c r="G33" s="35" t="n">
        <x:v>-0.0099999999999999</x:v>
      </x:c>
      <x:c r="H33" s="50" t="n">
        <x:v>4.20008531395974e-9</x:v>
      </x:c>
      <x:c r="I33" s="50" t="n">
        <x:v>1.5400491344679292e-8</x:v>
      </x:c>
      <x:c r="J33" s="47" t="n">
        <x:v>0.5642764649315186</x:v>
      </x:c>
      <x:c r="K33" s="47" t="n">
        <x:v>11.294592425020745</x:v>
      </x:c>
      <x:c r="L33" s="47" t="n">
        <x:v>0.9999733757999616</x:v>
      </x:c>
      <x:c r="M33" s="35" t="n">
        <x:v>88.53794474112361</x:v>
      </x:c>
      <x:c r="N33" s="98" t="n">
        <x:v>0.000011499715929781077</x:v>
      </x:c>
      <x:c r="O33" s="26" t="str">
        <x:v>NO</x:v>
      </x:c>
      <x:c r="P33" s="27" t="str">
        <x:v>NO</x:v>
      </x:c>
    </x:row>
    <x:row r="34">
      <x:c r="A34" s="25" t="str">
        <x:v>HP</x:v>
      </x:c>
      <x:c r="B34" s="32" t="n">
        <x:v>11</x:v>
      </x:c>
      <x:c r="C34" s="35" t="n">
        <x:v>0.05</x:v>
      </x:c>
      <x:c r="D34" s="32" t="n">
        <x:v>29</x:v>
      </x:c>
      <x:c r="E34" s="32" t="n">
        <x:v>40</x:v>
      </x:c>
      <x:c r="F34" s="35" t="n">
        <x:v>-0.0549999999999999</x:v>
      </x:c>
      <x:c r="G34" s="35" t="n">
        <x:v>-0.0049999999999999</x:v>
      </x:c>
      <x:c r="H34" s="50" t="n">
        <x:v>4.7698305515960835e-9</x:v>
      </x:c>
      <x:c r="I34" s="50" t="n">
        <x:v>1.7569106325909142e-8</x:v>
      </x:c>
      <x:c r="J34" s="47" t="n">
        <x:v>0.5662467201500112</x:v>
      </x:c>
      <x:c r="K34" s="47" t="n">
        <x:v>11.332923638841955</x:v>
      </x:c>
      <x:c r="L34" s="47" t="n">
        <x:v>0.9999818589420648</x:v>
      </x:c>
      <x:c r="M34" s="35" t="n">
        <x:v>88.23848389595116</x:v>
      </x:c>
      <x:c r="N34" s="98" t="n">
        <x:v>0.000013119044539957322</x:v>
      </x:c>
      <x:c r="O34" s="26" t="str">
        <x:v>NO</x:v>
      </x:c>
      <x:c r="P34" s="27" t="str">
        <x:v>NO</x:v>
      </x:c>
    </x:row>
    <x:row r="35">
      <x:c r="A35" s="25" t="str">
        <x:v>HP</x:v>
      </x:c>
      <x:c r="B35" s="32" t="n">
        <x:v>11</x:v>
      </x:c>
      <x:c r="C35" s="35" t="n">
        <x:v>0.049999999999999996</x:v>
      </x:c>
      <x:c r="D35" s="32" t="n">
        <x:v>30</x:v>
      </x:c>
      <x:c r="E35" s="32" t="n">
        <x:v>41</x:v>
      </x:c>
      <x:c r="F35" s="35" t="n">
        <x:v>-0.0499999999999999</x:v>
      </x:c>
      <x:c r="G35" s="35" t="n">
        <x:v>9.887923813067799e-17</x:v>
      </x:c>
      <x:c r="H35" s="50" t="n">
        <x:v>5.421703233852641e-9</x:v>
      </x:c>
      <x:c r="I35" s="50" t="n">
        <x:v>2.0044996539171842e-8</x:v>
      </x:c>
      <x:c r="J35" s="47" t="n">
        <x:v>0.567870243556361</x:v>
      </x:c>
      <x:c r="K35" s="47" t="n">
        <x:v>11.364453119557682</x:v>
      </x:c>
      <x:c r="L35" s="47" t="n">
        <x:v>0.9999879500009964</x:v>
      </x:c>
      <x:c r="M35" s="35" t="n">
        <x:v>87.99367549671595</x:v>
      </x:c>
      <x:c r="N35" s="98" t="n">
        <x:v>0.000014967818938683434</x:v>
      </x:c>
      <x:c r="O35" s="26" t="str">
        <x:v>NO</x:v>
      </x:c>
      <x:c r="P35" s="27" t="str">
        <x:v>NO</x:v>
      </x:c>
    </x:row>
    <x:row r="36">
      <x:c r="A36" s="25" t="str">
        <x:v>HP</x:v>
      </x:c>
      <x:c r="B36" s="32" t="n">
        <x:v>11</x:v>
      </x:c>
      <x:c r="C36" s="35" t="n">
        <x:v>0.0499999999999999</x:v>
      </x:c>
      <x:c r="D36" s="32" t="n">
        <x:v>31</x:v>
      </x:c>
      <x:c r="E36" s="32" t="n">
        <x:v>42</x:v>
      </x:c>
      <x:c r="F36" s="35" t="n">
        <x:v>-0.0449999999999999</x:v>
      </x:c>
      <x:c r="G36" s="35" t="n">
        <x:v>0.005</x:v>
      </x:c>
      <x:c r="H36" s="50" t="n">
        <x:v>6.167359286893276e-9</x:v>
      </x:c>
      <x:c r="I36" s="50" t="n">
        <x:v>2.287108290455236e-8</x:v>
      </x:c>
      <x:c r="J36" s="47" t="n">
        <x:v>0.56918747864664</x:v>
      </x:c>
      <x:c r="K36" s="47" t="n">
        <x:v>11.38997791754602</x:v>
      </x:c>
      <x:c r="L36" s="47" t="n">
        <x:v>0.9999922670417687</x:v>
      </x:c>
      <x:c r="M36" s="35" t="n">
        <x:v>87.79648277100881</x:v>
      </x:c>
      <x:c r="N36" s="98" t="n">
        <x:v>0.00001707808864810615</x:v>
      </x:c>
      <x:c r="O36" s="26" t="str">
        <x:v>NO</x:v>
      </x:c>
      <x:c r="P36" s="27" t="str">
        <x:v>NO</x:v>
      </x:c>
    </x:row>
    <x:row r="37">
      <x:c r="A37" s="25" t="str">
        <x:v>HP</x:v>
      </x:c>
      <x:c r="B37" s="32" t="n">
        <x:v>11</x:v>
      </x:c>
      <x:c r="C37" s="35" t="n">
        <x:v>0.049999999999999996</x:v>
      </x:c>
      <x:c r="D37" s="32" t="n">
        <x:v>32</x:v>
      </x:c>
      <x:c r="E37" s="32" t="n">
        <x:v>43</x:v>
      </x:c>
      <x:c r="F37" s="35" t="n">
        <x:v>-0.0399999999999999</x:v>
      </x:c>
      <x:c r="G37" s="35" t="n">
        <x:v>0.0100000000000001</x:v>
      </x:c>
      <x:c r="H37" s="50" t="n">
        <x:v>7.0200943853620204e-9</x:v>
      </x:c>
      <x:c r="I37" s="50" t="n">
        <x:v>2.6096169728378883e-8</x:v>
      </x:c>
      <x:c r="J37" s="47" t="n">
        <x:v>0.5702338170679315</x:v>
      </x:c>
      <x:c r="K37" s="47" t="n">
        <x:v>11.410194096573845</x:v>
      </x:c>
      <x:c r="L37" s="47" t="n">
        <x:v>0.9999952712890403</x:v>
      </x:c>
      <x:c r="M37" s="35" t="n">
        <x:v>87.64092806276375</x:v>
      </x:c>
      <x:c r="N37" s="98" t="n">
        <x:v>0.000019486296379458715</x:v>
      </x:c>
      <x:c r="O37" s="26" t="str">
        <x:v>NO</x:v>
      </x:c>
      <x:c r="P37" s="27" t="str">
        <x:v>NO</x:v>
      </x:c>
    </x:row>
    <x:row r="38">
      <x:c r="A38" s="25" t="str">
        <x:v>HP</x:v>
      </x:c>
      <x:c r="B38" s="32" t="n">
        <x:v>11</x:v>
      </x:c>
      <x:c r="C38" s="35" t="n">
        <x:v>0.05</x:v>
      </x:c>
      <x:c r="D38" s="32" t="n">
        <x:v>33</x:v>
      </x:c>
      <x:c r="E38" s="32" t="n">
        <x:v>44</x:v>
      </x:c>
      <x:c r="F38" s="35" t="n">
        <x:v>-0.0349999999999999</x:v>
      </x:c>
      <x:c r="G38" s="35" t="n">
        <x:v>0.0150000000000001</x:v>
      </x:c>
      <x:c r="H38" s="50" t="n">
        <x:v>7.995071005998663e-9</x:v>
      </x:c>
      <x:c r="I38" s="50" t="n">
        <x:v>2.9775727179494693e-8</x:v>
      </x:c>
      <x:c r="J38" s="47" t="n">
        <x:v>0.5710400514108347</x:v>
      </x:c>
      <x:c r="K38" s="47" t="n">
        <x:v>11.425706153659798</x:v>
      </x:c>
      <x:c r="L38" s="47" t="n">
        <x:v>0.9999973055417336</x:v>
      </x:c>
      <x:c r="M38" s="35" t="n">
        <x:v>87.52194276234624</x:v>
      </x:c>
      <x:c r="N38" s="98" t="n">
        <x:v>0.00002223386231668189</x:v>
      </x:c>
      <x:c r="O38" s="26" t="str">
        <x:v>NO</x:v>
      </x:c>
      <x:c r="P38" s="27" t="str">
        <x:v>NO</x:v>
      </x:c>
    </x:row>
    <x:row r="39">
      <x:c r="A39" s="25" t="str">
        <x:v>HP</x:v>
      </x:c>
      <x:c r="B39" s="32" t="n">
        <x:v>11</x:v>
      </x:c>
      <x:c r="C39" s="35" t="n">
        <x:v>0.05</x:v>
      </x:c>
      <x:c r="D39" s="32" t="n">
        <x:v>34</x:v>
      </x:c>
      <x:c r="E39" s="32" t="n">
        <x:v>45</x:v>
      </x:c>
      <x:c r="F39" s="35" t="n">
        <x:v>-0.0299999999999999</x:v>
      </x:c>
      <x:c r="G39" s="35" t="n">
        <x:v>0.0200000000000001</x:v>
      </x:c>
      <x:c r="H39" s="50" t="n">
        <x:v>9.109576162781833e-9</x:v>
      </x:c>
      <x:c r="I39" s="50" t="n">
        <x:v>3.397277284792525e-8</x:v>
      </x:c>
      <x:c r="J39" s="47" t="n">
        <x:v>0.5716328240911874</x:v>
      </x:c>
      <x:c r="K39" s="47" t="n">
        <x:v>11.43703623205318</x:v>
      </x:c>
      <x:c r="L39" s="47" t="n">
        <x:v>0.9999986235076499</x:v>
      </x:c>
      <x:c r="M39" s="35" t="n">
        <x:v>87.43523931465938</x:v>
      </x:c>
      <x:c r="N39" s="98" t="n">
        <x:v>0.000025367842385957054</x:v>
      </x:c>
      <x:c r="O39" s="26" t="str">
        <x:v>NO</x:v>
      </x:c>
      <x:c r="P39" s="27" t="str">
        <x:v>NO</x:v>
      </x:c>
    </x:row>
    <x:row r="40">
      <x:c r="A40" s="25" t="str">
        <x:v>HP</x:v>
      </x:c>
      <x:c r="B40" s="32" t="n">
        <x:v>11</x:v>
      </x:c>
      <x:c r="C40" s="35" t="n">
        <x:v>0.05</x:v>
      </x:c>
      <x:c r="D40" s="32" t="n">
        <x:v>35</x:v>
      </x:c>
      <x:c r="E40" s="32" t="n">
        <x:v>46</x:v>
      </x:c>
      <x:c r="F40" s="35" t="n">
        <x:v>-0.0249999999999999</x:v>
      </x:c>
      <x:c r="G40" s="35" t="n">
        <x:v>0.0250000000000001</x:v>
      </x:c>
      <x:c r="H40" s="50" t="n">
        <x:v>1.0383313802526422e-8</x:v>
      </x:c>
      <x:c r="I40" s="50" t="n">
        <x:v>3.8758863913740275e-8</x:v>
      </x:c>
      <x:c r="J40" s="47" t="n">
        <x:v>0.5720350593003651</x:v>
      </x:c>
      <x:c r="K40" s="47" t="n">
        <x:v>11.44463289774336</x:v>
      </x:c>
      <x:c r="L40" s="47" t="n">
        <x:v>0.9999994120788693</x:v>
      </x:c>
      <x:c r="M40" s="35" t="n">
        <x:v>87.37720195439199</x:v>
      </x:c>
      <x:c r="N40" s="98" t="n">
        <x:v>0.000028941669119086008</x:v>
      </x:c>
      <x:c r="O40" s="26" t="str">
        <x:v>NO</x:v>
      </x:c>
      <x:c r="P40" s="27" t="str">
        <x:v>NO</x:v>
      </x:c>
    </x:row>
    <x:row r="41">
      <x:c r="A41" s="25" t="str">
        <x:v>HP</x:v>
      </x:c>
      <x:c r="B41" s="32" t="n">
        <x:v>11</x:v>
      </x:c>
      <x:c r="C41" s="35" t="n">
        <x:v>0.05</x:v>
      </x:c>
      <x:c r="D41" s="32" t="n">
        <x:v>36</x:v>
      </x:c>
      <x:c r="E41" s="32" t="n">
        <x:v>47</x:v>
      </x:c>
      <x:c r="F41" s="35" t="n">
        <x:v>-0.0199999999999999</x:v>
      </x:c>
      <x:c r="G41" s="35" t="n">
        <x:v>0.0300000000000001</x:v>
      </x:c>
      <x:c r="H41" s="50" t="n">
        <x:v>1.1838736322293511e-8</x:v>
      </x:c>
      <x:c r="I41" s="50" t="n">
        <x:v>4.4215212590877827e-8</x:v>
      </x:c>
      <x:c r="J41" s="47" t="n">
        <x:v>0.5722663696200536</x:v>
      </x:c>
      <x:c r="K41" s="47" t="n">
        <x:v>11.448879337150888</x:v>
      </x:c>
      <x:c r="L41" s="47" t="n">
        <x:v>0.9999998081630858</x:v>
      </x:c>
      <x:c r="M41" s="35" t="n">
        <x:v>87.34479336812149</x:v>
      </x:c>
      <x:c r="N41" s="98" t="n">
        <x:v>0.00003301598456763803</x:v>
      </x:c>
      <x:c r="O41" s="26" t="str">
        <x:v>NO</x:v>
      </x:c>
      <x:c r="P41" s="27" t="str">
        <x:v>NO</x:v>
      </x:c>
    </x:row>
    <x:row r="42">
      <x:c r="A42" s="25" t="str">
        <x:v>HP</x:v>
      </x:c>
      <x:c r="B42" s="32" t="n">
        <x:v>11</x:v>
      </x:c>
      <x:c r="C42" s="35" t="n">
        <x:v>0.05</x:v>
      </x:c>
      <x:c r="D42" s="32" t="n">
        <x:v>37</x:v>
      </x:c>
      <x:c r="E42" s="32" t="n">
        <x:v>48</x:v>
      </x:c>
      <x:c r="F42" s="35" t="n">
        <x:v>-0.0149999999999999</x:v>
      </x:c>
      <x:c r="G42" s="35" t="n">
        <x:v>0.0350000000000001</x:v>
      </x:c>
      <x:c r="H42" s="50" t="n">
        <x:v>1.3501420203353691e-8</x:v>
      </x:c>
      <x:c r="I42" s="50" t="n">
        <x:v>5.043393871940648e-8</x:v>
      </x:c>
      <x:c r="J42" s="47" t="n">
        <x:v>0.5723434324289727</x:v>
      </x:c>
      <x:c r="K42" s="47" t="n">
        <x:v>11.450100899167438</x:v>
      </x:c>
      <x:c r="L42" s="47" t="n">
        <x:v>0.9999999113457294</x:v>
      </x:c>
      <x:c r="M42" s="35" t="n">
        <x:v>87.33547492779843</x:v>
      </x:c>
      <x:c r="N42" s="98" t="n">
        <x:v>0.000037659575627341074</x:v>
      </x:c>
      <x:c r="O42" s="26" t="str">
        <x:v>NO</x:v>
      </x:c>
      <x:c r="P42" s="27" t="str">
        <x:v>NO</x:v>
      </x:c>
    </x:row>
    <x:row r="43">
      <x:c r="A43" s="25" t="str">
        <x:v>HP</x:v>
      </x:c>
      <x:c r="B43" s="32" t="n">
        <x:v>11</x:v>
      </x:c>
      <x:c r="C43" s="35" t="n">
        <x:v>0.049999999999999996</x:v>
      </x:c>
      <x:c r="D43" s="32" t="n">
        <x:v>38</x:v>
      </x:c>
      <x:c r="E43" s="32" t="n">
        <x:v>49</x:v>
      </x:c>
      <x:c r="F43" s="35" t="n">
        <x:v>-0.0099999999999999</x:v>
      </x:c>
      <x:c r="G43" s="35" t="n">
        <x:v>0.0400000000000001</x:v>
      </x:c>
      <x:c r="H43" s="50" t="n">
        <x:v>1.5400491344679292e-8</x:v>
      </x:c>
      <x:c r="I43" s="50" t="n">
        <x:v>5.751947465615888e-8</x:v>
      </x:c>
      <x:c r="J43" s="47" t="n">
        <x:v>0.5722803338444837</x:v>
      </x:c>
      <x:c r="K43" s="47" t="n">
        <x:v>11.448571952661291</x:v>
      </x:c>
      <x:c r="L43" s="47" t="n">
        <x:v>0.9999997933784528</x:v>
      </x:c>
      <x:c r="M43" s="35" t="n">
        <x:v>87.34713850206828</x:v>
      </x:c>
      <x:c r="N43" s="98" t="n">
        <x:v>0.000042950423085338506</x:v>
      </x:c>
      <x:c r="O43" s="26" t="str">
        <x:v>NO</x:v>
      </x:c>
      <x:c r="P43" s="27" t="str">
        <x:v>NO</x:v>
      </x:c>
    </x:row>
    <x:row r="44">
      <x:c r="A44" s="25" t="str">
        <x:v>HP</x:v>
      </x:c>
      <x:c r="B44" s="32" t="n">
        <x:v>11</x:v>
      </x:c>
      <x:c r="C44" s="35" t="n">
        <x:v>0.05</x:v>
      </x:c>
      <x:c r="D44" s="32" t="n">
        <x:v>39</x:v>
      </x:c>
      <x:c r="E44" s="32" t="n">
        <x:v>50</x:v>
      </x:c>
      <x:c r="F44" s="35" t="n">
        <x:v>-0.0049999999999999</x:v>
      </x:c>
      <x:c r="G44" s="35" t="n">
        <x:v>0.0450000000000001</x:v>
      </x:c>
      <x:c r="H44" s="50" t="n">
        <x:v>1.7569106325909142e-8</x:v>
      </x:c>
      <x:c r="I44" s="50" t="n">
        <x:v>6.559013895214705e-8</x:v>
      </x:c>
      <x:c r="J44" s="47" t="n">
        <x:v>0.5720888798152544</x:v>
      </x:c>
      <x:c r="K44" s="47" t="n">
        <x:v>11.444522063968273</x:v>
      </x:c>
      <x:c r="L44" s="47" t="n">
        <x:v>0.9999995052644433</x:v>
      </x:c>
      <x:c r="M44" s="35" t="n">
        <x:v>87.37804815356877</x:v>
      </x:c>
      <x:c r="N44" s="98" t="n">
        <x:v>0.000048976876702388556</x:v>
      </x:c>
      <x:c r="O44" s="26" t="str">
        <x:v>NO</x:v>
      </x:c>
      <x:c r="P44" s="27" t="str">
        <x:v>NO</x:v>
      </x:c>
    </x:row>
    <x:row r="45">
      <x:c r="A45" s="25" t="str">
        <x:v>HP</x:v>
      </x:c>
      <x:c r="B45" s="32" t="n">
        <x:v>11</x:v>
      </x:c>
      <x:c r="C45" s="35" t="n">
        <x:v>0.049999999999999906</x:v>
      </x:c>
      <x:c r="D45" s="32" t="n">
        <x:v>40</x:v>
      </x:c>
      <x:c r="E45" s="32" t="n">
        <x:v>51</x:v>
      </x:c>
      <x:c r="F45" s="35" t="n">
        <x:v>9.887923813067799e-17</x:v>
      </x:c>
      <x:c r="G45" s="35" t="n">
        <x:v>0.05</x:v>
      </x:c>
      <x:c r="H45" s="50" t="n">
        <x:v>2.0044996539171842e-8</x:v>
      </x:c>
      <x:c r="I45" s="50" t="n">
        <x:v>7.477989669704965e-8</x:v>
      </x:c>
      <x:c r="J45" s="47" t="n">
        <x:v>0.571778875268282</x:v>
      </x:c>
      <x:c r="K45" s="47" t="n">
        <x:v>11.438141521610072</x:v>
      </x:c>
      <x:c r="L45" s="47" t="n">
        <x:v>0.9999990825322689</x:v>
      </x:c>
      <x:c r="M45" s="35" t="n">
        <x:v>87.42679027975836</x:v>
      </x:c>
      <x:c r="N45" s="98" t="n">
        <x:v>0.000055838969681415265</x:v>
      </x:c>
      <x:c r="O45" s="26" t="str">
        <x:v>NO</x:v>
      </x:c>
      <x:c r="P45" s="27" t="str">
        <x:v>NO</x:v>
      </x:c>
    </x:row>
    <x:row r="46">
      <x:c r="A46" s="25" t="str">
        <x:v>HP</x:v>
      </x:c>
      <x:c r="B46" s="32" t="n">
        <x:v>11</x:v>
      </x:c>
      <x:c r="C46" s="35" t="n">
        <x:v>0.05</x:v>
      </x:c>
      <x:c r="D46" s="32" t="n">
        <x:v>41</x:v>
      </x:c>
      <x:c r="E46" s="32" t="n">
        <x:v>52</x:v>
      </x:c>
      <x:c r="F46" s="35" t="n">
        <x:v>0.005</x:v>
      </x:c>
      <x:c r="G46" s="35" t="n">
        <x:v>0.055</x:v>
      </x:c>
      <x:c r="H46" s="50" t="n">
        <x:v>2.287108290455236e-8</x:v>
      </x:c>
      <x:c r="I46" s="50" t="n">
        <x:v>8.524032584503317e-8</x:v>
      </x:c>
      <x:c r="J46" s="47" t="n">
        <x:v>0.5713583730522362</x:v>
      </x:c>
      <x:c r="K46" s="47" t="n">
        <x:v>11.429586249687626</x:v>
      </x:c>
      <x:c r="L46" s="47" t="n">
        <x:v>0.999998549149775</x:v>
      </x:c>
      <x:c r="M46" s="35" t="n">
        <x:v>87.49223096569487</x:v>
      </x:c>
      <x:c r="N46" s="98" t="n">
        <x:v>0.00006364988694458246</x:v>
      </x:c>
      <x:c r="O46" s="26" t="str">
        <x:v>NO</x:v>
      </x:c>
      <x:c r="P46" s="27" t="str">
        <x:v>NO</x:v>
      </x:c>
    </x:row>
    <x:row r="47">
      <x:c r="A47" s="25" t="str">
        <x:v>HP</x:v>
      </x:c>
      <x:c r="B47" s="32" t="n">
        <x:v>11</x:v>
      </x:c>
      <x:c r="C47" s="35" t="n">
        <x:v>0.0499999999999999</x:v>
      </x:c>
      <x:c r="D47" s="32" t="n">
        <x:v>42</x:v>
      </x:c>
      <x:c r="E47" s="32" t="n">
        <x:v>53</x:v>
      </x:c>
      <x:c r="F47" s="35" t="n">
        <x:v>0.0100000000000001</x:v>
      </x:c>
      <x:c r="G47" s="35" t="n">
        <x:v>0.06</x:v>
      </x:c>
      <x:c r="H47" s="50" t="n">
        <x:v>2.6096169728378883e-8</x:v>
      </x:c>
      <x:c r="I47" s="50" t="n">
        <x:v>9.714281029803717e-8</x:v>
      </x:c>
      <x:c r="J47" s="47" t="n">
        <x:v>0.5708338949255598</x:v>
      </x:c>
      <x:c r="K47" s="47" t="n">
        <x:v>11.418982159554202</x:v>
      </x:c>
      <x:c r="L47" s="47" t="n">
        <x:v>0.999997920420734</x:v>
      </x:c>
      <x:c r="M47" s="35" t="n">
        <x:v>87.5734794946943</x:v>
      </x:c>
      <x:c r="N47" s="98" t="n">
        <x:v>0.00007253760273265507</x:v>
      </x:c>
      <x:c r="O47" s="26" t="str">
        <x:v>NO</x:v>
      </x:c>
      <x:c r="P47" s="27" t="str">
        <x:v>NO</x:v>
      </x:c>
    </x:row>
    <x:row r="48">
      <x:c r="A48" s="25" t="str">
        <x:v>HP</x:v>
      </x:c>
      <x:c r="B48" s="32" t="n">
        <x:v>11</x:v>
      </x:c>
      <x:c r="C48" s="35" t="n">
        <x:v>0.049999999999999906</x:v>
      </x:c>
      <x:c r="D48" s="32" t="n">
        <x:v>43</x:v>
      </x:c>
      <x:c r="E48" s="32" t="n">
        <x:v>54</x:v>
      </x:c>
      <x:c r="F48" s="35" t="n">
        <x:v>0.0150000000000001</x:v>
      </x:c>
      <x:c r="G48" s="35" t="n">
        <x:v>0.065</x:v>
      </x:c>
      <x:c r="H48" s="50" t="n">
        <x:v>2.9775727179494693e-8</x:v>
      </x:c>
      <x:c r="I48" s="50" t="n">
        <x:v>1.106809819940524e-7</x:v>
      </x:c>
      <x:c r="J48" s="47" t="n">
        <x:v>0.5702106270978824</x:v>
      </x:c>
      <x:c r="K48" s="47" t="n">
        <x:v>11.406428993134645</x:v>
      </x:c>
      <x:c r="L48" s="47" t="n">
        <x:v>0.9999972051232431</x:v>
      </x:c>
      <x:c r="M48" s="35" t="n">
        <x:v>87.6698571132021</x:v>
      </x:c>
      <x:c r="N48" s="98" t="n">
        <x:v>0.0000826467041391219</x:v>
      </x:c>
      <x:c r="O48" s="26" t="str">
        <x:v>NO</x:v>
      </x:c>
      <x:c r="P48" s="27" t="str">
        <x:v>NO</x:v>
      </x:c>
    </x:row>
    <x:row r="49">
      <x:c r="A49" s="25" t="str">
        <x:v>HP</x:v>
      </x:c>
      <x:c r="B49" s="32" t="n">
        <x:v>11</x:v>
      </x:c>
      <x:c r="C49" s="35" t="n">
        <x:v>0.049999999999999906</x:v>
      </x:c>
      <x:c r="D49" s="32" t="n">
        <x:v>44</x:v>
      </x:c>
      <x:c r="E49" s="32" t="n">
        <x:v>55</x:v>
      </x:c>
      <x:c r="F49" s="35" t="n">
        <x:v>0.0200000000000001</x:v>
      </x:c>
      <x:c r="G49" s="35" t="n">
        <x:v>0.07</x:v>
      </x:c>
      <x:c r="H49" s="50" t="n">
        <x:v>3.397277284792525e-8</x:v>
      </x:c>
      <x:c r="I49" s="50" t="n">
        <x:v>1.260734357078407e-7</x:v>
      </x:c>
      <x:c r="J49" s="47" t="n">
        <x:v>0.5694925929246892</x:v>
      </x:c>
      <x:c r="K49" s="47" t="n">
        <x:v>11.392003711952308</x:v>
      </x:c>
      <x:c r="L49" s="47" t="n">
        <x:v>0.9999964070849345</x:v>
      </x:c>
      <x:c r="M49" s="35" t="n">
        <x:v>87.78087027401651</x:v>
      </x:c>
      <x:c r="N49" s="98" t="n">
        <x:v>0.00009414041828169201</x:v>
      </x:c>
      <x:c r="O49" s="26" t="str">
        <x:v>NO</x:v>
      </x:c>
      <x:c r="P49" s="27" t="str">
        <x:v>NO</x:v>
      </x:c>
    </x:row>
    <x:row r="50">
      <x:c r="A50" s="25" t="str">
        <x:v>HP</x:v>
      </x:c>
      <x:c r="B50" s="32" t="n">
        <x:v>11</x:v>
      </x:c>
      <x:c r="C50" s="35" t="n">
        <x:v>0.049999999999999996</x:v>
      </x:c>
      <x:c r="D50" s="32" t="n">
        <x:v>45</x:v>
      </x:c>
      <x:c r="E50" s="32" t="n">
        <x:v>56</x:v>
      </x:c>
      <x:c r="F50" s="35" t="n">
        <x:v>0.0250000000000001</x:v>
      </x:c>
      <x:c r="G50" s="35" t="n">
        <x:v>0.0750000000000001</x:v>
      </x:c>
      <x:c r="H50" s="50" t="n">
        <x:v>3.8758863913740275e-8</x:v>
      </x:c>
      <x:c r="I50" s="50" t="n">
        <x:v>1.435667416938999e-7</x:v>
      </x:c>
      <x:c r="J50" s="47" t="n">
        <x:v>0.5686828053256665</x:v>
      </x:c>
      <x:c r="K50" s="47" t="n">
        <x:v>11.37576348456605</x:v>
      </x:c>
      <x:c r="L50" s="47" t="n">
        <x:v>0.9999955263415589</x:v>
      </x:c>
      <x:c r="M50" s="35" t="n">
        <x:v>87.90618769076376</x:v>
      </x:c>
      <x:c r="N50" s="98" t="n">
        <x:v>0.00010720286187586482</x:v>
      </x:c>
      <x:c r="O50" s="26" t="str">
        <x:v>NO</x:v>
      </x:c>
      <x:c r="P50" s="27" t="str">
        <x:v>NO</x:v>
      </x:c>
    </x:row>
    <x:row r="51">
      <x:c r="A51" s="25" t="str">
        <x:v>HP</x:v>
      </x:c>
      <x:c r="B51" s="32" t="n">
        <x:v>11</x:v>
      </x:c>
      <x:c r="C51" s="35" t="n">
        <x:v>0.05</x:v>
      </x:c>
      <x:c r="D51" s="32" t="n">
        <x:v>46</x:v>
      </x:c>
      <x:c r="E51" s="32" t="n">
        <x:v>57</x:v>
      </x:c>
      <x:c r="F51" s="35" t="n">
        <x:v>0.0300000000000001</x:v>
      </x:c>
      <x:c r="G51" s="35" t="n">
        <x:v>0.0800000000000001</x:v>
      </x:c>
      <x:c r="H51" s="50" t="n">
        <x:v>4.4215212590877827e-8</x:v>
      </x:c>
      <x:c r="I51" s="50" t="n">
        <x:v>1.634387826574535e-7</x:v>
      </x:c>
      <x:c r="J51" s="47" t="n">
        <x:v>0.567783401392302</x:v>
      </x:c>
      <x:c r="K51" s="47" t="n">
        <x:v>11.357748322443962</x:v>
      </x:c>
      <x:c r="L51" s="47" t="n">
        <x:v>0.9999945599888929</x:v>
      </x:c>
      <x:c r="M51" s="35" t="n">
        <x:v>88.04562062921464</x:v>
      </x:c>
      <x:c r="N51" s="98" t="n">
        <x:v>0.00012204153298779603</x:v>
      </x:c>
      <x:c r="O51" s="26" t="str">
        <x:v>NO</x:v>
      </x:c>
      <x:c r="P51" s="27" t="str">
        <x:v>NO</x:v>
      </x:c>
    </x:row>
    <x:row r="52">
      <x:c r="A52" s="25" t="str">
        <x:v>HP</x:v>
      </x:c>
      <x:c r="B52" s="32" t="n">
        <x:v>11</x:v>
      </x:c>
      <x:c r="C52" s="35" t="n">
        <x:v>0.05</x:v>
      </x:c>
      <x:c r="D52" s="32" t="n">
        <x:v>47</x:v>
      </x:c>
      <x:c r="E52" s="32" t="n">
        <x:v>58</x:v>
      </x:c>
      <x:c r="F52" s="35" t="n">
        <x:v>0.0350000000000001</x:v>
      </x:c>
      <x:c r="G52" s="35" t="n">
        <x:v>0.0850000000000001</x:v>
      </x:c>
      <x:c r="H52" s="50" t="n">
        <x:v>5.043393871940648e-8</x:v>
      </x:c>
      <x:c r="I52" s="50" t="n">
        <x:v>1.860024427952476e-7</x:v>
      </x:c>
      <x:c r="J52" s="47" t="n">
        <x:v>0.5667957614952188</x:v>
      </x:c>
      <x:c r="K52" s="47" t="n">
        <x:v>11.337983410825927</x:v>
      </x:c>
      <x:c r="L52" s="47" t="n">
        <x:v>0.9999935028104335</x:v>
      </x:c>
      <x:c r="M52" s="35" t="n">
        <x:v>88.19910594022944</x:v>
      </x:c>
      <x:c r="N52" s="98" t="n">
        <x:v>0.00013889006568155345</x:v>
      </x:c>
      <x:c r="O52" s="26" t="str">
        <x:v>NO</x:v>
      </x:c>
      <x:c r="P52" s="27" t="str">
        <x:v>NO</x:v>
      </x:c>
    </x:row>
    <x:row r="53">
      <x:c r="A53" s="25" t="str">
        <x:v>HP</x:v>
      </x:c>
      <x:c r="B53" s="32" t="n">
        <x:v>11</x:v>
      </x:c>
      <x:c r="C53" s="35" t="n">
        <x:v>0.049999999999999996</x:v>
      </x:c>
      <x:c r="D53" s="32" t="n">
        <x:v>48</x:v>
      </x:c>
      <x:c r="E53" s="32" t="n">
        <x:v>59</x:v>
      </x:c>
      <x:c r="F53" s="35" t="n">
        <x:v>0.0400000000000001</x:v>
      </x:c>
      <x:c r="G53" s="35" t="n">
        <x:v>0.0900000000000001</x:v>
      </x:c>
      <x:c r="H53" s="50" t="n">
        <x:v>5.751947465615888e-8</x:v>
      </x:c>
      <x:c r="I53" s="50" t="n">
        <x:v>2.116096777673938e-7</x:v>
      </x:c>
      <x:c r="J53" s="47" t="n">
        <x:v>0.565720615020596</x:v>
      </x:c>
      <x:c r="K53" s="47" t="n">
        <x:v>11.316481177240602</x:v>
      </x:c>
      <x:c r="L53" s="47" t="n">
        <x:v>0.9999923477427637</x:v>
      </x:c>
      <x:c r="M53" s="35" t="n">
        <x:v>88.36669140679284</x:v>
      </x:c>
      <x:c r="N53" s="98" t="n">
        <x:v>0.00015801126911176578</x:v>
      </x:c>
      <x:c r="O53" s="26" t="str">
        <x:v>NO</x:v>
      </x:c>
      <x:c r="P53" s="27" t="str">
        <x:v>NO</x:v>
      </x:c>
    </x:row>
    <x:row r="54">
      <x:c r="A54" s="25" t="str">
        <x:v>HP</x:v>
      </x:c>
      <x:c r="B54" s="32" t="n">
        <x:v>11</x:v>
      </x:c>
      <x:c r="C54" s="35" t="n">
        <x:v>0.049999999999999996</x:v>
      </x:c>
      <x:c r="D54" s="32" t="n">
        <x:v>49</x:v>
      </x:c>
      <x:c r="E54" s="32" t="n">
        <x:v>60</x:v>
      </x:c>
      <x:c r="F54" s="35" t="n">
        <x:v>0.0450000000000001</x:v>
      </x:c>
      <x:c r="G54" s="35" t="n">
        <x:v>0.0950000000000001</x:v>
      </x:c>
      <x:c r="H54" s="50" t="n">
        <x:v>6.559013895214705e-8</x:v>
      </x:c>
      <x:c r="I54" s="50" t="n">
        <x:v>2.406559954042008e-7</x:v>
      </x:c>
      <x:c r="J54" s="47" t="n">
        <x:v>0.5645581346686583</x:v>
      </x:c>
      <x:c r="K54" s="47" t="n">
        <x:v>11.29324313627097</x:v>
      </x:c>
      <x:c r="L54" s="47" t="n">
        <x:v>0.9999910862251307</x:v>
      </x:c>
      <x:c r="M54" s="35" t="n">
        <x:v>88.5485230357132</x:v>
      </x:c>
      <x:c r="N54" s="98" t="n">
        <x:v>0.00017970047331659607</x:v>
      </x:c>
      <x:c r="O54" s="26" t="str">
        <x:v>NO</x:v>
      </x:c>
      <x:c r="P54" s="27" t="str">
        <x:v>NO</x:v>
      </x:c>
    </x:row>
    <x:row r="55">
      <x:c r="A55" s="25" t="str">
        <x:v>HP</x:v>
      </x:c>
      <x:c r="B55" s="32" t="n">
        <x:v>11</x:v>
      </x:c>
      <x:c r="C55" s="35" t="n">
        <x:v>0.0500000000000001</x:v>
      </x:c>
      <x:c r="D55" s="32" t="n">
        <x:v>50</x:v>
      </x:c>
      <x:c r="E55" s="32" t="n">
        <x:v>61</x:v>
      </x:c>
      <x:c r="F55" s="35" t="n">
        <x:v>0.05</x:v>
      </x:c>
      <x:c r="G55" s="35" t="n">
        <x:v>0.1000000000000001</x:v>
      </x:c>
      <x:c r="H55" s="50" t="n">
        <x:v>7.477989669704965e-8</x:v>
      </x:c>
      <x:c r="I55" s="50" t="n">
        <x:v>2.735853776753727e-7</x:v>
      </x:c>
      <x:c r="J55" s="47" t="n">
        <x:v>0.5633080210475576</x:v>
      </x:c>
      <x:c r="K55" s="47" t="n">
        <x:v>11.2682615450818</x:v>
      </x:c>
      <x:c r="L55" s="47" t="n">
        <x:v>0.9999897084683459</x:v>
      </x:c>
      <x:c r="M55" s="35" t="n">
        <x:v>88.74483397454196</x:v>
      </x:c>
      <x:c r="N55" s="98" t="n">
        <x:v>0.00020428920450616783</x:v>
      </x:c>
      <x:c r="O55" s="26" t="str">
        <x:v>NO</x:v>
      </x:c>
      <x:c r="P55" s="27" t="str">
        <x:v>NO</x:v>
      </x:c>
    </x:row>
    <x:row r="56">
      <x:c r="A56" s="25" t="str">
        <x:v>HP</x:v>
      </x:c>
      <x:c r="B56" s="32" t="n">
        <x:v>11</x:v>
      </x:c>
      <x:c r="C56" s="35" t="n">
        <x:v>0.05000000000000009</x:v>
      </x:c>
      <x:c r="D56" s="32" t="n">
        <x:v>51</x:v>
      </x:c>
      <x:c r="E56" s="32" t="n">
        <x:v>62</x:v>
      </x:c>
      <x:c r="F56" s="35" t="n">
        <x:v>0.055</x:v>
      </x:c>
      <x:c r="G56" s="35" t="n">
        <x:v>0.1050000000000001</x:v>
      </x:c>
      <x:c r="H56" s="50" t="n">
        <x:v>8.524032584503317e-8</x:v>
      </x:c>
      <x:c r="I56" s="50" t="n">
        <x:v>3.108956749076387e-7</x:v>
      </x:c>
      <x:c r="J56" s="47" t="n">
        <x:v>0.5619695790969361</x:v>
      </x:c>
      <x:c r="K56" s="47" t="n">
        <x:v>11.241520900206039</x:v>
      </x:c>
      <x:c r="L56" s="47" t="n">
        <x:v>0.9999882036695846</x:v>
      </x:c>
      <x:c r="M56" s="35" t="n">
        <x:v>88.95593477762174</x:v>
      </x:c>
      <x:c r="N56" s="98" t="n">
        <x:v>0.00023214921298407863</x:v>
      </x:c>
      <x:c r="O56" s="26" t="str">
        <x:v>NO</x:v>
      </x:c>
      <x:c r="P56" s="27" t="str">
        <x:v>NO</x:v>
      </x:c>
    </x:row>
    <x:row r="57">
      <x:c r="A57" s="25" t="str">
        <x:v>HP</x:v>
      </x:c>
      <x:c r="B57" s="32" t="n">
        <x:v>11</x:v>
      </x:c>
      <x:c r="C57" s="35" t="n">
        <x:v>0.0500000000000001</x:v>
      </x:c>
      <x:c r="D57" s="32" t="n">
        <x:v>52</x:v>
      </x:c>
      <x:c r="E57" s="32" t="n">
        <x:v>63</x:v>
      </x:c>
      <x:c r="F57" s="35" t="n">
        <x:v>0.06</x:v>
      </x:c>
      <x:c r="G57" s="35" t="n">
        <x:v>0.1100000000000001</x:v>
      </x:c>
      <x:c r="H57" s="50" t="n">
        <x:v>9.714281029803717e-8</x:v>
      </x:c>
      <x:c r="I57" s="50" t="n">
        <x:v>3.531445033858148e-7</x:v>
      </x:c>
      <x:c r="J57" s="47" t="n">
        <x:v>0.5605417876807772</x:v>
      </x:c>
      <x:c r="K57" s="47" t="n">
        <x:v>11.212999302199899</x:v>
      </x:c>
      <x:c r="L57" s="47" t="n">
        <x:v>0.9999865601932724</x:v>
      </x:c>
      <x:c r="M57" s="35" t="n">
        <x:v>89.18220478296188</x:v>
      </x:c>
      <x:c r="N57" s="98" t="n">
        <x:v>0.0002636968769508472</x:v>
      </x:c>
      <x:c r="O57" s="26" t="str">
        <x:v>NO</x:v>
      </x:c>
      <x:c r="P57" s="27" t="str">
        <x:v>NO</x:v>
      </x:c>
    </x:row>
    <x:row r="58">
      <x:c r="A58" s="25" t="str">
        <x:v>HP</x:v>
      </x:c>
      <x:c r="B58" s="32" t="n">
        <x:v>11</x:v>
      </x:c>
      <x:c r="C58" s="35" t="n">
        <x:v>0.0500000000000001</x:v>
      </x:c>
      <x:c r="D58" s="32" t="n">
        <x:v>53</x:v>
      </x:c>
      <x:c r="E58" s="32" t="n">
        <x:v>64</x:v>
      </x:c>
      <x:c r="F58" s="35" t="n">
        <x:v>0.065</x:v>
      </x:c>
      <x:c r="G58" s="35" t="n">
        <x:v>0.1150000000000001</x:v>
      </x:c>
      <x:c r="H58" s="50" t="n">
        <x:v>1.106809819940524e-7</x:v>
      </x:c>
      <x:c r="I58" s="50" t="n">
        <x:v>4.009556772627965e-7</x:v>
      </x:c>
      <x:c r="J58" s="47" t="n">
        <x:v>0.559023363499902</x:v>
      </x:c>
      <x:c r="K58" s="47" t="n">
        <x:v>11.182669711011393</x:v>
      </x:c>
      <x:c r="L58" s="47" t="n">
        <x:v>0.9999847657333834</x:v>
      </x:c>
      <x:c r="M58" s="35" t="n">
        <x:v>89.42408439509899</x:v>
      </x:c>
      <x:c r="N58" s="98" t="n">
        <x:v>0.00029939800528170496</x:v>
      </x:c>
      <x:c r="O58" s="26" t="str">
        <x:v>NO</x:v>
      </x:c>
      <x:c r="P58" s="27" t="str">
        <x:v>NO</x:v>
      </x:c>
    </x:row>
    <x:row r="59">
      <x:c r="A59" s="25" t="str">
        <x:v>HP</x:v>
      </x:c>
      <x:c r="B59" s="32" t="n">
        <x:v>11</x:v>
      </x:c>
      <x:c r="C59" s="35" t="n">
        <x:v>0.0500000000000001</x:v>
      </x:c>
      <x:c r="D59" s="32" t="n">
        <x:v>54</x:v>
      </x:c>
      <x:c r="E59" s="32" t="n">
        <x:v>65</x:v>
      </x:c>
      <x:c r="F59" s="35" t="n">
        <x:v>0.07</x:v>
      </x:c>
      <x:c r="G59" s="35" t="n">
        <x:v>0.1200000000000001</x:v>
      </x:c>
      <x:c r="H59" s="50" t="n">
        <x:v>1.260734357078407e-7</x:v>
      </x:c>
      <x:c r="I59" s="50" t="n">
        <x:v>4.550262050904381e-7</x:v>
      </x:c>
      <x:c r="J59" s="47" t="n">
        <x:v>0.5574128202900717</x:v>
      </x:c>
      <x:c r="K59" s="47" t="n">
        <x:v>11.150501111260672</x:v>
      </x:c>
      <x:c r="L59" s="47" t="n">
        <x:v>0.9999828074686965</x:v>
      </x:c>
      <x:c r="M59" s="35" t="n">
        <x:v>89.68206809917446</x:v>
      </x:c>
      <x:c r="N59" s="98" t="n">
        <x:v>0.0003397730619130003</x:v>
      </x:c>
      <x:c r="O59" s="26" t="str">
        <x:v>NO</x:v>
      </x:c>
      <x:c r="P59" s="27" t="str">
        <x:v>NO</x:v>
      </x:c>
    </x:row>
    <x:row r="60">
      <x:c r="A60" s="25" t="str">
        <x:v>HP</x:v>
      </x:c>
      <x:c r="B60" s="32" t="n">
        <x:v>11</x:v>
      </x:c>
      <x:c r="C60" s="35" t="n">
        <x:v>0.05000000000000002</x:v>
      </x:c>
      <x:c r="D60" s="32" t="n">
        <x:v>55</x:v>
      </x:c>
      <x:c r="E60" s="32" t="n">
        <x:v>66</x:v>
      </x:c>
      <x:c r="F60" s="35" t="n">
        <x:v>0.0750000000000001</x:v>
      </x:c>
      <x:c r="G60" s="35" t="n">
        <x:v>0.1250000000000001</x:v>
      </x:c>
      <x:c r="H60" s="50" t="n">
        <x:v>1.435667416938999e-7</x:v>
      </x:c>
      <x:c r="I60" s="50" t="n">
        <x:v>5.161338802160976e-7</x:v>
      </x:c>
      <x:c r="J60" s="47" t="n">
        <x:v>0.5557085240922133</x:v>
      </x:c>
      <x:c r="K60" s="47" t="n">
        <x:v>11.116459603086945</x:v>
      </x:c>
      <x:c r="L60" s="47" t="n">
        <x:v>0.9999806722194848</x:v>
      </x:c>
      <x:c r="M60" s="35" t="n">
        <x:v>89.9566980590033</x:v>
      </x:c>
      <x:c r="N60" s="98" t="n">
        <x:v>0.00038540283367461466</x:v>
      </x:c>
      <x:c r="O60" s="26" t="str">
        <x:v>NO</x:v>
      </x:c>
      <x:c r="P60" s="27" t="str">
        <x:v>NO</x:v>
      </x:c>
    </x:row>
    <x:row r="61">
      <x:c r="A61" s="25" t="str">
        <x:v>HP</x:v>
      </x:c>
      <x:c r="B61" s="32" t="n">
        <x:v>11</x:v>
      </x:c>
      <x:c r="C61" s="35" t="n">
        <x:v>0.04999999999999999</x:v>
      </x:c>
      <x:c r="D61" s="32" t="n">
        <x:v>56</x:v>
      </x:c>
      <x:c r="E61" s="32" t="n">
        <x:v>67</x:v>
      </x:c>
      <x:c r="F61" s="35" t="n">
        <x:v>0.0800000000000001</x:v>
      </x:c>
      <x:c r="G61" s="35" t="n">
        <x:v>0.1300000000000001</x:v>
      </x:c>
      <x:c r="H61" s="50" t="n">
        <x:v>1.634387826574535e-7</x:v>
      </x:c>
      <x:c r="I61" s="50" t="n">
        <x:v>5.851454927207171e-7</x:v>
      </x:c>
      <x:c r="J61" s="47" t="n">
        <x:v>0.5539087452045814</x:v>
      </x:c>
      <x:c r="K61" s="47" t="n">
        <x:v>11.080509430723165</x:v>
      </x:c>
      <x:c r="L61" s="47" t="n">
        <x:v>0.999978346611488</x:v>
      </x:c>
      <x:c r="M61" s="35" t="n">
        <x:v>90.24855817795513</x:v>
      </x:c>
      <x:c r="N61" s="98" t="n">
        <x:v>0.00043693456223426467</x:v>
      </x:c>
      <x:c r="O61" s="26" t="str">
        <x:v>NO</x:v>
      </x:c>
      <x:c r="P61" s="27" t="str">
        <x:v>NO</x:v>
      </x:c>
    </x:row>
    <x:row r="62">
      <x:c r="A62" s="25" t="str">
        <x:v>HP</x:v>
      </x:c>
      <x:c r="B62" s="32" t="n">
        <x:v>11</x:v>
      </x:c>
      <x:c r="C62" s="35" t="n">
        <x:v>0.04999999999999999</x:v>
      </x:c>
      <x:c r="D62" s="32" t="n">
        <x:v>57</x:v>
      </x:c>
      <x:c r="E62" s="32" t="n">
        <x:v>68</x:v>
      </x:c>
      <x:c r="F62" s="35" t="n">
        <x:v>0.0850000000000001</x:v>
      </x:c>
      <x:c r="G62" s="35" t="n">
        <x:v>0.1350000000000001</x:v>
      </x:c>
      <x:c r="H62" s="50" t="n">
        <x:v>1.860024427952476e-7</x:v>
      </x:c>
      <x:c r="I62" s="50" t="n">
        <x:v>6.630256884499344e-7</x:v>
      </x:c>
      <x:c r="J62" s="47" t="n">
        <x:v>0.5520117072522375</x:v>
      </x:c>
      <x:c r="K62" s="47" t="n">
        <x:v>11.042613957516332</x:v>
      </x:c>
      <x:c r="L62" s="47" t="n">
        <x:v>0.9999758172505937</x:v>
      </x:c>
      <x:c r="M62" s="35" t="n">
        <x:v>90.55826852656874</x:v>
      </x:c>
      <x:c r="N62" s="98" t="n">
        <x:v>0.0004950885592332739</x:v>
      </x:c>
      <x:c r="O62" s="26" t="str">
        <x:v>NO</x:v>
      </x:c>
      <x:c r="P62" s="27" t="str">
        <x:v>NO</x:v>
      </x:c>
    </x:row>
    <x:row r="63">
      <x:c r="A63" s="25" t="str">
        <x:v>HP</x:v>
      </x:c>
      <x:c r="B63" s="32" t="n">
        <x:v>11</x:v>
      </x:c>
      <x:c r="C63" s="35" t="n">
        <x:v>0.050000000000000114</x:v>
      </x:c>
      <x:c r="D63" s="32" t="n">
        <x:v>58</x:v>
      </x:c>
      <x:c r="E63" s="32" t="n">
        <x:v>69</x:v>
      </x:c>
      <x:c r="F63" s="35" t="n">
        <x:v>0.0900000000000001</x:v>
      </x:c>
      <x:c r="G63" s="35" t="n">
        <x:v>0.1400000000000002</x:v>
      </x:c>
      <x:c r="H63" s="50" t="n">
        <x:v>2.116096777673938e-7</x:v>
      </x:c>
      <x:c r="I63" s="50" t="n">
        <x:v>7.508464979502032e-7</x:v>
      </x:c>
      <x:c r="J63" s="47" t="n">
        <x:v>0.5500156336354225</x:v>
      </x:c>
      <x:c r="K63" s="47" t="n">
        <x:v>11.002736592657556</x:v>
      </x:c>
      <x:c r="L63" s="47" t="n">
        <x:v>0.9999730709092883</x:v>
      </x:c>
      <x:c r="M63" s="35" t="n">
        <x:v>90.88648006599821</x:v>
      </x:c>
      <x:c r="N63" s="98" t="n">
        <x:v>0.0005606653216477683</x:v>
      </x:c>
      <x:c r="O63" s="26" t="str">
        <x:v>NO</x:v>
      </x:c>
      <x:c r="P63" s="27" t="str">
        <x:v>NO</x:v>
      </x:c>
    </x:row>
    <x:row r="64">
      <x:c r="A64" s="25" t="str">
        <x:v>HP</x:v>
      </x:c>
      <x:c r="B64" s="32" t="n">
        <x:v>11</x:v>
      </x:c>
      <x:c r="C64" s="35" t="n">
        <x:v>0.050000000000000114</x:v>
      </x:c>
      <x:c r="D64" s="32" t="n">
        <x:v>59</x:v>
      </x:c>
      <x:c r="E64" s="32" t="n">
        <x:v>70</x:v>
      </x:c>
      <x:c r="F64" s="35" t="n">
        <x:v>0.0950000000000001</x:v>
      </x:c>
      <x:c r="G64" s="35" t="n">
        <x:v>0.1450000000000002</x:v>
      </x:c>
      <x:c r="H64" s="50" t="n">
        <x:v>2.406559954042008e-7</x:v>
      </x:c>
      <x:c r="I64" s="50" t="n">
        <x:v>8.497975546936707e-7</x:v>
      </x:c>
      <x:c r="J64" s="47" t="n">
        <x:v>0.5479187914450314</x:v>
      </x:c>
      <x:c r="K64" s="47" t="n">
        <x:v>10.960841671433089</x:v>
      </x:c>
      <x:c r="L64" s="47" t="n">
        <x:v>0.9999700947234631</x:v>
      </x:c>
      <x:c r="M64" s="35" t="n">
        <x:v>91.23386962209935</x:v>
      </x:c>
      <x:c r="N64" s="98" t="n">
        <x:v>0.0006345531618493512</x:v>
      </x:c>
      <x:c r="O64" s="26" t="str">
        <x:v>NO</x:v>
      </x:c>
      <x:c r="P64" s="27" t="str">
        <x:v>NO</x:v>
      </x:c>
    </x:row>
    <x:row r="65">
      <x:c r="A65" s="25" t="str">
        <x:v>HP</x:v>
      </x:c>
      <x:c r="B65" s="32" t="n">
        <x:v>11</x:v>
      </x:c>
      <x:c r="C65" s="35" t="n">
        <x:v>0.050000000000000086</x:v>
      </x:c>
      <x:c r="D65" s="32" t="n">
        <x:v>60</x:v>
      </x:c>
      <x:c r="E65" s="32" t="n">
        <x:v>71</x:v>
      </x:c>
      <x:c r="F65" s="35" t="n">
        <x:v>0.1000000000000001</x:v>
      </x:c>
      <x:c r="G65" s="35" t="n">
        <x:v>0.1500000000000002</x:v>
      </x:c>
      <x:c r="H65" s="50" t="n">
        <x:v>2.735853776753727e-7</x:v>
      </x:c>
      <x:c r="I65" s="50" t="n">
        <x:v>9.611970177636994e-7</x:v>
      </x:c>
      <x:c r="J65" s="47" t="n">
        <x:v>0.5457195327597955</x:v>
      </x:c>
      <x:c r="K65" s="47" t="n">
        <x:v>10.91689528733034</x:v>
      </x:c>
      <x:c r="L65" s="47" t="n">
        <x:v>0.9999668763955256</x:v>
      </x:c>
      <x:c r="M65" s="35" t="n">
        <x:v>91.60113509200325</x:v>
      </x:c>
      <x:c r="N65" s="98" t="n">
        <x:v>0.0007177363636942756</x:v>
      </x:c>
      <x:c r="O65" s="26" t="str">
        <x:v>NO</x:v>
      </x:c>
      <x:c r="P65" s="27" t="str">
        <x:v>NO</x:v>
      </x:c>
    </x:row>
    <x:row r="66">
      <x:c r="A66" s="25" t="str">
        <x:v>HP</x:v>
      </x:c>
      <x:c r="B66" s="32" t="n">
        <x:v>11</x:v>
      </x:c>
      <x:c r="C66" s="35" t="n">
        <x:v>0.0500000000000001</x:v>
      </x:c>
      <x:c r="D66" s="32" t="n">
        <x:v>61</x:v>
      </x:c>
      <x:c r="E66" s="32" t="n">
        <x:v>72</x:v>
      </x:c>
      <x:c r="F66" s="35" t="n">
        <x:v>0.1050000000000001</x:v>
      </x:c>
      <x:c r="G66" s="35" t="n">
        <x:v>0.1550000000000002</x:v>
      </x:c>
      <x:c r="H66" s="50" t="n">
        <x:v>3.108956749076387e-7</x:v>
      </x:c>
      <x:c r="I66" s="50" t="n">
        <x:v>0.000001086503209050449</x:v>
      </x:c>
      <x:c r="J66" s="47" t="n">
        <x:v>0.5434163330687731</x:v>
      </x:c>
      <x:c r="K66" s="47" t="n">
        <x:v>10.870866070863087</x:v>
      </x:c>
      <x:c r="L66" s="47" t="n">
        <x:v>0.999963404396895</x:v>
      </x:c>
      <x:c r="M66" s="35" t="n">
        <x:v>91.98899089376836</x:v>
      </x:c>
      <x:c r="N66" s="98" t="n">
        <x:v>0.0008113038721451196</x:v>
      </x:c>
      <x:c r="O66" s="26" t="str">
        <x:v>NO</x:v>
      </x:c>
      <x:c r="P66" s="27" t="str">
        <x:v>NO</x:v>
      </x:c>
    </x:row>
    <x:row r="67">
      <x:c r="A67" s="25" t="str">
        <x:v>HP</x:v>
      </x:c>
      <x:c r="B67" s="32" t="n">
        <x:v>11</x:v>
      </x:c>
      <x:c r="C67" s="35" t="n">
        <x:v>0.0500000000000001</x:v>
      </x:c>
      <x:c r="D67" s="32" t="n">
        <x:v>62</x:v>
      </x:c>
      <x:c r="E67" s="32" t="n">
        <x:v>73</x:v>
      </x:c>
      <x:c r="F67" s="35" t="n">
        <x:v>0.1100000000000001</x:v>
      </x:c>
      <x:c r="G67" s="35" t="n">
        <x:v>0.1600000000000002</x:v>
      </x:c>
      <x:c r="H67" s="50" t="n">
        <x:v>3.531445033858148e-7</x:v>
      </x:c>
      <x:c r="I67" s="50" t="n">
        <x:v>0.000001227326968797892</x:v>
      </x:c>
      <x:c r="J67" s="47" t="n">
        <x:v>0.5410078263936624</x:v>
      </x:c>
      <x:c r="K67" s="47" t="n">
        <x:v>10.822725906537325</x:v>
      </x:c>
      <x:c r="L67" s="47" t="n">
        <x:v>0.9999596681598723</x:v>
      </x:c>
      <x:c r="M67" s="35" t="n">
        <x:v>92.39816370069606</x:v>
      </x:c>
      <x:c r="N67" s="98" t="n">
        <x:v>0.0009164585192933633</x:v>
      </x:c>
      <x:c r="O67" s="26" t="str">
        <x:v>NO</x:v>
      </x:c>
      <x:c r="P67" s="27" t="str">
        <x:v>NO</x:v>
      </x:c>
    </x:row>
    <x:row r="68">
      <x:c r="A68" s="25" t="str">
        <x:v>HP</x:v>
      </x:c>
      <x:c r="B68" s="32" t="n">
        <x:v>11</x:v>
      </x:c>
      <x:c r="C68" s="35" t="n">
        <x:v>0.0500000000000001</x:v>
      </x:c>
      <x:c r="D68" s="32" t="n">
        <x:v>63</x:v>
      </x:c>
      <x:c r="E68" s="32" t="n">
        <x:v>74</x:v>
      </x:c>
      <x:c r="F68" s="35" t="n">
        <x:v>0.1150000000000001</x:v>
      </x:c>
      <x:c r="G68" s="35" t="n">
        <x:v>0.1650000000000002</x:v>
      </x:c>
      <x:c r="H68" s="50" t="n">
        <x:v>4.009556772627965e-7</x:v>
      </x:c>
      <x:c r="I68" s="50" t="n">
        <x:v>0.000001385444725812803</x:v>
      </x:c>
      <x:c r="J68" s="47" t="n">
        <x:v>0.5384928365257711</x:v>
      </x:c>
      <x:c r="K68" s="47" t="n">
        <x:v>10.772450576059711</x:v>
      </x:c>
      <x:c r="L68" s="47" t="n">
        <x:v>0.9999556582456287</x:v>
      </x:c>
      <x:c r="M68" s="35" t="n">
        <x:v>92.82938853508062</x:v>
      </x:c>
      <x:c r="N68" s="98" t="n">
        <x:v>0.0010345267840279058</x:v>
      </x:c>
      <x:c r="O68" s="26" t="str">
        <x:v>NO</x:v>
      </x:c>
      <x:c r="P68" s="27" t="str">
        <x:v>NO</x:v>
      </x:c>
    </x:row>
    <x:row r="69">
      <x:c r="A69" s="25" t="str">
        <x:v>HP</x:v>
      </x:c>
      <x:c r="B69" s="32" t="n">
        <x:v>11</x:v>
      </x:c>
      <x:c r="C69" s="35" t="n">
        <x:v>0.0500000000000001</x:v>
      </x:c>
      <x:c r="D69" s="32" t="n">
        <x:v>64</x:v>
      </x:c>
      <x:c r="E69" s="32" t="n">
        <x:v>75</x:v>
      </x:c>
      <x:c r="F69" s="35" t="n">
        <x:v>0.1200000000000001</x:v>
      </x:c>
      <x:c r="G69" s="35" t="n">
        <x:v>0.1700000000000002</x:v>
      </x:c>
      <x:c r="H69" s="50" t="n">
        <x:v>4.550262050904381e-7</x:v>
      </x:c>
      <x:c r="I69" s="50" t="n">
        <x:v>0.000001562812269466721</x:v>
      </x:c>
      <x:c r="J69" s="47" t="n">
        <x:v>0.535870403642341</x:v>
      </x:c>
      <x:c r="K69" s="47" t="n">
        <x:v>10.720020312752059</x:v>
      </x:c>
      <x:c r="L69" s="47" t="n">
        <x:v>0.9999513664717512</x:v>
      </x:c>
      <x:c r="M69" s="35" t="n">
        <x:v>93.2834053318392</x:v>
      </x:c>
      <x:c r="N69" s="98" t="n">
        <x:v>0.0011669690757400977</x:v>
      </x:c>
      <x:c r="O69" s="26" t="str">
        <x:v>NO</x:v>
      </x:c>
      <x:c r="P69" s="27" t="str">
        <x:v>NO</x:v>
      </x:c>
    </x:row>
    <x:row r="70">
      <x:c r="A70" s="25" t="str">
        <x:v>HP</x:v>
      </x:c>
      <x:c r="B70" s="32" t="n">
        <x:v>11</x:v>
      </x:c>
      <x:c r="C70" s="35" t="n">
        <x:v>0.0500000000000001</x:v>
      </x:c>
      <x:c r="D70" s="32" t="n">
        <x:v>65</x:v>
      </x:c>
      <x:c r="E70" s="32" t="n">
        <x:v>76</x:v>
      </x:c>
      <x:c r="F70" s="35" t="n">
        <x:v>0.1250000000000001</x:v>
      </x:c>
      <x:c r="G70" s="35" t="n">
        <x:v>0.1750000000000002</x:v>
      </x:c>
      <x:c r="H70" s="50" t="n">
        <x:v>5.161338802160976e-7</x:v>
      </x:c>
      <x:c r="I70" s="50" t="n">
        <x:v>0.000001761579199377998</x:v>
      </x:c>
      <x:c r="J70" s="47" t="n">
        <x:v>0.5331398054393919</x:v>
      </x:c>
      <x:c r="K70" s="47" t="n">
        <x:v>10.665420249355511</x:v>
      </x:c>
      <x:c r="L70" s="47" t="n">
        <x:v>0.9999467859796368</x:v>
      </x:c>
      <x:c r="M70" s="35" t="n">
        <x:v>93.76095611988922</x:v>
      </x:c>
      <x:c r="N70" s="98" t="n">
        <x:v>0.0013153905240599333</x:v>
      </x:c>
      <x:c r="O70" s="26" t="str">
        <x:v>NO</x:v>
      </x:c>
      <x:c r="P70" s="27" t="str">
        <x:v>NO</x:v>
      </x:c>
    </x:row>
    <x:row r="71">
      <x:c r="A71" s="25" t="str">
        <x:v>HP</x:v>
      </x:c>
      <x:c r="B71" s="32" t="n">
        <x:v>11</x:v>
      </x:c>
      <x:c r="C71" s="35" t="n">
        <x:v>0.0500000000000001</x:v>
      </x:c>
      <x:c r="D71" s="32" t="n">
        <x:v>66</x:v>
      </x:c>
      <x:c r="E71" s="32" t="n">
        <x:v>77</x:v>
      </x:c>
      <x:c r="F71" s="35" t="n">
        <x:v>0.1300000000000001</x:v>
      </x:c>
      <x:c r="G71" s="35" t="n">
        <x:v>0.1800000000000002</x:v>
      </x:c>
      <x:c r="H71" s="50" t="n">
        <x:v>5.851454927207171e-7</x:v>
      </x:c>
      <x:c r="I71" s="50" t="n">
        <x:v>0.000001984104014801174</x:v>
      </x:c>
      <x:c r="J71" s="47" t="n">
        <x:v>0.5303005718162952</x:v>
      </x:c>
      <x:c r="K71" s="47" t="n">
        <x:v>10.608640739129125</x:v>
      </x:c>
      <x:c r="L71" s="47" t="n">
        <x:v>0.9999419112192882</x:v>
      </x:c>
      <x:c r="M71" s="35" t="n">
        <x:v>94.26278300777778</x:v>
      </x:c>
      <x:c r="N71" s="98" t="n">
        <x:v>0.0014815522462687243</x:v>
      </x:c>
      <x:c r="O71" s="26" t="str">
        <x:v>NO</x:v>
      </x:c>
      <x:c r="P71" s="27" t="str">
        <x:v>NO</x:v>
      </x:c>
    </x:row>
    <x:row r="72">
      <x:c r="A72" s="25" t="str">
        <x:v>HP</x:v>
      </x:c>
      <x:c r="B72" s="32" t="n">
        <x:v>11</x:v>
      </x:c>
      <x:c r="C72" s="35" t="n">
        <x:v>0.0500000000000001</x:v>
      </x:c>
      <x:c r="D72" s="32" t="n">
        <x:v>67</x:v>
      </x:c>
      <x:c r="E72" s="32" t="n">
        <x:v>78</x:v>
      </x:c>
      <x:c r="F72" s="35" t="n">
        <x:v>0.1350000000000001</x:v>
      </x:c>
      <x:c r="G72" s="35" t="n">
        <x:v>0.1850000000000002</x:v>
      </x:c>
      <x:c r="H72" s="50" t="n">
        <x:v>6.630256884499344e-7</x:v>
      </x:c>
      <x:c r="I72" s="50" t="n">
        <x:v>0.000002232969788608805</x:v>
      </x:c>
      <x:c r="J72" s="47" t="n">
        <x:v>0.5273524920852557</x:v>
      </x:c>
      <x:c r="K72" s="47" t="n">
        <x:v>10.549677528595916</x:v>
      </x:c>
      <x:c r="L72" s="47" t="n">
        <x:v>0.9999367378270524</x:v>
      </x:c>
      <x:c r="M72" s="35" t="n">
        <x:v>94.78962719850003</x:v>
      </x:c>
      <x:c r="N72" s="98" t="n">
        <x:v>0.0016673830512333764</x:v>
      </x:c>
      <x:c r="O72" s="26" t="str">
        <x:v>NO</x:v>
      </x:c>
      <x:c r="P72" s="27" t="str">
        <x:v>NO</x:v>
      </x:c>
    </x:row>
    <x:row r="73">
      <x:c r="A73" s="25" t="str">
        <x:v>HP</x:v>
      </x:c>
      <x:c r="B73" s="32" t="n">
        <x:v>11</x:v>
      </x:c>
      <x:c r="C73" s="35" t="n">
        <x:v>0.04999999999999999</x:v>
      </x:c>
      <x:c r="D73" s="32" t="n">
        <x:v>68</x:v>
      </x:c>
      <x:c r="E73" s="32" t="n">
        <x:v>79</x:v>
      </x:c>
      <x:c r="F73" s="35" t="n">
        <x:v>0.1400000000000002</x:v>
      </x:c>
      <x:c r="G73" s="35" t="n">
        <x:v>0.1900000000000002</x:v>
      </x:c>
      <x:c r="H73" s="50" t="n">
        <x:v>7.508464979502032e-7</x:v>
      </x:c>
      <x:c r="I73" s="50" t="n">
        <x:v>0.000002511000349515585</x:v>
      </x:c>
      <x:c r="J73" s="47" t="n">
        <x:v>0.5242956136660784</x:v>
      </x:c>
      <x:c r="K73" s="47" t="n">
        <x:v>10.488531759700468</x:v>
      </x:c>
      <x:c r="L73" s="47" t="n">
        <x:v>0.9999312623709545</x:v>
      </x:c>
      <x:c r="M73" s="35" t="n">
        <x:v>95.34222929488064</x:v>
      </x:c>
      <x:c r="N73" s="98" t="n">
        <x:v>0.0018749915228507632</x:v>
      </x:c>
      <x:c r="O73" s="26" t="str">
        <x:v>NO</x:v>
      </x:c>
      <x:c r="P73" s="27" t="str">
        <x:v>NO</x:v>
      </x:c>
    </x:row>
    <x:row r="74">
      <x:c r="A74" s="25" t="str">
        <x:v>HP</x:v>
      </x:c>
      <x:c r="B74" s="32" t="n">
        <x:v>11</x:v>
      </x:c>
      <x:c r="C74" s="35" t="n">
        <x:v>0.04999999999999999</x:v>
      </x:c>
      <x:c r="D74" s="32" t="n">
        <x:v>69</x:v>
      </x:c>
      <x:c r="E74" s="32" t="n">
        <x:v>80</x:v>
      </x:c>
      <x:c r="F74" s="35" t="n">
        <x:v>0.1450000000000002</x:v>
      </x:c>
      <x:c r="G74" s="35" t="n">
        <x:v>0.1950000000000002</x:v>
      </x:c>
      <x:c r="H74" s="50" t="n">
        <x:v>8.497975546936707e-7</x:v>
      </x:c>
      <x:c r="I74" s="50" t="n">
        <x:v>0.000002821276869952502</x:v>
      </x:c>
      <x:c r="J74" s="47" t="n">
        <x:v>0.5211302312775032</x:v>
      </x:c>
      <x:c r="K74" s="47" t="n">
        <x:v>10.425209779789109</x:v>
      </x:c>
      <x:c r="L74" s="47" t="n">
        <x:v>0.9999254819389092</x:v>
      </x:c>
      <x:c r="M74" s="35" t="n">
        <x:v>95.92133118881269</x:v>
      </x:c>
      <x:c r="N74" s="98" t="n">
        <x:v>0.0021066784063954367</x:v>
      </x:c>
      <x:c r="O74" s="26" t="str">
        <x:v>NO</x:v>
      </x:c>
      <x:c r="P74" s="27" t="str">
        <x:v>NO</x:v>
      </x:c>
    </x:row>
    <x:row r="75">
      <x:c r="A75" s="25" t="str">
        <x:v>HP</x:v>
      </x:c>
      <x:c r="B75" s="32" t="n">
        <x:v>11</x:v>
      </x:c>
      <x:c r="C75" s="35" t="n">
        <x:v>0.05000000000000002</x:v>
      </x:c>
      <x:c r="D75" s="32" t="n">
        <x:v>70</x:v>
      </x:c>
      <x:c r="E75" s="32" t="n">
        <x:v>81</x:v>
      </x:c>
      <x:c r="F75" s="35" t="n">
        <x:v>0.1500000000000002</x:v>
      </x:c>
      <x:c r="G75" s="35" t="n">
        <x:v>0.2000000000000002</x:v>
      </x:c>
      <x:c r="H75" s="50" t="n">
        <x:v>9.611970177636994e-7</x:v>
      </x:c>
      <x:c r="I75" s="50" t="n">
        <x:v>0.000003167154724744083</x:v>
      </x:c>
      <x:c r="J75" s="47" t="n">
        <x:v>0.5178568657621163</x:v>
      </x:c>
      <x:c r="K75" s="47" t="n">
        <x:v>10.359722739978816</x:v>
      </x:c>
      <x:c r="L75" s="47" t="n">
        <x:v>0.999919393547631</x:v>
      </x:c>
      <x:c r="M75" s="35" t="n">
        <x:v>96.52767985198462</x:v>
      </x:c>
      <x:c r="N75" s="98" t="n">
        <x:v>0.002364949197078971</x:v>
      </x:c>
      <x:c r="O75" s="26" t="str">
        <x:v>NO</x:v>
      </x:c>
      <x:c r="P75" s="27" t="str">
        <x:v>NO</x:v>
      </x:c>
    </x:row>
    <x:row r="76">
      <x:c r="A76" s="25" t="str">
        <x:v>HP</x:v>
      </x:c>
      <x:c r="B76" s="32" t="n">
        <x:v>11</x:v>
      </x:c>
      <x:c r="C76" s="35" t="n">
        <x:v>0.05000000000000002</x:v>
      </x:c>
      <x:c r="D76" s="32" t="n">
        <x:v>71</x:v>
      </x:c>
      <x:c r="E76" s="32" t="n">
        <x:v>82</x:v>
      </x:c>
      <x:c r="F76" s="35" t="n">
        <x:v>0.1550000000000002</x:v>
      </x:c>
      <x:c r="G76" s="35" t="n">
        <x:v>0.2050000000000002</x:v>
      </x:c>
      <x:c r="H76" s="50" t="n">
        <x:v>0.000001086503209050449</x:v>
      </x:c>
      <x:c r="I76" s="50" t="n">
        <x:v>0.000003552280446487783</x:v>
      </x:c>
      <x:c r="J76" s="47" t="n">
        <x:v>0.5144762318968779</x:v>
      </x:c>
      <x:c r="K76" s="47" t="n">
        <x:v>10.292085966432019</x:v>
      </x:c>
      <x:c r="L76" s="47" t="n">
        <x:v>0.9999129933548799</x:v>
      </x:c>
      <x:c r="M76" s="35" t="n">
        <x:v>97.16203335859545</x:v>
      </x:c>
      <x:c r="N76" s="98" t="n">
        <x:v>0.0026525268008178657</x:v>
      </x:c>
      <x:c r="O76" s="26" t="str">
        <x:v>NO</x:v>
      </x:c>
      <x:c r="P76" s="27" t="str">
        <x:v>NO</x:v>
      </x:c>
    </x:row>
    <x:row r="77">
      <x:c r="A77" s="25" t="str">
        <x:v>HP</x:v>
      </x:c>
      <x:c r="B77" s="32" t="n">
        <x:v>11</x:v>
      </x:c>
      <x:c r="C77" s="35" t="n">
        <x:v>0.04999999999999999</x:v>
      </x:c>
      <x:c r="D77" s="32" t="n">
        <x:v>72</x:v>
      </x:c>
      <x:c r="E77" s="32" t="n">
        <x:v>83</x:v>
      </x:c>
      <x:c r="F77" s="35" t="n">
        <x:v>0.1600000000000002</x:v>
      </x:c>
      <x:c r="G77" s="35" t="n">
        <x:v>0.2100000000000002</x:v>
      </x:c>
      <x:c r="H77" s="50" t="n">
        <x:v>0.000001227326968797892</x:v>
      </x:c>
      <x:c r="I77" s="50" t="n">
        <x:v>0.000003980608556354552</x:v>
      </x:c>
      <x:c r="J77" s="47" t="n">
        <x:v>0.5109891948518097</x:v>
      </x:c>
      <x:c r="K77" s="47" t="n">
        <x:v>10.222318095011016</x:v>
      </x:c>
      <x:c r="L77" s="47" t="n">
        <x:v>0.9999062756649152</x:v>
      </x:c>
      <x:c r="M77" s="35" t="n">
        <x:v>97.825169467975</x:v>
      </x:c>
      <x:c r="N77" s="98" t="n">
        <x:v>0.0029723641019770695</x:v>
      </x:c>
      <x:c r="O77" s="26" t="str">
        <x:v>NO</x:v>
      </x:c>
      <x:c r="P77" s="27" t="str">
        <x:v>NO</x:v>
      </x:c>
    </x:row>
    <x:row r="78">
      <x:c r="A78" s="25" t="str">
        <x:v>HP</x:v>
      </x:c>
      <x:c r="B78" s="32" t="n">
        <x:v>11</x:v>
      </x:c>
      <x:c r="C78" s="35" t="n">
        <x:v>0.04999999999999999</x:v>
      </x:c>
      <x:c r="D78" s="32" t="n">
        <x:v>73</x:v>
      </x:c>
      <x:c r="E78" s="32" t="n">
        <x:v>84</x:v>
      </x:c>
      <x:c r="F78" s="35" t="n">
        <x:v>0.1650000000000002</x:v>
      </x:c>
      <x:c r="G78" s="35" t="n">
        <x:v>0.2150000000000002</x:v>
      </x:c>
      <x:c r="H78" s="50" t="n">
        <x:v>0.000001385444725812803</x:v>
      </x:c>
      <x:c r="I78" s="50" t="n">
        <x:v>0.000004456417993286887</x:v>
      </x:c>
      <x:c r="J78" s="47" t="n">
        <x:v>0.5073967153747816</x:v>
      </x:c>
      <x:c r="K78" s="47" t="n">
        <x:v>10.150439967949325</x:v>
      </x:c>
      <x:c r="L78" s="47" t="n">
        <x:v>0.9998992317267884</x:v>
      </x:c>
      <x:c r="M78" s="35" t="n">
        <x:v>98.5178970722023</x:v>
      </x:c>
      <x:c r="N78" s="98" t="n">
        <x:v>0.0033276562312325006</x:v>
      </x:c>
      <x:c r="O78" s="26" t="str">
        <x:v>NO</x:v>
      </x:c>
      <x:c r="P78" s="27" t="str">
        <x:v>NO</x:v>
      </x:c>
    </x:row>
    <x:row r="79">
      <x:c r="A79" s="25" t="str">
        <x:v>HP</x:v>
      </x:c>
      <x:c r="B79" s="32" t="n">
        <x:v>11</x:v>
      </x:c>
      <x:c r="C79" s="35" t="n">
        <x:v>0.04999999999999999</x:v>
      </x:c>
      <x:c r="D79" s="32" t="n">
        <x:v>74</x:v>
      </x:c>
      <x:c r="E79" s="32" t="n">
        <x:v>85</x:v>
      </x:c>
      <x:c r="F79" s="35" t="n">
        <x:v>0.1700000000000002</x:v>
      </x:c>
      <x:c r="G79" s="35" t="n">
        <x:v>0.2200000000000002</x:v>
      </x:c>
      <x:c r="H79" s="50" t="n">
        <x:v>0.000001562812269466721</x:v>
      </x:c>
      <x:c r="I79" s="50" t="n">
        <x:v>0.000004984327800015662</x:v>
      </x:c>
      <x:c r="J79" s="47" t="n">
        <x:v>0.5036997842992292</x:v>
      </x:c>
      <x:c r="K79" s="47" t="n">
        <x:v>10.07647330157358</x:v>
      </x:c>
      <x:c r="L79" s="47" t="n">
        <x:v>0.9998918483370975</x:v>
      </x:c>
      <x:c r="M79" s="35" t="n">
        <x:v>99.24107076667748</x:v>
      </x:c>
      <x:c r="N79" s="98" t="n">
        <x:v>0.0037218522784919893</x:v>
      </x:c>
      <x:c r="O79" s="26" t="str">
        <x:v>NO</x:v>
      </x:c>
      <x:c r="P79" s="27" t="str">
        <x:v>NO</x:v>
      </x:c>
    </x:row>
    <x:row r="80">
      <x:c r="A80" s="25" t="str">
        <x:v>HP</x:v>
      </x:c>
      <x:c r="B80" s="32" t="n">
        <x:v>11</x:v>
      </x:c>
      <x:c r="C80" s="35" t="n">
        <x:v>0.04999999999999999</x:v>
      </x:c>
      <x:c r="D80" s="32" t="n">
        <x:v>75</x:v>
      </x:c>
      <x:c r="E80" s="32" t="n">
        <x:v>86</x:v>
      </x:c>
      <x:c r="F80" s="35" t="n">
        <x:v>0.1750000000000002</x:v>
      </x:c>
      <x:c r="G80" s="35" t="n">
        <x:v>0.2250000000000002</x:v>
      </x:c>
      <x:c r="H80" s="50" t="n">
        <x:v>0.000001761579199377998</x:v>
      </x:c>
      <x:c r="I80" s="50" t="n">
        <x:v>0.000005569311651379144</x:v>
      </x:c>
      <x:c r="J80" s="47" t="n">
        <x:v>0.4998993475849982</x:v>
      </x:c>
      <x:c r="K80" s="47" t="n">
        <x:v>10.000439146663187</x:v>
      </x:c>
      <x:c r="L80" s="47" t="n">
        <x:v>0.9998841062726616</x:v>
      </x:c>
      <x:c r="M80" s="35" t="n">
        <x:v>99.99560872620945</x:v>
      </x:c>
      <x:c r="N80" s="98" t="n">
        <x:v>0.004158666141350558</x:v>
      </x:c>
      <x:c r="O80" s="26" t="str">
        <x:v>NO</x:v>
      </x:c>
      <x:c r="P80" s="27" t="str">
        <x:v>NO</x:v>
      </x:c>
    </x:row>
    <x:row r="81">
      <x:c r="A81" s="25" t="str">
        <x:v>HP</x:v>
      </x:c>
      <x:c r="B81" s="32" t="n">
        <x:v>11</x:v>
      </x:c>
      <x:c r="C81" s="35" t="n">
        <x:v>0.05000000000000002</x:v>
      </x:c>
      <x:c r="D81" s="32" t="n">
        <x:v>76</x:v>
      </x:c>
      <x:c r="E81" s="32" t="n">
        <x:v>87</x:v>
      </x:c>
      <x:c r="F81" s="35" t="n">
        <x:v>0.1800000000000002</x:v>
      </x:c>
      <x:c r="G81" s="35" t="n">
        <x:v>0.2300000000000002</x:v>
      </x:c>
      <x:c r="H81" s="50" t="n">
        <x:v>0.000001984104014801174</x:v>
      </x:c>
      <x:c r="I81" s="50" t="n">
        <x:v>0.00000621671073040775</x:v>
      </x:c>
      <x:c r="J81" s="47" t="n">
        <x:v>0.49599622379612285</x:v>
      </x:c>
      <x:c r="K81" s="47" t="n">
        <x:v>9.92235617745969</x:v>
      </x:c>
      <x:c r="L81" s="47" t="n">
        <x:v>0.9998759785934802</x:v>
      </x:c>
      <x:c r="M81" s="35" t="n">
        <x:v>100.78251396293041</x:v>
      </x:c>
      <x:c r="N81" s="98" t="n">
        <x:v>0.004642086139804244</x:v>
      </x:c>
      <x:c r="O81" s="26" t="str">
        <x:v>NO</x:v>
      </x:c>
      <x:c r="P81" s="27" t="str">
        <x:v>NO</x:v>
      </x:c>
    </x:row>
    <x:row r="82">
      <x:c r="A82" s="25" t="str">
        <x:v>HP</x:v>
      </x:c>
      <x:c r="B82" s="32" t="n">
        <x:v>11</x:v>
      </x:c>
      <x:c r="C82" s="35" t="n">
        <x:v>0.05000000000000002</x:v>
      </x:c>
      <x:c r="D82" s="32" t="n">
        <x:v>77</x:v>
      </x:c>
      <x:c r="E82" s="32" t="n">
        <x:v>88</x:v>
      </x:c>
      <x:c r="F82" s="35" t="n">
        <x:v>0.1850000000000002</x:v>
      </x:c>
      <x:c r="G82" s="35" t="n">
        <x:v>0.2350000000000002</x:v>
      </x:c>
      <x:c r="H82" s="50" t="n">
        <x:v>0.000002232969788608805</x:v>
      </x:c>
      <x:c r="I82" s="50" t="n">
        <x:v>0.000006932244372969345</x:v>
      </x:c>
      <x:c r="J82" s="47" t="n">
        <x:v>0.4919910166625483</x:v>
      </x:c>
      <x:c r="K82" s="47" t="n">
        <x:v>9.842238861107269</x:v>
      </x:c>
      <x:c r="L82" s="47" t="n">
        <x:v>0.9998674288714684</x:v>
      </x:c>
      <x:c r="M82" s="35" t="n">
        <x:v>101.60289890459926</x:v>
      </x:c>
      <x:c r="N82" s="98" t="n">
        <x:v>0.005176382964723579</x:v>
      </x:c>
      <x:c r="O82" s="26" t="str">
        <x:v>NO</x:v>
      </x:c>
      <x:c r="P82" s="27" t="str">
        <x:v>NO</x:v>
      </x:c>
    </x:row>
    <x:row r="83">
      <x:c r="A83" s="25" t="str">
        <x:v>HP</x:v>
      </x:c>
      <x:c r="B83" s="32" t="n">
        <x:v>11</x:v>
      </x:c>
      <x:c r="C83" s="35" t="n">
        <x:v>0.05000000000000002</x:v>
      </x:c>
      <x:c r="D83" s="32" t="n">
        <x:v>78</x:v>
      </x:c>
      <x:c r="E83" s="32" t="n">
        <x:v>89</x:v>
      </x:c>
      <x:c r="F83" s="35" t="n">
        <x:v>0.1900000000000002</x:v>
      </x:c>
      <x:c r="G83" s="35" t="n">
        <x:v>0.2400000000000002</x:v>
      </x:c>
      <x:c r="H83" s="50" t="n">
        <x:v>0.000002511000349515585</x:v>
      </x:c>
      <x:c r="I83" s="50" t="n">
        <x:v>0.000007722017816222098</x:v>
      </x:c>
      <x:c r="J83" s="47" t="n">
        <x:v>0.48788402612842674</x:v>
      </x:c>
      <x:c r="K83" s="47" t="n">
        <x:v>9.760095575659763</x:v>
      </x:c>
      <x:c r="L83" s="47" t="n">
        <x:v>0.9998584094148221</x:v>
      </x:c>
      <x:c r="M83" s="35" t="n">
        <x:v>102.45801306432412</x:v>
      </x:c>
      <x:c r="N83" s="98" t="n">
        <x:v>0.005766115463708394</x:v>
      </x:c>
      <x:c r="O83" s="26" t="str">
        <x:v>NO</x:v>
      </x:c>
      <x:c r="P83" s="27" t="str">
        <x:v>NO</x:v>
      </x:c>
    </x:row>
    <x:row r="84">
      <x:c r="A84" s="25" t="str">
        <x:v>HP</x:v>
      </x:c>
      <x:c r="B84" s="32" t="n">
        <x:v>11</x:v>
      </x:c>
      <x:c r="C84" s="35" t="n">
        <x:v>0.04999999999999999</x:v>
      </x:c>
      <x:c r="D84" s="32" t="n">
        <x:v>79</x:v>
      </x:c>
      <x:c r="E84" s="32" t="n">
        <x:v>90</x:v>
      </x:c>
      <x:c r="F84" s="35" t="n">
        <x:v>0.1950000000000002</x:v>
      </x:c>
      <x:c r="G84" s="35" t="n">
        <x:v>0.2450000000000002</x:v>
      </x:c>
      <x:c r="H84" s="50" t="n">
        <x:v>0.000002821276869952502</x:v>
      </x:c>
      <x:c r="I84" s="50" t="n">
        <x:v>0.00000859252630490707</x:v>
      </x:c>
      <x:c r="J84" s="47" t="n">
        <x:v>0.4836751620043005</x:v>
      </x:c>
      <x:c r="K84" s="47" t="n">
        <x:v>9.67592676068927</x:v>
      </x:c>
      <x:c r="L84" s="47" t="n">
        <x:v>0.9998488595706183</x:v>
      </x:c>
      <x:c r="M84" s="35" t="n">
        <x:v>103.3492733804823</x:v>
      </x:c>
      <x:c r="N84" s="98" t="n">
        <x:v>0.006416133707301563</x:v>
      </x:c>
      <x:c r="O84" s="26" t="str">
        <x:v>NO</x:v>
      </x:c>
      <x:c r="P84" s="27" t="str">
        <x:v>NO</x:v>
      </x:c>
    </x:row>
    <x:row r="85">
      <x:c r="A85" s="25" t="str">
        <x:v>HP</x:v>
      </x:c>
      <x:c r="B85" s="32" t="n">
        <x:v>11</x:v>
      </x:c>
      <x:c r="C85" s="35" t="n">
        <x:v>0.05000000000000002</x:v>
      </x:c>
      <x:c r="D85" s="32" t="n">
        <x:v>80</x:v>
      </x:c>
      <x:c r="E85" s="32" t="n">
        <x:v>91</x:v>
      </x:c>
      <x:c r="F85" s="35" t="n">
        <x:v>0.2000000000000002</x:v>
      </x:c>
      <x:c r="G85" s="35" t="n">
        <x:v>0.2500000000000002</x:v>
      </x:c>
      <x:c r="H85" s="50" t="n">
        <x:v>0.000003167154724744083</x:v>
      </x:c>
      <x:c r="I85" s="50" t="n">
        <x:v>0.00000955065473933994</x:v>
      </x:c>
      <x:c r="J85" s="47" t="n">
        <x:v>0.4793638649569143</x:v>
      </x:c>
      <x:c r="K85" s="47" t="n">
        <x:v>9.589723198717008</x:v>
      </x:c>
      <x:c r="L85" s="47" t="n">
        <x:v>0.9998387041987207</x:v>
      </x:c>
      <x:c r="M85" s="35" t="n">
        <x:v>104.27829659711014</x:v>
      </x:c>
      <x:c r="N85" s="98" t="n">
        <x:v>0.0071315787261405595</x:v>
      </x:c>
      <x:c r="O85" s="26" t="str">
        <x:v>NO</x:v>
      </x:c>
      <x:c r="P85" s="27" t="str">
        <x:v>NO</x:v>
      </x:c>
    </x:row>
    <x:row r="86">
      <x:c r="A86" s="25" t="str">
        <x:v>HP</x:v>
      </x:c>
      <x:c r="B86" s="32" t="n">
        <x:v>11</x:v>
      </x:c>
      <x:c r="C86" s="35" t="n">
        <x:v>0.05000000000000002</x:v>
      </x:c>
      <x:c r="D86" s="32" t="n">
        <x:v>81</x:v>
      </x:c>
      <x:c r="E86" s="32" t="n">
        <x:v>92</x:v>
      </x:c>
      <x:c r="F86" s="35" t="n">
        <x:v>0.2050000000000002</x:v>
      </x:c>
      <x:c r="G86" s="35" t="n">
        <x:v>0.2550000000000002</x:v>
      </x:c>
      <x:c r="H86" s="50" t="n">
        <x:v>0.000003552280446487783</x:v>
      </x:c>
      <x:c r="I86" s="50" t="n">
        <x:v>0.00001060367199785062</x:v>
      </x:c>
      <x:c r="J86" s="47" t="n">
        <x:v>0.4749490400189247</x:v>
      </x:c>
      <x:c r="K86" s="47" t="n">
        <x:v>9.501464536714082</x:v>
      </x:c>
      <x:c r="L86" s="47" t="n">
        <x:v>0.9998278524180098</x:v>
      </x:c>
      <x:c r="M86" s="35" t="n">
        <x:v>105.24693284240082</x:v>
      </x:c>
      <x:c r="N86" s="98" t="n">
        <x:v>0.007917878271460801</x:v>
      </x:c>
      <x:c r="O86" s="26" t="str">
        <x:v>NO</x:v>
      </x:c>
      <x:c r="P86" s="27" t="str">
        <x:v>NO</x:v>
      </x:c>
    </x:row>
    <x:row r="87">
      <x:c r="A87" s="25" t="str">
        <x:v>HP</x:v>
      </x:c>
      <x:c r="B87" s="32" t="n">
        <x:v>11</x:v>
      </x:c>
      <x:c r="C87" s="35" t="n">
        <x:v>0.04999999999999999</x:v>
      </x:c>
      <x:c r="D87" s="32" t="n">
        <x:v>82</x:v>
      </x:c>
      <x:c r="E87" s="32" t="n">
        <x:v>93</x:v>
      </x:c>
      <x:c r="F87" s="35" t="n">
        <x:v>0.2100000000000002</x:v>
      </x:c>
      <x:c r="G87" s="35" t="n">
        <x:v>0.2600000000000002</x:v>
      </x:c>
      <x:c r="H87" s="50" t="n">
        <x:v>0.000003980608556354552</x:v>
      </x:c>
      <x:c r="I87" s="50" t="n">
        <x:v>0.00001175921904331462</x:v>
      </x:c>
      <x:c r="J87" s="47" t="n">
        <x:v>0.4704290080159561</x:v>
      </x:c>
      <x:c r="K87" s="47" t="n">
        <x:v>9.411118163267865</x:v>
      </x:c>
      <x:c r="L87" s="47" t="n">
        <x:v>0.9998161967313376</x:v>
      </x:c>
      <x:c r="M87" s="35" t="n">
        <x:v>106.25729936141461</x:v>
      </x:c>
      <x:c r="N87" s="98" t="n">
        <x:v>0.008780737934112074</x:v>
      </x:c>
      <x:c r="O87" s="26" t="str">
        <x:v>NO</x:v>
      </x:c>
      <x:c r="P87" s="27" t="str">
        <x:v>NO</x:v>
      </x:c>
    </x:row>
    <x:row r="88">
      <x:c r="A88" s="25" t="str">
        <x:v>HP</x:v>
      </x:c>
      <x:c r="B88" s="32" t="n">
        <x:v>11</x:v>
      </x:c>
      <x:c r="C88" s="35" t="n">
        <x:v>0.04999999999999999</x:v>
      </x:c>
      <x:c r="D88" s="32" t="n">
        <x:v>83</x:v>
      </x:c>
      <x:c r="E88" s="32" t="n">
        <x:v>94</x:v>
      </x:c>
      <x:c r="F88" s="35" t="n">
        <x:v>0.2150000000000002</x:v>
      </x:c>
      <x:c r="G88" s="35" t="n">
        <x:v>0.2650000000000002</x:v>
      </x:c>
      <x:c r="H88" s="50" t="n">
        <x:v>0.000004456417993286887</x:v>
      </x:c>
      <x:c r="I88" s="50" t="n">
        <x:v>0.00001302528993774698</x:v>
      </x:c>
      <x:c r="J88" s="47" t="n">
        <x:v>0.46580148022655</x:v>
      </x:c>
      <x:c r="K88" s="47" t="n">
        <x:v>9.318638557205452</x:v>
      </x:c>
      <x:c r="L88" s="47" t="n">
        <x:v>0.9998036126388516</x:v>
      </x:c>
      <x:c r="M88" s="35" t="n">
        <x:v>107.3118131861408</x:v>
      </x:c>
      <x:c r="N88" s="98" t="n">
        <x:v>0.009726126967947422</x:v>
      </x:c>
      <x:c r="O88" s="26" t="str">
        <x:v>NO</x:v>
      </x:c>
      <x:c r="P88" s="27" t="str">
        <x:v>YES</x:v>
      </x:c>
    </x:row>
    <x:row r="89">
      <x:c r="A89" s="25" t="str">
        <x:v>HP</x:v>
      </x:c>
      <x:c r="B89" s="32" t="n">
        <x:v>21</x:v>
      </x:c>
      <x:c r="C89" s="35" t="n">
        <x:v>0.10000000000000012</x:v>
      </x:c>
      <x:c r="D89" s="32" t="n">
        <x:v>0</x:v>
      </x:c>
      <x:c r="E89" s="32" t="n">
        <x:v>21</x:v>
      </x:c>
      <x:c r="F89" s="35" t="n">
        <x:v>-0.2</x:v>
      </x:c>
      <x:c r="G89" s="35" t="n">
        <x:v>-0.0999999999999999</x:v>
      </x:c>
      <x:c r="H89" s="50" t="n">
        <x:v>4.9668355471382e-10</x:v>
      </x:c>
      <x:c r="I89" s="50" t="n">
        <x:v>1.602880717400002e-9</x:v>
      </x:c>
      <x:c r="J89" s="47" t="n">
        <x:v>0.5088214237252249</x:v>
      </x:c>
      <x:c r="K89" s="47" t="n">
        <x:v>5.173790950877214</x:v>
      </x:c>
      <x:c r="L89" s="47" t="n">
        <x:v>0.9184261357694956</x:v>
      </x:c>
      <x:c r="M89" s="35" t="n">
        <x:v>193.28187193772305</x:v>
      </x:c>
      <x:c r="N89" s="98" t="n">
        <x:v>0.0000011968886256211573</x:v>
      </x:c>
      <x:c r="O89" s="26" t="str">
        <x:v>YES</x:v>
      </x:c>
      <x:c r="P89" s="27" t="str">
        <x:v>NO</x:v>
      </x:c>
    </x:row>
    <x:row r="90">
      <x:c r="A90" s="25" t="str">
        <x:v>HP</x:v>
      </x:c>
      <x:c r="B90" s="32" t="n">
        <x:v>21</x:v>
      </x:c>
      <x:c r="C90" s="35" t="n">
        <x:v>0.1000000000000001</x:v>
      </x:c>
      <x:c r="D90" s="32" t="n">
        <x:v>1</x:v>
      </x:c>
      <x:c r="E90" s="32" t="n">
        <x:v>22</x:v>
      </x:c>
      <x:c r="F90" s="35" t="n">
        <x:v>-0.195</x:v>
      </x:c>
      <x:c r="G90" s="35" t="n">
        <x:v>-0.0949999999999999</x:v>
      </x:c>
      <x:c r="H90" s="50" t="n">
        <x:v>4.9668355471382e-10</x:v>
      </x:c>
      <x:c r="I90" s="50" t="n">
        <x:v>1.7945341129954902e-9</x:v>
      </x:c>
      <x:c r="J90" s="47" t="n">
        <x:v>0.5578719377590406</x:v>
      </x:c>
      <x:c r="K90" s="47" t="n">
        <x:v>5.727548142072089</x:v>
      </x:c>
      <x:c r="L90" s="47" t="n">
        <x:v>0.9388489324808954</x:v>
      </x:c>
      <x:c r="M90" s="35" t="n">
        <x:v>174.59477863737766</x:v>
      </x:c>
      <x:c r="N90" s="98" t="n">
        <x:v>0.000001339998319786046</x:v>
      </x:c>
      <x:c r="O90" s="26" t="str">
        <x:v>NO</x:v>
      </x:c>
      <x:c r="P90" s="27" t="str">
        <x:v>NO</x:v>
      </x:c>
    </x:row>
    <x:row r="91">
      <x:c r="A91" s="25" t="str">
        <x:v>HP</x:v>
      </x:c>
      <x:c r="B91" s="32" t="n">
        <x:v>21</x:v>
      </x:c>
      <x:c r="C91" s="35" t="n">
        <x:v>0.1000000000000001</x:v>
      </x:c>
      <x:c r="D91" s="32" t="n">
        <x:v>2</x:v>
      </x:c>
      <x:c r="E91" s="32" t="n">
        <x:v>23</x:v>
      </x:c>
      <x:c r="F91" s="35" t="n">
        <x:v>-0.19</x:v>
      </x:c>
      <x:c r="G91" s="35" t="n">
        <x:v>-0.0899999999999999</x:v>
      </x:c>
      <x:c r="H91" s="50" t="n">
        <x:v>4.9668355471382e-10</x:v>
      </x:c>
      <x:c r="I91" s="50" t="n">
        <x:v>2.014503173327516e-9</x:v>
      </x:c>
      <x:c r="J91" s="47" t="n">
        <x:v>0.6080881751822442</x:v>
      </x:c>
      <x:c r="K91" s="47" t="n">
        <x:v>6.250902194964186</x:v>
      </x:c>
      <x:c r="L91" s="47" t="n">
        <x:v>0.9534151204106022</x:v>
      </x:c>
      <x:c r="M91" s="35" t="n">
        <x:v>159.9769071423984</x:v>
      </x:c>
      <x:c r="N91" s="98" t="n">
        <x:v>0.0000015042516316151595</x:v>
      </x:c>
      <x:c r="O91" s="26" t="str">
        <x:v>NO</x:v>
      </x:c>
      <x:c r="P91" s="27" t="str">
        <x:v>NO</x:v>
      </x:c>
    </x:row>
    <x:row r="92">
      <x:c r="A92" s="25" t="str">
        <x:v>HP</x:v>
      </x:c>
      <x:c r="B92" s="32" t="n">
        <x:v>21</x:v>
      </x:c>
      <x:c r="C92" s="35" t="n">
        <x:v>0.1000000000000001</x:v>
      </x:c>
      <x:c r="D92" s="32" t="n">
        <x:v>3</x:v>
      </x:c>
      <x:c r="E92" s="32" t="n">
        <x:v>24</x:v>
      </x:c>
      <x:c r="F92" s="35" t="n">
        <x:v>-0.185</x:v>
      </x:c>
      <x:c r="G92" s="35" t="n">
        <x:v>-0.0849999999999999</x:v>
      </x:c>
      <x:c r="H92" s="50" t="n">
        <x:v>4.990330642746987e-10</x:v>
      </x:c>
      <x:c r="I92" s="50" t="n">
        <x:v>2.266823335139018e-9</x:v>
      </x:c>
      <x:c r="J92" s="47" t="n">
        <x:v>0.6572883532201459</x:v>
      </x:c>
      <x:c r="K92" s="47" t="n">
        <x:v>6.744119473704112</x:v>
      </x:c>
      <x:c r="L92" s="47" t="n">
        <x:v>0.9640919096362692</x:v>
      </x:c>
      <x:c r="M92" s="35" t="n">
        <x:v>148.27732573526967</x:v>
      </x:c>
      <x:c r="N92" s="98" t="n">
        <x:v>0.000001692661866019216</x:v>
      </x:c>
      <x:c r="O92" s="26" t="str">
        <x:v>NO</x:v>
      </x:c>
      <x:c r="P92" s="27" t="str">
        <x:v>NO</x:v>
      </x:c>
    </x:row>
    <x:row r="93">
      <x:c r="A93" s="25" t="str">
        <x:v>HP</x:v>
      </x:c>
      <x:c r="B93" s="32" t="n">
        <x:v>21</x:v>
      </x:c>
      <x:c r="C93" s="35" t="n">
        <x:v>0.10000000000000009</x:v>
      </x:c>
      <x:c r="D93" s="32" t="n">
        <x:v>4</x:v>
      </x:c>
      <x:c r="E93" s="32" t="n">
        <x:v>25</x:v>
      </x:c>
      <x:c r="F93" s="35" t="n">
        <x:v>-0.18</x:v>
      </x:c>
      <x:c r="G93" s="35" t="n">
        <x:v>-0.0799999999999999</x:v>
      </x:c>
      <x:c r="H93" s="50" t="n">
        <x:v>5.05913562123524e-10</x:v>
      </x:c>
      <x:c r="I93" s="50" t="n">
        <x:v>2.556105758202359e-9</x:v>
      </x:c>
      <x:c r="J93" s="47" t="n">
        <x:v>0.7035024968963874</x:v>
      </x:c>
      <x:c r="K93" s="47" t="n">
        <x:v>7.207419478352168</x:v>
      </x:c>
      <x:c r="L93" s="47" t="n">
        <x:v>0.9720981299792691</x:v>
      </x:c>
      <x:c r="M93" s="35" t="n">
        <x:v>138.74591356914195</x:v>
      </x:c>
      <x:c r="N93" s="98" t="n">
        <x:v>0.000001908672226614399</x:v>
      </x:c>
      <x:c r="O93" s="26" t="str">
        <x:v>NO</x:v>
      </x:c>
      <x:c r="P93" s="27" t="str">
        <x:v>NO</x:v>
      </x:c>
    </x:row>
    <x:row r="94">
      <x:c r="A94" s="25" t="str">
        <x:v>HP</x:v>
      </x:c>
      <x:c r="B94" s="32" t="n">
        <x:v>21</x:v>
      </x:c>
      <x:c r="C94" s="35" t="n">
        <x:v>0.10000000000000009</x:v>
      </x:c>
      <x:c r="D94" s="32" t="n">
        <x:v>5</x:v>
      </x:c>
      <x:c r="E94" s="32" t="n">
        <x:v>26</x:v>
      </x:c>
      <x:c r="F94" s="35" t="n">
        <x:v>-0.175</x:v>
      </x:c>
      <x:c r="G94" s="35" t="n">
        <x:v>-0.0749999999999999</x:v>
      </x:c>
      <x:c r="H94" s="50" t="n">
        <x:v>5.172951347963915e-10</x:v>
      </x:c>
      <x:c r="I94" s="50" t="n">
        <x:v>2.887618113375948e-9</x:v>
      </x:c>
      <x:c r="J94" s="47" t="n">
        <x:v>0.7468013635282986</x:v>
      </x:c>
      <x:c r="K94" s="47" t="n">
        <x:v>7.640999195486522</x:v>
      </x:c>
      <x:c r="L94" s="47" t="n">
        <x:v>0.9782120543022857</x:v>
      </x:c>
      <x:c r="M94" s="35" t="n">
        <x:v>130.87293617184153</x:v>
      </x:c>
      <x:c r="N94" s="98" t="n">
        <x:v>0.000002156216141051004</x:v>
      </x:c>
      <x:c r="O94" s="26" t="str">
        <x:v>NO</x:v>
      </x:c>
      <x:c r="P94" s="27" t="str">
        <x:v>NO</x:v>
      </x:c>
    </x:row>
    <x:row r="95">
      <x:c r="A95" s="25" t="str">
        <x:v>HP</x:v>
      </x:c>
      <x:c r="B95" s="32" t="n">
        <x:v>21</x:v>
      </x:c>
      <x:c r="C95" s="35" t="n">
        <x:v>0.10000000000000012</x:v>
      </x:c>
      <x:c r="D95" s="32" t="n">
        <x:v>6</x:v>
      </x:c>
      <x:c r="E95" s="32" t="n">
        <x:v>27</x:v>
      </x:c>
      <x:c r="F95" s="35" t="n">
        <x:v>-0.17</x:v>
      </x:c>
      <x:c r="G95" s="35" t="n">
        <x:v>-0.0699999999999999</x:v>
      </x:c>
      <x:c r="H95" s="50" t="n">
        <x:v>5.33272245024237e-10</x:v>
      </x:c>
      <x:c r="I95" s="50" t="n">
        <x:v>3.267376703094192e-9</x:v>
      </x:c>
      <x:c r="J95" s="47" t="n">
        <x:v>0.7872502273888902</x:v>
      </x:c>
      <x:c r="K95" s="47" t="n">
        <x:v>8.04507602033979</x:v>
      </x:c>
      <x:c r="L95" s="47" t="n">
        <x:v>0.9829458904320665</x:v>
      </x:c>
      <x:c r="M95" s="35" t="n">
        <x:v>124.2996333995815</x:v>
      </x:c>
      <x:c r="N95" s="98" t="n">
        <x:v>0.0000024397860483944397</x:v>
      </x:c>
      <x:c r="O95" s="26" t="str">
        <x:v>NO</x:v>
      </x:c>
      <x:c r="P95" s="27" t="str">
        <x:v>NO</x:v>
      </x:c>
    </x:row>
    <x:row r="96">
      <x:c r="A96" s="25" t="str">
        <x:v>HP</x:v>
      </x:c>
      <x:c r="B96" s="32" t="n">
        <x:v>21</x:v>
      </x:c>
      <x:c r="C96" s="35" t="n">
        <x:v>0.10000000000000021</x:v>
      </x:c>
      <x:c r="D96" s="32" t="n">
        <x:v>7</x:v>
      </x:c>
      <x:c r="E96" s="32" t="n">
        <x:v>28</x:v>
      </x:c>
      <x:c r="F96" s="35" t="n">
        <x:v>-0.165</x:v>
      </x:c>
      <x:c r="G96" s="35" t="n">
        <x:v>-0.0649999999999998</x:v>
      </x:c>
      <x:c r="H96" s="50" t="n">
        <x:v>5.540595432906032e-10</x:v>
      </x:c>
      <x:c r="I96" s="50" t="n">
        <x:v>3.702251427628463e-9</x:v>
      </x:c>
      <x:c r="J96" s="47" t="n">
        <x:v>0.8249094695662293</x:v>
      </x:c>
      <x:c r="K96" s="47" t="n">
        <x:v>8.41993794982539</x:v>
      </x:c>
      <x:c r="L96" s="47" t="n">
        <x:v>0.9866471943211541</x:v>
      </x:c>
      <x:c r="M96" s="35" t="n">
        <x:v>118.76572083535812</x:v>
      </x:c>
      <x:c r="N96" s="98" t="n">
        <x:v>0.0000027645117785844495</x:v>
      </x:c>
      <x:c r="O96" s="26" t="str">
        <x:v>NO</x:v>
      </x:c>
      <x:c r="P96" s="27" t="str">
        <x:v>NO</x:v>
      </x:c>
    </x:row>
    <x:row r="97">
      <x:c r="A97" s="25" t="str">
        <x:v>HP</x:v>
      </x:c>
      <x:c r="B97" s="32" t="n">
        <x:v>21</x:v>
      </x:c>
      <x:c r="C97" s="35" t="n">
        <x:v>0.1000000000000002</x:v>
      </x:c>
      <x:c r="D97" s="32" t="n">
        <x:v>8</x:v>
      </x:c>
      <x:c r="E97" s="32" t="n">
        <x:v>29</x:v>
      </x:c>
      <x:c r="F97" s="35" t="n">
        <x:v>-0.16</x:v>
      </x:c>
      <x:c r="G97" s="35" t="n">
        <x:v>-0.0599999999999998</x:v>
      </x:c>
      <x:c r="H97" s="50" t="n">
        <x:v>5.799903253714522e-10</x:v>
      </x:c>
      <x:c r="I97" s="50" t="n">
        <x:v>4.20008531395974e-9</x:v>
      </x:c>
      <x:c r="J97" s="47" t="n">
        <x:v>0.8598373627664824</x:v>
      </x:c>
      <x:c r="K97" s="47" t="n">
        <x:v>8.765991346317595</x:v>
      </x:c>
      <x:c r="L97" s="47" t="n">
        <x:v>0.9895592179206996</x:v>
      </x:c>
      <x:c r="M97" s="35" t="n">
        <x:v>114.07722874607657</x:v>
      </x:c>
      <x:c r="N97" s="98" t="n">
        <x:v>0.000003136249805956318</x:v>
      </x:c>
      <x:c r="O97" s="26" t="str">
        <x:v>NO</x:v>
      </x:c>
      <x:c r="P97" s="27" t="str">
        <x:v>NO</x:v>
      </x:c>
    </x:row>
    <x:row r="98">
      <x:c r="A98" s="25" t="str">
        <x:v>HP</x:v>
      </x:c>
      <x:c r="B98" s="32" t="n">
        <x:v>21</x:v>
      </x:c>
      <x:c r="C98" s="35" t="n">
        <x:v>0.10000000000000009</x:v>
      </x:c>
      <x:c r="D98" s="32" t="n">
        <x:v>9</x:v>
      </x:c>
      <x:c r="E98" s="32" t="n">
        <x:v>30</x:v>
      </x:c>
      <x:c r="F98" s="35" t="n">
        <x:v>-0.155</x:v>
      </x:c>
      <x:c r="G98" s="35" t="n">
        <x:v>-0.0549999999999999</x:v>
      </x:c>
      <x:c r="H98" s="50" t="n">
        <x:v>6.11517628490725e-10</x:v>
      </x:c>
      <x:c r="I98" s="50" t="n">
        <x:v>4.7698305515960835e-9</x:v>
      </x:c>
      <x:c r="J98" s="47" t="n">
        <x:v>0.8920939698338817</x:v>
      </x:c>
      <x:c r="K98" s="47" t="n">
        <x:v>9.083799060331948</x:v>
      </x:c>
      <x:c r="L98" s="47" t="n">
        <x:v>0.9918575543299913</x:v>
      </x:c>
      <x:c r="M98" s="35" t="n">
        <x:v>110.0860987080726</x:v>
      </x:c>
      <x:c r="N98" s="98" t="n">
        <x:v>0.000003561684828678965</x:v>
      </x:c>
      <x:c r="O98" s="26" t="str">
        <x:v>NO</x:v>
      </x:c>
      <x:c r="P98" s="27" t="str">
        <x:v>NO</x:v>
      </x:c>
    </x:row>
    <x:row r="99">
      <x:c r="A99" s="25" t="str">
        <x:v>HP</x:v>
      </x:c>
      <x:c r="B99" s="32" t="n">
        <x:v>21</x:v>
      </x:c>
      <x:c r="C99" s="35" t="n">
        <x:v>0.10000000000000009</x:v>
      </x:c>
      <x:c r="D99" s="32" t="n">
        <x:v>10</x:v>
      </x:c>
      <x:c r="E99" s="32" t="n">
        <x:v>31</x:v>
      </x:c>
      <x:c r="F99" s="35" t="n">
        <x:v>-0.15</x:v>
      </x:c>
      <x:c r="G99" s="35" t="n">
        <x:v>-0.0499999999999999</x:v>
      </x:c>
      <x:c r="H99" s="50" t="n">
        <x:v>6.492179884146697e-10</x:v>
      </x:c>
      <x:c r="I99" s="50" t="n">
        <x:v>5.421703233852641e-9</x:v>
      </x:c>
      <x:c r="J99" s="47" t="n">
        <x:v>0.9217451973740474</x:v>
      </x:c>
      <x:c r="K99" s="47" t="n">
        <x:v>9.374104504037884</x:v>
      </x:c>
      <x:c r="L99" s="47" t="n">
        <x:v>0.9936727630330019</x:v>
      </x:c>
      <x:c r="M99" s="35" t="n">
        <x:v>106.67685639404289</x:v>
      </x:c>
      <x:c r="N99" s="98" t="n">
        <x:v>0.00000404844531576724</x:v>
      </x:c>
      <x:c r="O99" s="26" t="str">
        <x:v>NO</x:v>
      </x:c>
      <x:c r="P99" s="27" t="str">
        <x:v>NO</x:v>
      </x:c>
    </x:row>
    <x:row r="100">
      <x:c r="A100" s="25" t="str">
        <x:v>HP</x:v>
      </x:c>
      <x:c r="B100" s="32" t="n">
        <x:v>21</x:v>
      </x:c>
      <x:c r="C100" s="35" t="n">
        <x:v>0.10000000000000009</x:v>
      </x:c>
      <x:c r="D100" s="32" t="n">
        <x:v>11</x:v>
      </x:c>
      <x:c r="E100" s="32" t="n">
        <x:v>32</x:v>
      </x:c>
      <x:c r="F100" s="35" t="n">
        <x:v>-0.145</x:v>
      </x:c>
      <x:c r="G100" s="35" t="n">
        <x:v>-0.0449999999999999</x:v>
      </x:c>
      <x:c r="H100" s="50" t="n">
        <x:v>6.93797913027349e-10</x:v>
      </x:c>
      <x:c r="I100" s="50" t="n">
        <x:v>6.167359286893276e-9</x:v>
      </x:c>
      <x:c r="J100" s="47" t="n">
        <x:v>0.9488662603755298</x:v>
      </x:c>
      <x:c r="K100" s="47" t="n">
        <x:v>9.637839950973543</x:v>
      </x:c>
      <x:c r="L100" s="47" t="n">
        <x:v>0.9951045380903131</x:v>
      </x:c>
      <x:c r="M100" s="35" t="n">
        <x:v>103.75768897251582</x:v>
      </x:c>
      <x:c r="N100" s="98" t="n">
        <x:v>0.0000046052348752283795</x:v>
      </x:c>
      <x:c r="O100" s="26" t="str">
        <x:v>NO</x:v>
      </x:c>
      <x:c r="P100" s="27" t="str">
        <x:v>NO</x:v>
      </x:c>
    </x:row>
    <x:row r="101">
      <x:c r="A101" s="25" t="str">
        <x:v>HP</x:v>
      </x:c>
      <x:c r="B101" s="32" t="n">
        <x:v>21</x:v>
      </x:c>
      <x:c r="C101" s="35" t="n">
        <x:v>0.10000000000000012</x:v>
      </x:c>
      <x:c r="D101" s="32" t="n">
        <x:v>12</x:v>
      </x:c>
      <x:c r="E101" s="32" t="n">
        <x:v>33</x:v>
      </x:c>
      <x:c r="F101" s="35" t="n">
        <x:v>-0.14</x:v>
      </x:c>
      <x:c r="G101" s="35" t="n">
        <x:v>-0.0399999999999999</x:v>
      </x:c>
      <x:c r="H101" s="50" t="n">
        <x:v>7.461031649478636e-10</x:v>
      </x:c>
      <x:c r="I101" s="50" t="n">
        <x:v>7.0200943853620204e-9</x:v>
      </x:c>
      <x:c r="J101" s="47" t="n">
        <x:v>0.9735440690122772</x:v>
      </x:c>
      <x:c r="K101" s="47" t="n">
        <x:v>9.87611960617747</x:v>
      </x:c>
      <x:c r="L101" s="47" t="n">
        <x:v>0.996230705777006</x:v>
      </x:c>
      <x:c r="M101" s="35" t="n">
        <x:v>101.25434278605783</x:v>
      </x:c>
      <x:c r="N101" s="98" t="n">
        <x:v>0.000005241981533258378</x:v>
      </x:c>
      <x:c r="O101" s="26" t="str">
        <x:v>NO</x:v>
      </x:c>
      <x:c r="P101" s="27" t="str">
        <x:v>NO</x:v>
      </x:c>
    </x:row>
    <x:row r="102">
      <x:c r="A102" s="25" t="str">
        <x:v>HP</x:v>
      </x:c>
      <x:c r="B102" s="32" t="n">
        <x:v>21</x:v>
      </x:c>
      <x:c r="C102" s="35" t="n">
        <x:v>0.10000000000000012</x:v>
      </x:c>
      <x:c r="D102" s="32" t="n">
        <x:v>13</x:v>
      </x:c>
      <x:c r="E102" s="32" t="n">
        <x:v>34</x:v>
      </x:c>
      <x:c r="F102" s="35" t="n">
        <x:v>-0.135</x:v>
      </x:c>
      <x:c r="G102" s="35" t="n">
        <x:v>-0.0349999999999999</x:v>
      </x:c>
      <x:c r="H102" s="50" t="n">
        <x:v>8.071309868639366e-10</x:v>
      </x:c>
      <x:c r="I102" s="50" t="n">
        <x:v>7.995071005998663e-9</x:v>
      </x:c>
      <x:c r="J102" s="47" t="n">
        <x:v>0.9958783043760526</x:v>
      </x:c>
      <x:c r="K102" s="47" t="n">
        <x:v>10.090219677275401</x:v>
      </x:c>
      <x:c r="L102" s="47" t="n">
        <x:v>0.9971130384679233</x:v>
      </x:c>
      <x:c r="M102" s="35" t="n">
        <x:v>99.10587003889927</x:v>
      </x:c>
      <x:c r="N102" s="98" t="n">
        <x:v>0.00000597000727766899</x:v>
      </x:c>
      <x:c r="O102" s="26" t="str">
        <x:v>NO</x:v>
      </x:c>
      <x:c r="P102" s="27" t="str">
        <x:v>NO</x:v>
      </x:c>
    </x:row>
    <x:row r="103">
      <x:c r="A103" s="25" t="str">
        <x:v>HP</x:v>
      </x:c>
      <x:c r="B103" s="32" t="n">
        <x:v>21</x:v>
      </x:c>
      <x:c r="C103" s="35" t="n">
        <x:v>0.09999999999999999</x:v>
      </x:c>
      <x:c r="D103" s="32" t="n">
        <x:v>14</x:v>
      </x:c>
      <x:c r="E103" s="32" t="n">
        <x:v>35</x:v>
      </x:c>
      <x:c r="F103" s="35" t="n">
        <x:v>-0.1299999999999999</x:v>
      </x:c>
      <x:c r="G103" s="35" t="n">
        <x:v>-0.0299999999999999</x:v>
      </x:c>
      <x:c r="H103" s="50" t="n">
        <x:v>8.78045448843836e-10</x:v>
      </x:c>
      <x:c r="I103" s="50" t="n">
        <x:v>9.109576162781833e-9</x:v>
      </x:c>
      <x:c r="J103" s="47" t="n">
        <x:v>1.0159811750464343</x:v>
      </x:c>
      <x:c r="K103" s="47" t="n">
        <x:v>10.281548720176398</x:v>
      </x:c>
      <x:c r="L103" s="47" t="n">
        <x:v>0.997801104373956</x:v>
      </x:c>
      <x:c r="M103" s="35" t="n">
        <x:v>97.26161176843047</x:v>
      </x:c>
      <x:c r="N103" s="98" t="n">
        <x:v>0.000006802220511548085</x:v>
      </x:c>
      <x:c r="O103" s="26" t="str">
        <x:v>NO</x:v>
      </x:c>
      <x:c r="P103" s="27" t="str">
        <x:v>NO</x:v>
      </x:c>
    </x:row>
    <x:row r="104">
      <x:c r="A104" s="25" t="str">
        <x:v>HP</x:v>
      </x:c>
      <x:c r="B104" s="32" t="n">
        <x:v>21</x:v>
      </x:c>
      <x:c r="C104" s="35" t="n">
        <x:v>0.1</x:v>
      </x:c>
      <x:c r="D104" s="32" t="n">
        <x:v>15</x:v>
      </x:c>
      <x:c r="E104" s="32" t="n">
        <x:v>36</x:v>
      </x:c>
      <x:c r="F104" s="35" t="n">
        <x:v>-0.1249999999999999</x:v>
      </x:c>
      <x:c r="G104" s="35" t="n">
        <x:v>-0.0249999999999999</x:v>
      </x:c>
      <x:c r="H104" s="50" t="n">
        <x:v>9.601961473783615e-10</x:v>
      </x:c>
      <x:c r="I104" s="50" t="n">
        <x:v>1.0383313802526422e-8</x:v>
      </x:c>
      <x:c r="J104" s="47" t="n">
        <x:v>1.033976020272159</x:v>
      </x:c>
      <x:c r="K104" s="47" t="n">
        <x:v>10.451611960576175</x:v>
      </x:c>
      <x:c r="L104" s="47" t="n">
        <x:v>0.998334906042616</x:v>
      </x:c>
      <x:c r="M104" s="35" t="n">
        <x:v>95.67902097514077</x:v>
      </x:c>
      <x:c r="N104" s="98" t="n">
        <x:v>0.000007753334388261713</x:v>
      </x:c>
      <x:c r="O104" s="26" t="str">
        <x:v>NO</x:v>
      </x:c>
      <x:c r="P104" s="27" t="str">
        <x:v>NO</x:v>
      </x:c>
    </x:row>
    <x:row r="105">
      <x:c r="A105" s="25" t="str">
        <x:v>HP</x:v>
      </x:c>
      <x:c r="B105" s="32" t="n">
        <x:v>21</x:v>
      </x:c>
      <x:c r="C105" s="35" t="n">
        <x:v>0.1</x:v>
      </x:c>
      <x:c r="D105" s="32" t="n">
        <x:v>16</x:v>
      </x:c>
      <x:c r="E105" s="32" t="n">
        <x:v>37</x:v>
      </x:c>
      <x:c r="F105" s="35" t="n">
        <x:v>-0.1199999999999999</x:v>
      </x:c>
      <x:c r="G105" s="35" t="n">
        <x:v>-0.0199999999999999</x:v>
      </x:c>
      <x:c r="H105" s="50" t="n">
        <x:v>1.055140541806699e-9</x:v>
      </x:c>
      <x:c r="I105" s="50" t="n">
        <x:v>1.1838736322293511e-8</x:v>
      </x:c>
      <x:c r="J105" s="47" t="n">
        <x:v>1.0499950375522262</x:v>
      </x:c>
      <x:c r="K105" s="47" t="n">
        <x:v>10.60197319940641</x:v>
      </x:c>
      <x:c r="L105" s="47" t="n">
        <x:v>0.9987467702685972</x:v>
      </x:c>
      <x:c r="M105" s="35" t="n">
        <x:v>94.32206450550059</x:v>
      </x:c>
      <x:c r="N105" s="98" t="n">
        <x:v>0.000008840114359142976</x:v>
      </x:c>
      <x:c r="O105" s="26" t="str">
        <x:v>NO</x:v>
      </x:c>
      <x:c r="P105" s="27" t="str">
        <x:v>NO</x:v>
      </x:c>
    </x:row>
    <x:row r="106">
      <x:c r="A106" s="25" t="str">
        <x:v>HP</x:v>
      </x:c>
      <x:c r="B106" s="32" t="n">
        <x:v>21</x:v>
      </x:c>
      <x:c r="C106" s="35" t="n">
        <x:v>0.09999999999999999</x:v>
      </x:c>
      <x:c r="D106" s="32" t="n">
        <x:v>17</x:v>
      </x:c>
      <x:c r="E106" s="32" t="n">
        <x:v>38</x:v>
      </x:c>
      <x:c r="F106" s="35" t="n">
        <x:v>-0.1149999999999999</x:v>
      </x:c>
      <x:c r="G106" s="35" t="n">
        <x:v>-0.0149999999999999</x:v>
      </x:c>
      <x:c r="H106" s="50" t="n">
        <x:v>1.16467027569472e-9</x:v>
      </x:c>
      <x:c r="I106" s="50" t="n">
        <x:v>1.3501420203353691e-8</x:v>
      </x:c>
      <x:c r="J106" s="47" t="n">
        <x:v>1.064176462277758</x:v>
      </x:c>
      <x:c r="K106" s="47" t="n">
        <x:v>10.734217434514788</x:v>
      </x:c>
      <x:c r="L106" s="47" t="n">
        <x:v>0.9990627696603347</x:v>
      </x:c>
      <x:c r="M106" s="35" t="n">
        <x:v>93.16002830207272</x:v>
      </x:c>
      <x:c r="N106" s="98" t="n">
        <x:v>0.000010081658663495569</x:v>
      </x:c>
      <x:c r="O106" s="26" t="str">
        <x:v>NO</x:v>
      </x:c>
      <x:c r="P106" s="27" t="str">
        <x:v>NO</x:v>
      </x:c>
    </x:row>
    <x:row r="107">
      <x:c r="A107" s="25" t="str">
        <x:v>HP</x:v>
      </x:c>
      <x:c r="B107" s="32" t="n">
        <x:v>21</x:v>
      </x:c>
      <x:c r="C107" s="35" t="n">
        <x:v>0.1</x:v>
      </x:c>
      <x:c r="D107" s="32" t="n">
        <x:v>18</x:v>
      </x:c>
      <x:c r="E107" s="32" t="n">
        <x:v>39</x:v>
      </x:c>
      <x:c r="F107" s="35" t="n">
        <x:v>-0.1099999999999999</x:v>
      </x:c>
      <x:c r="G107" s="35" t="n">
        <x:v>-0.0099999999999999</x:v>
      </x:c>
      <x:c r="H107" s="50" t="n">
        <x:v>1.290841899359029e-9</x:v>
      </x:c>
      <x:c r="I107" s="50" t="n">
        <x:v>1.5400491344679292e-8</x:v>
      </x:c>
      <x:c r="J107" s="47" t="n">
        <x:v>1.0766615232984904</x:v>
      </x:c>
      <x:c r="K107" s="47" t="n">
        <x:v>10.849916625933702</x:v>
      </x:c>
      <x:c r="L107" s="47" t="n">
        <x:v>0.999303841979094</x:v>
      </x:c>
      <x:c r="M107" s="35" t="n">
        <x:v>92.16660684836773</x:v>
      </x:c>
      <x:c r="N107" s="98" t="n">
        <x:v>0.000011499715929781077</x:v>
      </x:c>
      <x:c r="O107" s="26" t="str">
        <x:v>NO</x:v>
      </x:c>
      <x:c r="P107" s="27" t="str">
        <x:v>NO</x:v>
      </x:c>
    </x:row>
    <x:row r="108">
      <x:c r="A108" s="25" t="str">
        <x:v>HP</x:v>
      </x:c>
      <x:c r="B108" s="32" t="n">
        <x:v>21</x:v>
      </x:c>
      <x:c r="C108" s="35" t="n">
        <x:v>0.1</x:v>
      </x:c>
      <x:c r="D108" s="32" t="n">
        <x:v>19</x:v>
      </x:c>
      <x:c r="E108" s="32" t="n">
        <x:v>40</x:v>
      </x:c>
      <x:c r="F108" s="35" t="n">
        <x:v>-0.1049999999999999</x:v>
      </x:c>
      <x:c r="G108" s="35" t="n">
        <x:v>-0.0049999999999999</x:v>
      </x:c>
      <x:c r="H108" s="50" t="n">
        <x:v>1.436012485864877e-9</x:v>
      </x:c>
      <x:c r="I108" s="50" t="n">
        <x:v>1.7569106325909142e-8</x:v>
      </x:c>
      <x:c r="J108" s="47" t="n">
        <x:v>1.0875914551034205</x:v>
      </x:c>
      <x:c r="K108" s="47" t="n">
        <x:v>10.95060024282491</x:v>
      </x:c>
      <x:c r="L108" s="47" t="n">
        <x:v>0.999486703350602</x:v>
      </x:c>
      <x:c r="M108" s="35" t="n">
        <x:v>91.3191950966545</x:v>
      </x:c>
      <x:c r="N108" s="98" t="n">
        <x:v>0.000013119044539957322</x:v>
      </x:c>
      <x:c r="O108" s="26" t="str">
        <x:v>NO</x:v>
      </x:c>
      <x:c r="P108" s="27" t="str">
        <x:v>NO</x:v>
      </x:c>
    </x:row>
    <x:row r="109">
      <x:c r="A109" s="25" t="str">
        <x:v>HP</x:v>
      </x:c>
      <x:c r="B109" s="32" t="n">
        <x:v>21</x:v>
      </x:c>
      <x:c r="C109" s="35" t="n">
        <x:v>0.09999999999999999</x:v>
      </x:c>
      <x:c r="D109" s="32" t="n">
        <x:v>20</x:v>
      </x:c>
      <x:c r="E109" s="32" t="n">
        <x:v>41</x:v>
      </x:c>
      <x:c r="F109" s="35" t="n">
        <x:v>-0.0999999999999999</x:v>
      </x:c>
      <x:c r="G109" s="35" t="n">
        <x:v>9.887923813067799e-17</x:v>
      </x:c>
      <x:c r="H109" s="50" t="n">
        <x:v>1.602880717400002e-9</x:v>
      </x:c>
      <x:c r="I109" s="50" t="n">
        <x:v>2.0044996539171842e-8</x:v>
      </x:c>
      <x:c r="J109" s="47" t="n">
        <x:v>1.097104781218028</x:v>
      </x:c>
      <x:c r="K109" s="47" t="n">
        <x:v>11.037731473460704</x:v>
      </x:c>
      <x:c r="L109" s="47" t="n">
        <x:v>0.9996246099883528</x:v>
      </x:c>
      <x:c r="M109" s="35" t="n">
        <x:v>90.5983265134159</x:v>
      </x:c>
      <x:c r="N109" s="98" t="n">
        <x:v>0.000014967818938683434</x:v>
      </x:c>
      <x:c r="O109" s="26" t="str">
        <x:v>NO</x:v>
      </x:c>
      <x:c r="P109" s="27" t="str">
        <x:v>NO</x:v>
      </x:c>
    </x:row>
    <x:row r="110">
      <x:c r="A110" s="25" t="str">
        <x:v>HP</x:v>
      </x:c>
      <x:c r="B110" s="32" t="n">
        <x:v>21</x:v>
      </x:c>
      <x:c r="C110" s="35" t="n">
        <x:v>0.09999999999999991</x:v>
      </x:c>
      <x:c r="D110" s="32" t="n">
        <x:v>21</x:v>
      </x:c>
      <x:c r="E110" s="32" t="n">
        <x:v>42</x:v>
      </x:c>
      <x:c r="F110" s="35" t="n">
        <x:v>-0.0949999999999999</x:v>
      </x:c>
      <x:c r="G110" s="35" t="n">
        <x:v>0.005</x:v>
      </x:c>
      <x:c r="H110" s="50" t="n">
        <x:v>1.7945341129954902e-9</x:v>
      </x:c>
      <x:c r="I110" s="50" t="n">
        <x:v>2.287108290455236e-8</x:v>
      </x:c>
      <x:c r="J110" s="47" t="n">
        <x:v>1.1053350097344126</x:v>
      </x:c>
      <x:c r="K110" s="47" t="n">
        <x:v>11.112689334697093</x:v>
      </x:c>
      <x:c r="L110" s="47" t="n">
        <x:v>0.9997279997501762</x:v>
      </x:c>
      <x:c r="M110" s="35" t="n">
        <x:v>89.98721820448135</x:v>
      </x:c>
      <x:c r="N110" s="98" t="n">
        <x:v>0.00001707808864810615</x:v>
      </x:c>
      <x:c r="O110" s="26" t="str">
        <x:v>NO</x:v>
      </x:c>
      <x:c r="P110" s="27" t="str">
        <x:v>NO</x:v>
      </x:c>
    </x:row>
    <x:row r="111">
      <x:c r="A111" s="25" t="str">
        <x:v>HP</x:v>
      </x:c>
      <x:c r="B111" s="32" t="n">
        <x:v>21</x:v>
      </x:c>
      <x:c r="C111" s="35" t="n">
        <x:v>0.1</x:v>
      </x:c>
      <x:c r="D111" s="32" t="n">
        <x:v>22</x:v>
      </x:c>
      <x:c r="E111" s="32" t="n">
        <x:v>43</x:v>
      </x:c>
      <x:c r="F111" s="35" t="n">
        <x:v>-0.0899999999999999</x:v>
      </x:c>
      <x:c r="G111" s="35" t="n">
        <x:v>0.0100000000000001</x:v>
      </x:c>
      <x:c r="H111" s="50" t="n">
        <x:v>2.014503173327516e-9</x:v>
      </x:c>
      <x:c r="I111" s="50" t="n">
        <x:v>2.6096169728378883e-8</x:v>
      </x:c>
      <x:c r="J111" s="47" t="n">
        <x:v>1.1124088124949338</x:v>
      </x:c>
      <x:c r="K111" s="47" t="n">
        <x:v>11.176756425138969</x:v>
      </x:c>
      <x:c r="L111" s="47" t="n">
        <x:v>0.9998050326173387</x:v>
      </x:c>
      <x:c r="M111" s="35" t="n">
        <x:v>89.47139599023393</x:v>
      </x:c>
      <x:c r="N111" s="98" t="n">
        <x:v>0.000019486296379458715</x:v>
      </x:c>
      <x:c r="O111" s="26" t="str">
        <x:v>NO</x:v>
      </x:c>
      <x:c r="P111" s="27" t="str">
        <x:v>NO</x:v>
      </x:c>
    </x:row>
    <x:row r="112">
      <x:c r="A112" s="25" t="str">
        <x:v>HP</x:v>
      </x:c>
      <x:c r="B112" s="32" t="n">
        <x:v>21</x:v>
      </x:c>
      <x:c r="C112" s="35" t="n">
        <x:v>0.09999999999999999</x:v>
      </x:c>
      <x:c r="D112" s="32" t="n">
        <x:v>23</x:v>
      </x:c>
      <x:c r="E112" s="32" t="n">
        <x:v>44</x:v>
      </x:c>
      <x:c r="F112" s="35" t="n">
        <x:v>-0.0849999999999999</x:v>
      </x:c>
      <x:c r="G112" s="35" t="n">
        <x:v>0.0150000000000001</x:v>
      </x:c>
      <x:c r="H112" s="50" t="n">
        <x:v>2.266823335139018e-9</x:v>
      </x:c>
      <x:c r="I112" s="50" t="n">
        <x:v>2.9775727179494693e-8</x:v>
      </x:c>
      <x:c r="J112" s="47" t="n">
        <x:v>1.1184447018679027</x:v>
      </x:c>
      <x:c r="K112" s="47" t="n">
        <x:v>11.23111173483091</x:v>
      </x:c>
      <x:c r="L112" s="47" t="n">
        <x:v>0.9998620433236641</x:v>
      </x:c>
      <x:c r="M112" s="35" t="n">
        <x:v>89.0383804925306</x:v>
      </x:c>
      <x:c r="N112" s="98" t="n">
        <x:v>0.00002223386231668189</x:v>
      </x:c>
      <x:c r="O112" s="26" t="str">
        <x:v>NO</x:v>
      </x:c>
      <x:c r="P112" s="27" t="str">
        <x:v>NO</x:v>
      </x:c>
    </x:row>
    <x:row r="113">
      <x:c r="A113" s="25" t="str">
        <x:v>HP</x:v>
      </x:c>
      <x:c r="B113" s="32" t="n">
        <x:v>21</x:v>
      </x:c>
      <x:c r="C113" s="35" t="n">
        <x:v>0.1</x:v>
      </x:c>
      <x:c r="D113" s="32" t="n">
        <x:v>24</x:v>
      </x:c>
      <x:c r="E113" s="32" t="n">
        <x:v>45</x:v>
      </x:c>
      <x:c r="F113" s="35" t="n">
        <x:v>-0.0799999999999999</x:v>
      </x:c>
      <x:c r="G113" s="35" t="n">
        <x:v>0.0200000000000001</x:v>
      </x:c>
      <x:c r="H113" s="50" t="n">
        <x:v>2.556105758202359e-9</x:v>
      </x:c>
      <x:c r="I113" s="50" t="n">
        <x:v>3.397277284792525e-8</x:v>
      </x:c>
      <x:c r="J113" s="47" t="n">
        <x:v>1.123552176629218</x:v>
      </x:c>
      <x:c r="K113" s="47" t="n">
        <x:v>11.276827739091884</x:v>
      </x:c>
      <x:c r="L113" s="47" t="n">
        <x:v>0.9999039168427126</x:v>
      </x:c>
      <x:c r="M113" s="35" t="n">
        <x:v>88.67742091452125</x:v>
      </x:c>
      <x:c r="N113" s="98" t="n">
        <x:v>0.000025367842385957054</x:v>
      </x:c>
      <x:c r="O113" s="26" t="str">
        <x:v>NO</x:v>
      </x:c>
      <x:c r="P113" s="27" t="str">
        <x:v>NO</x:v>
      </x:c>
    </x:row>
    <x:row r="114">
      <x:c r="A114" s="25" t="str">
        <x:v>HP</x:v>
      </x:c>
      <x:c r="B114" s="32" t="n">
        <x:v>21</x:v>
      </x:c>
      <x:c r="C114" s="35" t="n">
        <x:v>0.1</x:v>
      </x:c>
      <x:c r="D114" s="32" t="n">
        <x:v>25</x:v>
      </x:c>
      <x:c r="E114" s="32" t="n">
        <x:v>46</x:v>
      </x:c>
      <x:c r="F114" s="35" t="n">
        <x:v>-0.0749999999999999</x:v>
      </x:c>
      <x:c r="G114" s="35" t="n">
        <x:v>0.0250000000000001</x:v>
      </x:c>
      <x:c r="H114" s="50" t="n">
        <x:v>2.887618113375948e-9</x:v>
      </x:c>
      <x:c r="I114" s="50" t="n">
        <x:v>3.8758863913740275e-8</x:v>
      </x:c>
      <x:c r="J114" s="47" t="n">
        <x:v>1.1278312812963707</x:v>
      </x:c>
      <x:c r="K114" s="47" t="n">
        <x:v>11.314870937319977</x:v>
      </x:c>
      <x:c r="L114" s="47" t="n">
        <x:v>0.999934396436277</x:v>
      </x:c>
      <x:c r="M114" s="35" t="n">
        <x:v>88.37926703182161</x:v>
      </x:c>
      <x:c r="N114" s="98" t="n">
        <x:v>0.000028941669119086008</x:v>
      </x:c>
      <x:c r="O114" s="26" t="str">
        <x:v>NO</x:v>
      </x:c>
      <x:c r="P114" s="27" t="str">
        <x:v>NO</x:v>
      </x:c>
    </x:row>
    <x:row r="115">
      <x:c r="A115" s="25" t="str">
        <x:v>HP</x:v>
      </x:c>
      <x:c r="B115" s="32" t="n">
        <x:v>21</x:v>
      </x:c>
      <x:c r="C115" s="35" t="n">
        <x:v>0.09999999999999999</x:v>
      </x:c>
      <x:c r="D115" s="32" t="n">
        <x:v>26</x:v>
      </x:c>
      <x:c r="E115" s="32" t="n">
        <x:v>47</x:v>
      </x:c>
      <x:c r="F115" s="35" t="n">
        <x:v>-0.0699999999999999</x:v>
      </x:c>
      <x:c r="G115" s="35" t="n">
        <x:v>0.0300000000000001</x:v>
      </x:c>
      <x:c r="H115" s="50" t="n">
        <x:v>3.267376703094192e-9</x:v>
      </x:c>
      <x:c r="I115" s="50" t="n">
        <x:v>4.4215212590877827e-8</x:v>
      </x:c>
      <x:c r="J115" s="47" t="n">
        <x:v>1.1313725093502551</x:v>
      </x:c>
      <x:c r="K115" s="47" t="n">
        <x:v>11.346105017056528</x:v>
      </x:c>
      <x:c r="L115" s="47" t="n">
        <x:v>0.9999563334695433</x:v>
      </x:c>
      <x:c r="M115" s="35" t="n">
        <x:v>88.13597252067615</x:v>
      </x:c>
      <x:c r="N115" s="98" t="n">
        <x:v>0.00003301598456763803</x:v>
      </x:c>
      <x:c r="O115" s="26" t="str">
        <x:v>NO</x:v>
      </x:c>
      <x:c r="P115" s="27" t="str">
        <x:v>NO</x:v>
      </x:c>
    </x:row>
    <x:row r="116">
      <x:c r="A116" s="25" t="str">
        <x:v>HP</x:v>
      </x:c>
      <x:c r="B116" s="32" t="n">
        <x:v>21</x:v>
      </x:c>
      <x:c r="C116" s="35" t="n">
        <x:v>0.0999999999999999</x:v>
      </x:c>
      <x:c r="D116" s="32" t="n">
        <x:v>27</x:v>
      </x:c>
      <x:c r="E116" s="32" t="n">
        <x:v>48</x:v>
      </x:c>
      <x:c r="F116" s="35" t="n">
        <x:v>-0.0649999999999998</x:v>
      </x:c>
      <x:c r="G116" s="35" t="n">
        <x:v>0.0350000000000001</x:v>
      </x:c>
      <x:c r="H116" s="50" t="n">
        <x:v>3.702251427628463e-9</x:v>
      </x:c>
      <x:c r="I116" s="50" t="n">
        <x:v>5.043393871940648e-8</x:v>
      </x:c>
      <x:c r="J116" s="47" t="n">
        <x:v>1.1342569771444095</x:v>
      </x:c>
      <x:c r="K116" s="47" t="n">
        <x:v>11.37129589872048</x:v>
      </x:c>
      <x:c r="L116" s="47" t="n">
        <x:v>0.9999718877248996</x:v>
      </x:c>
      <x:c r="M116" s="35" t="n">
        <x:v>87.94072451430289</x:v>
      </x:c>
      <x:c r="N116" s="98" t="n">
        <x:v>0.000037659575627341074</x:v>
      </x:c>
      <x:c r="O116" s="26" t="str">
        <x:v>NO</x:v>
      </x:c>
      <x:c r="P116" s="27" t="str">
        <x:v>NO</x:v>
      </x:c>
    </x:row>
    <x:row r="117">
      <x:c r="A117" s="25" t="str">
        <x:v>HP</x:v>
      </x:c>
      <x:c r="B117" s="32" t="n">
        <x:v>21</x:v>
      </x:c>
      <x:c r="C117" s="35" t="n">
        <x:v>0.0999999999999999</x:v>
      </x:c>
      <x:c r="D117" s="32" t="n">
        <x:v>28</x:v>
      </x:c>
      <x:c r="E117" s="32" t="n">
        <x:v>49</x:v>
      </x:c>
      <x:c r="F117" s="35" t="n">
        <x:v>-0.0599999999999998</x:v>
      </x:c>
      <x:c r="G117" s="35" t="n">
        <x:v>0.0400000000000001</x:v>
      </x:c>
      <x:c r="H117" s="50" t="n">
        <x:v>4.20008531395974e-9</x:v>
      </x:c>
      <x:c r="I117" s="50" t="n">
        <x:v>5.751947465615888e-8</x:v>
      </x:c>
      <x:c r="J117" s="47" t="n">
        <x:v>1.1365567987760024</x:v>
      </x:c>
      <x:c r="K117" s="47" t="n">
        <x:v>11.391118021549893</x:v>
      </x:c>
      <x:c r="L117" s="47" t="n">
        <x:v>0.9999826863242155</x:v>
      </x:c>
      <x:c r="M117" s="35" t="n">
        <x:v>87.78769547538569</x:v>
      </x:c>
      <x:c r="N117" s="98" t="n">
        <x:v>0.000042950423085338506</x:v>
      </x:c>
      <x:c r="O117" s="26" t="str">
        <x:v>NO</x:v>
      </x:c>
      <x:c r="P117" s="27" t="str">
        <x:v>NO</x:v>
      </x:c>
    </x:row>
    <x:row r="118">
      <x:c r="A118" s="25" t="str">
        <x:v>HP</x:v>
      </x:c>
      <x:c r="B118" s="32" t="n">
        <x:v>21</x:v>
      </x:c>
      <x:c r="C118" s="35" t="n">
        <x:v>0.1</x:v>
      </x:c>
      <x:c r="D118" s="32" t="n">
        <x:v>29</x:v>
      </x:c>
      <x:c r="E118" s="32" t="n">
        <x:v>50</x:v>
      </x:c>
      <x:c r="F118" s="35" t="n">
        <x:v>-0.0549999999999999</x:v>
      </x:c>
      <x:c r="G118" s="35" t="n">
        <x:v>0.0450000000000001</x:v>
      </x:c>
      <x:c r="H118" s="50" t="n">
        <x:v>4.7698305515960835e-9</x:v>
      </x:c>
      <x:c r="I118" s="50" t="n">
        <x:v>6.559013895214705e-8</x:v>
      </x:c>
      <x:c r="J118" s="47" t="n">
        <x:v>1.1383355999652656</x:v>
      </x:c>
      <x:c r="K118" s="47" t="n">
        <x:v>11.40616134706647</x:v>
      </x:c>
      <x:c r="L118" s="47" t="n">
        <x:v>0.999989948586087</x:v>
      </x:c>
      <x:c r="M118" s="35" t="n">
        <x:v>87.67191429018213</x:v>
      </x:c>
      <x:c r="N118" s="98" t="n">
        <x:v>0.000048976876702388556</x:v>
      </x:c>
      <x:c r="O118" s="26" t="str">
        <x:v>NO</x:v>
      </x:c>
      <x:c r="P118" s="27" t="str">
        <x:v>NO</x:v>
      </x:c>
    </x:row>
    <x:row r="119">
      <x:c r="A119" s="25" t="str">
        <x:v>HP</x:v>
      </x:c>
      <x:c r="B119" s="32" t="n">
        <x:v>21</x:v>
      </x:c>
      <x:c r="C119" s="35" t="n">
        <x:v>0.0999999999999999</x:v>
      </x:c>
      <x:c r="D119" s="32" t="n">
        <x:v>30</x:v>
      </x:c>
      <x:c r="E119" s="32" t="n">
        <x:v>51</x:v>
      </x:c>
      <x:c r="F119" s="35" t="n">
        <x:v>-0.0499999999999999</x:v>
      </x:c>
      <x:c r="G119" s="35" t="n">
        <x:v>0.05</x:v>
      </x:c>
      <x:c r="H119" s="50" t="n">
        <x:v>5.421703233852641e-9</x:v>
      </x:c>
      <x:c r="I119" s="50" t="n">
        <x:v>7.477989669704965e-8</x:v>
      </x:c>
      <x:c r="J119" s="47" t="n">
        <x:v>1.139649118824643</x:v>
      </x:c>
      <x:c r="K119" s="47" t="n">
        <x:v>11.416938669582125</x:v>
      </x:c>
      <x:c r="L119" s="47" t="n">
        <x:v>0.9999945832558039</x:v>
      </x:c>
      <x:c r="M119" s="35" t="n">
        <x:v>87.58915405793289</x:v>
      </x:c>
      <x:c r="N119" s="98" t="n">
        <x:v>0.000055838969681415265</x:v>
      </x:c>
      <x:c r="O119" s="26" t="str">
        <x:v>NO</x:v>
      </x:c>
      <x:c r="P119" s="27" t="str">
        <x:v>NO</x:v>
      </x:c>
    </x:row>
    <x:row r="120">
      <x:c r="A120" s="25" t="str">
        <x:v>HP</x:v>
      </x:c>
      <x:c r="B120" s="32" t="n">
        <x:v>21</x:v>
      </x:c>
      <x:c r="C120" s="35" t="n">
        <x:v>0.0999999999999999</x:v>
      </x:c>
      <x:c r="D120" s="32" t="n">
        <x:v>31</x:v>
      </x:c>
      <x:c r="E120" s="32" t="n">
        <x:v>52</x:v>
      </x:c>
      <x:c r="F120" s="35" t="n">
        <x:v>-0.0449999999999999</x:v>
      </x:c>
      <x:c r="G120" s="35" t="n">
        <x:v>0.055</x:v>
      </x:c>
      <x:c r="H120" s="50" t="n">
        <x:v>6.167359286893276e-9</x:v>
      </x:c>
      <x:c r="I120" s="50" t="n">
        <x:v>8.524032584503317e-8</x:v>
      </x:c>
      <x:c r="J120" s="47" t="n">
        <x:v>1.1405458516988762</x:v>
      </x:c>
      <x:c r="K120" s="47" t="n">
        <x:v>11.42389292589866</x:v>
      </x:c>
      <x:c r="L120" s="47" t="n">
        <x:v>0.9999972636230732</x:v>
      </x:c>
      <x:c r="M120" s="35" t="n">
        <x:v>87.53583445560307</x:v>
      </x:c>
      <x:c r="N120" s="98" t="n">
        <x:v>0.00006364988694458246</x:v>
      </x:c>
      <x:c r="O120" s="26" t="str">
        <x:v>NO</x:v>
      </x:c>
      <x:c r="P120" s="27" t="str">
        <x:v>NO</x:v>
      </x:c>
    </x:row>
    <x:row r="121">
      <x:c r="A121" s="25" t="str">
        <x:v>HP</x:v>
      </x:c>
      <x:c r="B121" s="32" t="n">
        <x:v>21</x:v>
      </x:c>
      <x:c r="C121" s="35" t="n">
        <x:v>0.0999999999999999</x:v>
      </x:c>
      <x:c r="D121" s="32" t="n">
        <x:v>32</x:v>
      </x:c>
      <x:c r="E121" s="32" t="n">
        <x:v>53</x:v>
      </x:c>
      <x:c r="F121" s="35" t="n">
        <x:v>-0.0399999999999999</x:v>
      </x:c>
      <x:c r="G121" s="35" t="n">
        <x:v>0.06</x:v>
      </x:c>
      <x:c r="H121" s="50" t="n">
        <x:v>7.0200943853620204e-9</x:v>
      </x:c>
      <x:c r="I121" s="50" t="n">
        <x:v>9.714281029803717e-8</x:v>
      </x:c>
      <x:c r="J121" s="47" t="n">
        <x:v>1.1410677119934913</x:v>
      </x:c>
      <x:c r="K121" s="47" t="n">
        <x:v>11.427404284414582</x:v>
      </x:c>
      <x:c r="L121" s="47" t="n">
        <x:v>0.9999984851477218</x:v>
      </x:c>
      <x:c r="M121" s="35" t="n">
        <x:v>87.50893686012871</x:v>
      </x:c>
      <x:c r="N121" s="98" t="n">
        <x:v>0.00007253760273265507</x:v>
      </x:c>
      <x:c r="O121" s="26" t="str">
        <x:v>NO</x:v>
      </x:c>
      <x:c r="P121" s="27" t="str">
        <x:v>NO</x:v>
      </x:c>
    </x:row>
    <x:row r="122">
      <x:c r="A122" s="25" t="str">
        <x:v>HP</x:v>
      </x:c>
      <x:c r="B122" s="32" t="n">
        <x:v>21</x:v>
      </x:c>
      <x:c r="C122" s="35" t="n">
        <x:v>0.0999999999999999</x:v>
      </x:c>
      <x:c r="D122" s="32" t="n">
        <x:v>33</x:v>
      </x:c>
      <x:c r="E122" s="32" t="n">
        <x:v>54</x:v>
      </x:c>
      <x:c r="F122" s="35" t="n">
        <x:v>-0.0349999999999999</x:v>
      </x:c>
      <x:c r="G122" s="35" t="n">
        <x:v>0.065</x:v>
      </x:c>
      <x:c r="H122" s="50" t="n">
        <x:v>7.995071005998663e-9</x:v>
      </x:c>
      <x:c r="I122" s="50" t="n">
        <x:v>1.106809819940524e-7</x:v>
      </x:c>
      <x:c r="J122" s="47" t="n">
        <x:v>1.141250678508717</x:v>
      </x:c>
      <x:c r="K122" s="47" t="n">
        <x:v>11.427796866237095</x:v>
      </x:c>
      <x:c r="L122" s="47" t="n">
        <x:v>0.9999986093900101</x:v>
      </x:c>
      <x:c r="M122" s="35" t="n">
        <x:v>87.50593064481697</x:v>
      </x:c>
      <x:c r="N122" s="98" t="n">
        <x:v>0.0000826467041391219</x:v>
      </x:c>
      <x:c r="O122" s="26" t="str">
        <x:v>NO</x:v>
      </x:c>
      <x:c r="P122" s="27" t="str">
        <x:v>NO</x:v>
      </x:c>
    </x:row>
    <x:row r="123">
      <x:c r="A123" s="25" t="str">
        <x:v>HP</x:v>
      </x:c>
      <x:c r="B123" s="32" t="n">
        <x:v>21</x:v>
      </x:c>
      <x:c r="C123" s="35" t="n">
        <x:v>0.09999999999999991</x:v>
      </x:c>
      <x:c r="D123" s="32" t="n">
        <x:v>34</x:v>
      </x:c>
      <x:c r="E123" s="32" t="n">
        <x:v>55</x:v>
      </x:c>
      <x:c r="F123" s="35" t="n">
        <x:v>-0.0299999999999999</x:v>
      </x:c>
      <x:c r="G123" s="35" t="n">
        <x:v>0.07</x:v>
      </x:c>
      <x:c r="H123" s="50" t="n">
        <x:v>9.109576162781833e-9</x:v>
      </x:c>
      <x:c r="I123" s="50" t="n">
        <x:v>1.260734357078407e-7</x:v>
      </x:c>
      <x:c r="J123" s="47" t="n">
        <x:v>1.1411254170158767</x:v>
      </x:c>
      <x:c r="K123" s="47" t="n">
        <x:v>11.425345008064296</x:v>
      </x:c>
      <x:c r="L123" s="47" t="n">
        <x:v>0.9999978973143272</x:v>
      </x:c>
      <x:c r="M123" s="35" t="n">
        <x:v>87.52470925772262</x:v>
      </x:c>
      <x:c r="N123" s="98" t="n">
        <x:v>0.00009414041828169201</x:v>
      </x:c>
      <x:c r="O123" s="26" t="str">
        <x:v>NO</x:v>
      </x:c>
      <x:c r="P123" s="27" t="str">
        <x:v>NO</x:v>
      </x:c>
    </x:row>
    <x:row r="124">
      <x:c r="A124" s="25" t="str">
        <x:v>HP</x:v>
      </x:c>
      <x:c r="B124" s="32" t="n">
        <x:v>21</x:v>
      </x:c>
      <x:c r="C124" s="35" t="n">
        <x:v>0.09999999999999999</x:v>
      </x:c>
      <x:c r="D124" s="32" t="n">
        <x:v>35</x:v>
      </x:c>
      <x:c r="E124" s="32" t="n">
        <x:v>56</x:v>
      </x:c>
      <x:c r="F124" s="35" t="n">
        <x:v>-0.0249999999999999</x:v>
      </x:c>
      <x:c r="G124" s="35" t="n">
        <x:v>0.0750000000000001</x:v>
      </x:c>
      <x:c r="H124" s="50" t="n">
        <x:v>1.0383313802526422e-8</x:v>
      </x:c>
      <x:c r="I124" s="50" t="n">
        <x:v>1.435667416938999e-7</x:v>
      </x:c>
      <x:c r="J124" s="47" t="n">
        <x:v>1.1407178646260316</x:v>
      </x:c>
      <x:c r="K124" s="47" t="n">
        <x:v>11.420279020334803</x:v>
      </x:c>
      <x:c r="L124" s="47" t="n">
        <x:v>0.9999965344121093</x:v>
      </x:c>
      <x:c r="M124" s="35" t="n">
        <x:v>87.56353485054198</x:v>
      </x:c>
      <x:c r="N124" s="98" t="n">
        <x:v>0.00010720286187586482</x:v>
      </x:c>
      <x:c r="O124" s="26" t="str">
        <x:v>NO</x:v>
      </x:c>
      <x:c r="P124" s="27" t="str">
        <x:v>NO</x:v>
      </x:c>
    </x:row>
    <x:row r="125">
      <x:c r="A125" s="25" t="str">
        <x:v>HP</x:v>
      </x:c>
      <x:c r="B125" s="32" t="n">
        <x:v>21</x:v>
      </x:c>
      <x:c r="C125" s="35" t="n">
        <x:v>0.1</x:v>
      </x:c>
      <x:c r="D125" s="32" t="n">
        <x:v>36</x:v>
      </x:c>
      <x:c r="E125" s="32" t="n">
        <x:v>57</x:v>
      </x:c>
      <x:c r="F125" s="35" t="n">
        <x:v>-0.0199999999999999</x:v>
      </x:c>
      <x:c r="G125" s="35" t="n">
        <x:v>0.0800000000000001</x:v>
      </x:c>
      <x:c r="H125" s="50" t="n">
        <x:v>1.1838736322293511e-8</x:v>
      </x:c>
      <x:c r="I125" s="50" t="n">
        <x:v>1.634387826574535e-7</x:v>
      </x:c>
      <x:c r="J125" s="47" t="n">
        <x:v>1.1400497710123556</x:v>
      </x:c>
      <x:c r="K125" s="47" t="n">
        <x:v>11.41279042629979</x:v>
      </x:c>
      <x:c r="L125" s="47" t="n">
        <x:v>0.9999946495702678</x:v>
      </x:c>
      <x:c r="M125" s="35" t="n">
        <x:v>87.62099036670176</x:v>
      </x:c>
      <x:c r="N125" s="98" t="n">
        <x:v>0.00012204153298779603</x:v>
      </x:c>
      <x:c r="O125" s="26" t="str">
        <x:v>NO</x:v>
      </x:c>
      <x:c r="P125" s="27" t="str">
        <x:v>NO</x:v>
      </x:c>
    </x:row>
    <x:row r="126">
      <x:c r="A126" s="25" t="str">
        <x:v>HP</x:v>
      </x:c>
      <x:c r="B126" s="32" t="n">
        <x:v>21</x:v>
      </x:c>
      <x:c r="C126" s="35" t="n">
        <x:v>0.1</x:v>
      </x:c>
      <x:c r="D126" s="32" t="n">
        <x:v>37</x:v>
      </x:c>
      <x:c r="E126" s="32" t="n">
        <x:v>58</x:v>
      </x:c>
      <x:c r="F126" s="35" t="n">
        <x:v>-0.0149999999999999</x:v>
      </x:c>
      <x:c r="G126" s="35" t="n">
        <x:v>0.0850000000000001</x:v>
      </x:c>
      <x:c r="H126" s="50" t="n">
        <x:v>1.3501420203353691e-8</x:v>
      </x:c>
      <x:c r="I126" s="50" t="n">
        <x:v>1.860024427952476e-7</x:v>
      </x:c>
      <x:c r="J126" s="47" t="n">
        <x:v>1.1391391939241915</x:v>
      </x:c>
      <x:c r="K126" s="47" t="n">
        <x:v>11.403036690480246</x:v>
      </x:c>
      <x:c r="L126" s="47" t="n">
        <x:v>0.9999923291870679</x:v>
      </x:c>
      <x:c r="M126" s="35" t="n">
        <x:v>87.69593812101331</x:v>
      </x:c>
      <x:c r="N126" s="98" t="n">
        <x:v>0.00013889006568155345</x:v>
      </x:c>
      <x:c r="O126" s="26" t="str">
        <x:v>NO</x:v>
      </x:c>
      <x:c r="P126" s="27" t="str">
        <x:v>NO</x:v>
      </x:c>
    </x:row>
    <x:row r="127">
      <x:c r="A127" s="25" t="str">
        <x:v>HP</x:v>
      </x:c>
      <x:c r="B127" s="32" t="n">
        <x:v>21</x:v>
      </x:c>
      <x:c r="C127" s="35" t="n">
        <x:v>0.09999999999999999</x:v>
      </x:c>
      <x:c r="D127" s="32" t="n">
        <x:v>38</x:v>
      </x:c>
      <x:c r="E127" s="32" t="n">
        <x:v>59</x:v>
      </x:c>
      <x:c r="F127" s="35" t="n">
        <x:v>-0.0099999999999999</x:v>
      </x:c>
      <x:c r="G127" s="35" t="n">
        <x:v>0.0900000000000001</x:v>
      </x:c>
      <x:c r="H127" s="50" t="n">
        <x:v>1.5400491344679292e-8</x:v>
      </x:c>
      <x:c r="I127" s="50" t="n">
        <x:v>2.116096777673938e-7</x:v>
      </x:c>
      <x:c r="J127" s="47" t="n">
        <x:v>1.1380009488650797</x:v>
      </x:c>
      <x:c r="K127" s="47" t="n">
        <x:v>11.391145460326502</x:v>
      </x:c>
      <x:c r="L127" s="47" t="n">
        <x:v>0.9999896276967346</x:v>
      </x:c>
      <x:c r="M127" s="35" t="n">
        <x:v>87.7874840140385</x:v>
      </x:c>
      <x:c r="N127" s="98" t="n">
        <x:v>0.00015801126911176578</x:v>
      </x:c>
      <x:c r="O127" s="26" t="str">
        <x:v>NO</x:v>
      </x:c>
      <x:c r="P127" s="27" t="str">
        <x:v>NO</x:v>
      </x:c>
    </x:row>
    <x:row r="128">
      <x:c r="A128" s="25" t="str">
        <x:v>HP</x:v>
      </x:c>
      <x:c r="B128" s="32" t="n">
        <x:v>21</x:v>
      </x:c>
      <x:c r="C128" s="35" t="n">
        <x:v>0.1</x:v>
      </x:c>
      <x:c r="D128" s="32" t="n">
        <x:v>39</x:v>
      </x:c>
      <x:c r="E128" s="32" t="n">
        <x:v>60</x:v>
      </x:c>
      <x:c r="F128" s="35" t="n">
        <x:v>-0.0049999999999999</x:v>
      </x:c>
      <x:c r="G128" s="35" t="n">
        <x:v>0.0950000000000001</x:v>
      </x:c>
      <x:c r="H128" s="50" t="n">
        <x:v>1.7569106325909142e-8</x:v>
      </x:c>
      <x:c r="I128" s="50" t="n">
        <x:v>2.406559954042008e-7</x:v>
      </x:c>
      <x:c r="J128" s="47" t="n">
        <x:v>1.1366470144839127</x:v>
      </x:c>
      <x:c r="K128" s="47" t="n">
        <x:v>11.377218354561862</x:v>
      </x:c>
      <x:c r="L128" s="47" t="n">
        <x:v>0.9999865753944436</x:v>
      </x:c>
      <x:c r="M128" s="35" t="n">
        <x:v>87.8949466236653</x:v>
      </x:c>
      <x:c r="N128" s="98" t="n">
        <x:v>0.00017970047331659607</x:v>
      </x:c>
      <x:c r="O128" s="26" t="str">
        <x:v>NO</x:v>
      </x:c>
      <x:c r="P128" s="27" t="str">
        <x:v>NO</x:v>
      </x:c>
    </x:row>
    <x:row r="129">
      <x:c r="A129" s="25" t="str">
        <x:v>HP</x:v>
      </x:c>
      <x:c r="B129" s="32" t="n">
        <x:v>21</x:v>
      </x:c>
      <x:c r="C129" s="35" t="n">
        <x:v>0.1</x:v>
      </x:c>
      <x:c r="D129" s="32" t="n">
        <x:v>40</x:v>
      </x:c>
      <x:c r="E129" s="32" t="n">
        <x:v>61</x:v>
      </x:c>
      <x:c r="F129" s="35" t="n">
        <x:v>9.887923813067799e-17</x:v>
      </x:c>
      <x:c r="G129" s="35" t="n">
        <x:v>0.1000000000000001</x:v>
      </x:c>
      <x:c r="H129" s="50" t="n">
        <x:v>2.0044996539171842e-8</x:v>
      </x:c>
      <x:c r="I129" s="50" t="n">
        <x:v>2.735853776753727e-7</x:v>
      </x:c>
      <x:c r="J129" s="47" t="n">
        <x:v>1.1350868963158396</x:v>
      </x:c>
      <x:c r="K129" s="47" t="n">
        <x:v>11.361334337084172</x:v>
      </x:c>
      <x:c r="L129" s="47" t="n">
        <x:v>0.9999831842424849</x:v>
      </x:c>
      <x:c r="M129" s="35" t="n">
        <x:v>88.01783050569436</x:v>
      </x:c>
      <x:c r="N129" s="98" t="n">
        <x:v>0.00020428920450616783</x:v>
      </x:c>
      <x:c r="O129" s="26" t="str">
        <x:v>NO</x:v>
      </x:c>
      <x:c r="P129" s="27" t="str">
        <x:v>NO</x:v>
      </x:c>
    </x:row>
    <x:row r="130">
      <x:c r="A130" s="25" t="str">
        <x:v>HP</x:v>
      </x:c>
      <x:c r="B130" s="32" t="n">
        <x:v>21</x:v>
      </x:c>
      <x:c r="C130" s="35" t="n">
        <x:v>0.10000000000000009</x:v>
      </x:c>
      <x:c r="D130" s="32" t="n">
        <x:v>41</x:v>
      </x:c>
      <x:c r="E130" s="32" t="n">
        <x:v>62</x:v>
      </x:c>
      <x:c r="F130" s="35" t="n">
        <x:v>0.005</x:v>
      </x:c>
      <x:c r="G130" s="35" t="n">
        <x:v>0.1050000000000001</x:v>
      </x:c>
      <x:c r="H130" s="50" t="n">
        <x:v>2.287108290455236e-8</x:v>
      </x:c>
      <x:c r="I130" s="50" t="n">
        <x:v>3.108956749076387e-7</x:v>
      </x:c>
      <x:c r="J130" s="47" t="n">
        <x:v>1.1333279521491724</x:v>
      </x:c>
      <x:c r="K130" s="47" t="n">
        <x:v>11.34355271757877</x:v>
      </x:c>
      <x:c r="L130" s="47" t="n">
        <x:v>0.9999794521750975</x:v>
      </x:c>
      <x:c r="M130" s="35" t="n">
        <x:v>88.15580311539694</x:v>
      </x:c>
      <x:c r="N130" s="98" t="n">
        <x:v>0.00023214921298407863</x:v>
      </x:c>
      <x:c r="O130" s="26" t="str">
        <x:v>NO</x:v>
      </x:c>
      <x:c r="P130" s="27" t="str">
        <x:v>NO</x:v>
      </x:c>
    </x:row>
    <x:row r="131">
      <x:c r="A131" s="25" t="str">
        <x:v>HP</x:v>
      </x:c>
      <x:c r="B131" s="32" t="n">
        <x:v>21</x:v>
      </x:c>
      <x:c r="C131" s="35" t="n">
        <x:v>0.09999999999999999</x:v>
      </x:c>
      <x:c r="D131" s="32" t="n">
        <x:v>42</x:v>
      </x:c>
      <x:c r="E131" s="32" t="n">
        <x:v>63</x:v>
      </x:c>
      <x:c r="F131" s="35" t="n">
        <x:v>0.0100000000000001</x:v>
      </x:c>
      <x:c r="G131" s="35" t="n">
        <x:v>0.1100000000000001</x:v>
      </x:c>
      <x:c r="H131" s="50" t="n">
        <x:v>2.6096169728378883e-8</x:v>
      </x:c>
      <x:c r="I131" s="50" t="n">
        <x:v>3.531445033858148e-7</x:v>
      </x:c>
      <x:c r="J131" s="47" t="n">
        <x:v>1.131375682606337</x:v>
      </x:c>
      <x:c r="K131" s="47" t="n">
        <x:v>11.323915820089365</x:v>
      </x:c>
      <x:c r="L131" s="47" t="n">
        <x:v>0.9999753662940497</x:v>
      </x:c>
      <x:c r="M131" s="35" t="n">
        <x:v>88.30867483365911</x:v>
      </x:c>
      <x:c r="N131" s="98" t="n">
        <x:v>0.0002636968769508472</x:v>
      </x:c>
      <x:c r="O131" s="26" t="str">
        <x:v>NO</x:v>
      </x:c>
      <x:c r="P131" s="27" t="str">
        <x:v>NO</x:v>
      </x:c>
    </x:row>
    <x:row r="132">
      <x:c r="A132" s="25" t="str">
        <x:v>HP</x:v>
      </x:c>
      <x:c r="B132" s="32" t="n">
        <x:v>21</x:v>
      </x:c>
      <x:c r="C132" s="35" t="n">
        <x:v>0.1</x:v>
      </x:c>
      <x:c r="D132" s="32" t="n">
        <x:v>43</x:v>
      </x:c>
      <x:c r="E132" s="32" t="n">
        <x:v>64</x:v>
      </x:c>
      <x:c r="F132" s="35" t="n">
        <x:v>0.0150000000000001</x:v>
      </x:c>
      <x:c r="G132" s="35" t="n">
        <x:v>0.1150000000000001</x:v>
      </x:c>
      <x:c r="H132" s="50" t="n">
        <x:v>2.9775727179494693e-8</x:v>
      </x:c>
      <x:c r="I132" s="50" t="n">
        <x:v>4.009556772627965e-7</x:v>
      </x:c>
      <x:c r="J132" s="47" t="n">
        <x:v>1.1292339905977844</x:v>
      </x:c>
      <x:c r="K132" s="47" t="n">
        <x:v>11.302451359358749</x:v>
      </x:c>
      <x:c r="L132" s="47" t="n">
        <x:v>0.9999709052513508</x:v>
      </x:c>
      <x:c r="M132" s="35" t="n">
        <x:v>88.47638164547125</x:v>
      </x:c>
      <x:c r="N132" s="98" t="n">
        <x:v>0.00029939800528170496</x:v>
      </x:c>
      <x:c r="O132" s="26" t="str">
        <x:v>NO</x:v>
      </x:c>
      <x:c r="P132" s="27" t="str">
        <x:v>NO</x:v>
      </x:c>
    </x:row>
    <x:row r="133">
      <x:c r="A133" s="25" t="str">
        <x:v>HP</x:v>
      </x:c>
      <x:c r="B133" s="32" t="n">
        <x:v>21</x:v>
      </x:c>
      <x:c r="C133" s="35" t="n">
        <x:v>0.1</x:v>
      </x:c>
      <x:c r="D133" s="32" t="n">
        <x:v>44</x:v>
      </x:c>
      <x:c r="E133" s="32" t="n">
        <x:v>65</x:v>
      </x:c>
      <x:c r="F133" s="35" t="n">
        <x:v>0.0200000000000001</x:v>
      </x:c>
      <x:c r="G133" s="35" t="n">
        <x:v>0.1200000000000001</x:v>
      </x:c>
      <x:c r="H133" s="50" t="n">
        <x:v>3.397277284792525e-8</x:v>
      </x:c>
      <x:c r="I133" s="50" t="n">
        <x:v>4.550262050904381e-7</x:v>
      </x:c>
      <x:c r="J133" s="47" t="n">
        <x:v>1.126905413214761</x:v>
      </x:c>
      <x:c r="K133" s="47" t="n">
        <x:v>11.27917456233217</x:v>
      </x:c>
      <x:c r="L133" s="47" t="n">
        <x:v>0.9999660410428364</x:v>
      </x:c>
      <x:c r="M133" s="35" t="n">
        <x:v>88.65897007566414</x:v>
      </x:c>
      <x:c r="N133" s="98" t="n">
        <x:v>0.0003397730619130003</x:v>
      </x:c>
      <x:c r="O133" s="26" t="str">
        <x:v>NO</x:v>
      </x:c>
      <x:c r="P133" s="27" t="str">
        <x:v>NO</x:v>
      </x:c>
    </x:row>
    <x:row r="134">
      <x:c r="A134" s="25" t="str">
        <x:v>HP</x:v>
      </x:c>
      <x:c r="B134" s="32" t="n">
        <x:v>21</x:v>
      </x:c>
      <x:c r="C134" s="35" t="n">
        <x:v>0.1</x:v>
      </x:c>
      <x:c r="D134" s="32" t="n">
        <x:v>45</x:v>
      </x:c>
      <x:c r="E134" s="32" t="n">
        <x:v>66</x:v>
      </x:c>
      <x:c r="F134" s="35" t="n">
        <x:v>0.0250000000000001</x:v>
      </x:c>
      <x:c r="G134" s="35" t="n">
        <x:v>0.1250000000000001</x:v>
      </x:c>
      <x:c r="H134" s="50" t="n">
        <x:v>3.8758863913740275e-8</x:v>
      </x:c>
      <x:c r="I134" s="50" t="n">
        <x:v>5.161338802160976e-7</x:v>
      </x:c>
      <x:c r="J134" s="47" t="n">
        <x:v>1.1243913294178798</x:v>
      </x:c>
      <x:c r="K134" s="47" t="n">
        <x:v>11.254090069158078</x:v>
      </x:c>
      <x:c r="L134" s="47" t="n">
        <x:v>0.9999607403813826</x:v>
      </x:c>
      <x:c r="M134" s="35" t="n">
        <x:v>88.85658403787862</x:v>
      </x:c>
      <x:c r="N134" s="98" t="n">
        <x:v>0.00038540283367461466</x:v>
      </x:c>
      <x:c r="O134" s="26" t="str">
        <x:v>NO</x:v>
      </x:c>
      <x:c r="P134" s="27" t="str">
        <x:v>NO</x:v>
      </x:c>
    </x:row>
    <x:row r="135">
      <x:c r="A135" s="25" t="str">
        <x:v>HP</x:v>
      </x:c>
      <x:c r="B135" s="32" t="n">
        <x:v>21</x:v>
      </x:c>
      <x:c r="C135" s="35" t="n">
        <x:v>0.09999999999999999</x:v>
      </x:c>
      <x:c r="D135" s="32" t="n">
        <x:v>46</x:v>
      </x:c>
      <x:c r="E135" s="32" t="n">
        <x:v>67</x:v>
      </x:c>
      <x:c r="F135" s="35" t="n">
        <x:v>0.0300000000000001</x:v>
      </x:c>
      <x:c r="G135" s="35" t="n">
        <x:v>0.1300000000000001</x:v>
      </x:c>
      <x:c r="H135" s="50" t="n">
        <x:v>4.4215212590877827e-8</x:v>
      </x:c>
      <x:c r="I135" s="50" t="n">
        <x:v>5.851454927207171e-7</x:v>
      </x:c>
      <x:c r="J135" s="47" t="n">
        <x:v>1.1216921465968834</x:v>
      </x:c>
      <x:c r="K135" s="47" t="n">
        <x:v>11.227193644593786</x:v>
      </x:c>
      <x:c r="L135" s="47" t="n">
        <x:v>0.9999549657769013</x:v>
      </x:c>
      <x:c r="M135" s="35" t="n">
        <x:v>89.06945329846774</x:v>
      </x:c>
      <x:c r="N135" s="98" t="n">
        <x:v>0.00043693456223426467</x:v>
      </x:c>
      <x:c r="O135" s="26" t="str">
        <x:v>NO</x:v>
      </x:c>
      <x:c r="P135" s="27" t="str">
        <x:v>NO</x:v>
      </x:c>
    </x:row>
    <x:row r="136">
      <x:c r="A136" s="25" t="str">
        <x:v>HP</x:v>
      </x:c>
      <x:c r="B136" s="32" t="n">
        <x:v>21</x:v>
      </x:c>
      <x:c r="C136" s="35" t="n">
        <x:v>0.09999999999999999</x:v>
      </x:c>
      <x:c r="D136" s="32" t="n">
        <x:v>47</x:v>
      </x:c>
      <x:c r="E136" s="32" t="n">
        <x:v>68</x:v>
      </x:c>
      <x:c r="F136" s="35" t="n">
        <x:v>0.0350000000000001</x:v>
      </x:c>
      <x:c r="G136" s="35" t="n">
        <x:v>0.1350000000000001</x:v>
      </x:c>
      <x:c r="H136" s="50" t="n">
        <x:v>5.043393871940648e-8</x:v>
      </x:c>
      <x:c r="I136" s="50" t="n">
        <x:v>6.630256884499344e-7</x:v>
      </x:c>
      <x:c r="J136" s="47" t="n">
        <x:v>1.1188074687474563</x:v>
      </x:c>
      <x:c r="K136" s="47" t="n">
        <x:v>11.198473727099248</x:v>
      </x:c>
      <x:c r="L136" s="47" t="n">
        <x:v>0.9999486764186637</x:v>
      </x:c>
      <x:c r="M136" s="35" t="n">
        <x:v>89.29788329815825</x:v>
      </x:c>
      <x:c r="N136" s="98" t="n">
        <x:v>0.0004950885592332739</x:v>
      </x:c>
      <x:c r="O136" s="26" t="str">
        <x:v>NO</x:v>
      </x:c>
      <x:c r="P136" s="27" t="str">
        <x:v>NO</x:v>
      </x:c>
    </x:row>
    <x:row r="137">
      <x:c r="A137" s="25" t="str">
        <x:v>HP</x:v>
      </x:c>
      <x:c r="B137" s="32" t="n">
        <x:v>21</x:v>
      </x:c>
      <x:c r="C137" s="35" t="n">
        <x:v>0.10000000000000012</x:v>
      </x:c>
      <x:c r="D137" s="32" t="n">
        <x:v>48</x:v>
      </x:c>
      <x:c r="E137" s="32" t="n">
        <x:v>69</x:v>
      </x:c>
      <x:c r="F137" s="35" t="n">
        <x:v>0.0400000000000001</x:v>
      </x:c>
      <x:c r="G137" s="35" t="n">
        <x:v>0.1400000000000002</x:v>
      </x:c>
      <x:c r="H137" s="50" t="n">
        <x:v>5.751947465615888e-8</x:v>
      </x:c>
      <x:c r="I137" s="50" t="n">
        <x:v>7.508464979502032e-7</x:v>
      </x:c>
      <x:c r="J137" s="47" t="n">
        <x:v>1.1157362486560185</x:v>
      </x:c>
      <x:c r="K137" s="47" t="n">
        <x:v>11.16791283919185</x:v>
      </x:c>
      <x:c r="L137" s="47" t="n">
        <x:v>0.9999418289312604</x:v>
      </x:c>
      <x:c r="M137" s="35" t="n">
        <x:v>89.54224611161665</x:v>
      </x:c>
      <x:c r="N137" s="98" t="n">
        <x:v>0.0005606653216477683</x:v>
      </x:c>
      <x:c r="O137" s="26" t="str">
        <x:v>NO</x:v>
      </x:c>
      <x:c r="P137" s="27" t="str">
        <x:v>NO</x:v>
      </x:c>
    </x:row>
    <x:row r="138">
      <x:c r="A138" s="25" t="str">
        <x:v>HP</x:v>
      </x:c>
      <x:c r="B138" s="32" t="n">
        <x:v>21</x:v>
      </x:c>
      <x:c r="C138" s="35" t="n">
        <x:v>0.10000000000000012</x:v>
      </x:c>
      <x:c r="D138" s="32" t="n">
        <x:v>49</x:v>
      </x:c>
      <x:c r="E138" s="32" t="n">
        <x:v>70</x:v>
      </x:c>
      <x:c r="F138" s="35" t="n">
        <x:v>0.0450000000000001</x:v>
      </x:c>
      <x:c r="G138" s="35" t="n">
        <x:v>0.1450000000000002</x:v>
      </x:c>
      <x:c r="H138" s="50" t="n">
        <x:v>6.559013895214705e-8</x:v>
      </x:c>
      <x:c r="I138" s="50" t="n">
        <x:v>8.497975546936707e-7</x:v>
      </x:c>
      <x:c r="J138" s="47" t="n">
        <x:v>1.1124769261136898</x:v>
      </x:c>
      <x:c r="K138" s="47" t="n">
        <x:v>11.135488878910127</x:v>
      </x:c>
      <x:c r="L138" s="47" t="n">
        <x:v>0.9999343780565674</x:v>
      </x:c>
      <x:c r="M138" s="35" t="n">
        <x:v>89.80297235929473</x:v>
      </x:c>
      <x:c r="N138" s="98" t="n">
        <x:v>0.0006345531618493512</x:v>
      </x:c>
      <x:c r="O138" s="26" t="str">
        <x:v>NO</x:v>
      </x:c>
      <x:c r="P138" s="27" t="str">
        <x:v>NO</x:v>
      </x:c>
    </x:row>
    <x:row r="139">
      <x:c r="A139" s="25" t="str">
        <x:v>HP</x:v>
      </x:c>
      <x:c r="B139" s="32" t="n">
        <x:v>21</x:v>
      </x:c>
      <x:c r="C139" s="35" t="n">
        <x:v>0.10000000000000019</x:v>
      </x:c>
      <x:c r="D139" s="32" t="n">
        <x:v>50</x:v>
      </x:c>
      <x:c r="E139" s="32" t="n">
        <x:v>71</x:v>
      </x:c>
      <x:c r="F139" s="35" t="n">
        <x:v>0.05</x:v>
      </x:c>
      <x:c r="G139" s="35" t="n">
        <x:v>0.1500000000000002</x:v>
      </x:c>
      <x:c r="H139" s="50" t="n">
        <x:v>7.477989669704965e-8</x:v>
      </x:c>
      <x:c r="I139" s="50" t="n">
        <x:v>9.611970177636994e-7</x:v>
      </x:c>
      <x:c r="J139" s="47" t="n">
        <x:v>1.109027553807353</x:v>
      </x:c>
      <x:c r="K139" s="47" t="n">
        <x:v>11.101176308532247</x:v>
      </x:c>
      <x:c r="L139" s="47" t="n">
        <x:v>0.9999262772988462</x:v>
      </x:c>
      <x:c r="M139" s="35" t="n">
        <x:v>90.0805439178018</x:v>
      </x:c>
      <x:c r="N139" s="98" t="n">
        <x:v>0.0007177363636942756</x:v>
      </x:c>
      <x:c r="O139" s="26" t="str">
        <x:v>NO</x:v>
      </x:c>
      <x:c r="P139" s="27" t="str">
        <x:v>NO</x:v>
      </x:c>
    </x:row>
    <x:row r="140">
      <x:c r="A140" s="25" t="str">
        <x:v>HP</x:v>
      </x:c>
      <x:c r="B140" s="32" t="n">
        <x:v>21</x:v>
      </x:c>
      <x:c r="C140" s="35" t="n">
        <x:v>0.1000000000000002</x:v>
      </x:c>
      <x:c r="D140" s="32" t="n">
        <x:v>51</x:v>
      </x:c>
      <x:c r="E140" s="32" t="n">
        <x:v>72</x:v>
      </x:c>
      <x:c r="F140" s="35" t="n">
        <x:v>0.055</x:v>
      </x:c>
      <x:c r="G140" s="35" t="n">
        <x:v>0.1550000000000002</x:v>
      </x:c>
      <x:c r="H140" s="50" t="n">
        <x:v>8.524032584503317e-8</x:v>
      </x:c>
      <x:c r="I140" s="50" t="n">
        <x:v>0.000001086503209050449</x:v>
      </x:c>
      <x:c r="J140" s="47" t="n">
        <x:v>1.1053859121657093</x:v>
      </x:c>
      <x:c r="K140" s="47" t="n">
        <x:v>11.064947253043321</x:v>
      </x:c>
      <x:c r="L140" s="47" t="n">
        <x:v>0.9999174795573395</x:v>
      </x:c>
      <x:c r="M140" s="35" t="n">
        <x:v>90.37548730518877</x:v>
      </x:c>
      <x:c r="N140" s="98" t="n">
        <x:v>0.0008113038721451196</x:v>
      </x:c>
      <x:c r="O140" s="26" t="str">
        <x:v>NO</x:v>
      </x:c>
      <x:c r="P140" s="27" t="str">
        <x:v>NO</x:v>
      </x:c>
    </x:row>
    <x:row r="141">
      <x:c r="A141" s="25" t="str">
        <x:v>HP</x:v>
      </x:c>
      <x:c r="B141" s="32" t="n">
        <x:v>21</x:v>
      </x:c>
      <x:c r="C141" s="35" t="n">
        <x:v>0.1000000000000002</x:v>
      </x:c>
      <x:c r="D141" s="32" t="n">
        <x:v>52</x:v>
      </x:c>
      <x:c r="E141" s="32" t="n">
        <x:v>73</x:v>
      </x:c>
      <x:c r="F141" s="35" t="n">
        <x:v>0.06</x:v>
      </x:c>
      <x:c r="G141" s="35" t="n">
        <x:v>0.1600000000000002</x:v>
      </x:c>
      <x:c r="H141" s="50" t="n">
        <x:v>9.714281029803717e-8</x:v>
      </x:c>
      <x:c r="I141" s="50" t="n">
        <x:v>0.000001227326968797892</x:v>
      </x:c>
      <x:c r="J141" s="47" t="n">
        <x:v>1.1015496140744396</x:v>
      </x:c>
      <x:c r="K141" s="47" t="n">
        <x:v>11.026772517251398</x:v>
      </x:c>
      <x:c r="L141" s="47" t="n">
        <x:v>0.9999079377594767</x:v>
      </x:c>
      <x:c r="M141" s="35" t="n">
        <x:v>90.68836764660728</x:v>
      </x:c>
      <x:c r="N141" s="98" t="n">
        <x:v>0.0009164585192933633</x:v>
      </x:c>
      <x:c r="O141" s="26" t="str">
        <x:v>NO</x:v>
      </x:c>
      <x:c r="P141" s="27" t="str">
        <x:v>NO</x:v>
      </x:c>
    </x:row>
    <x:row r="142">
      <x:c r="A142" s="25" t="str">
        <x:v>HP</x:v>
      </x:c>
      <x:c r="B142" s="32" t="n">
        <x:v>21</x:v>
      </x:c>
      <x:c r="C142" s="35" t="n">
        <x:v>0.1000000000000002</x:v>
      </x:c>
      <x:c r="D142" s="32" t="n">
        <x:v>53</x:v>
      </x:c>
      <x:c r="E142" s="32" t="n">
        <x:v>74</x:v>
      </x:c>
      <x:c r="F142" s="35" t="n">
        <x:v>0.065</x:v>
      </x:c>
      <x:c r="G142" s="35" t="n">
        <x:v>0.1650000000000002</x:v>
      </x:c>
      <x:c r="H142" s="50" t="n">
        <x:v>1.106809819940524e-7</x:v>
      </x:c>
      <x:c r="I142" s="50" t="n">
        <x:v>0.000001385444725812803</x:v>
      </x:c>
      <x:c r="J142" s="47" t="n">
        <x:v>1.097516200025673</x:v>
      </x:c>
      <x:c r="K142" s="47" t="n">
        <x:v>10.98662252694191</x:v>
      </x:c>
      <x:c r="L142" s="47" t="n">
        <x:v>0.9998976054973985</x:v>
      </x:c>
      <x:c r="M142" s="35" t="n">
        <x:v>91.01978315426358</x:v>
      </x:c>
      <x:c r="N142" s="98" t="n">
        <x:v>0.0010345267840279058</x:v>
      </x:c>
      <x:c r="O142" s="26" t="str">
        <x:v>NO</x:v>
      </x:c>
      <x:c r="P142" s="27" t="str">
        <x:v>NO</x:v>
      </x:c>
    </x:row>
    <x:row r="143">
      <x:c r="A143" s="25" t="str">
        <x:v>HP</x:v>
      </x:c>
      <x:c r="B143" s="32" t="n">
        <x:v>21</x:v>
      </x:c>
      <x:c r="C143" s="35" t="n">
        <x:v>0.1000000000000002</x:v>
      </x:c>
      <x:c r="D143" s="32" t="n">
        <x:v>54</x:v>
      </x:c>
      <x:c r="E143" s="32" t="n">
        <x:v>75</x:v>
      </x:c>
      <x:c r="F143" s="35" t="n">
        <x:v>0.07</x:v>
      </x:c>
      <x:c r="G143" s="35" t="n">
        <x:v>0.1700000000000002</x:v>
      </x:c>
      <x:c r="H143" s="50" t="n">
        <x:v>1.260734357078407e-7</x:v>
      </x:c>
      <x:c r="I143" s="50" t="n">
        <x:v>0.000001562812269466721</x:v>
      </x:c>
      <x:c r="J143" s="47" t="n">
        <x:v>1.0932832239324126</x:v>
      </x:c>
      <x:c r="K143" s="47" t="n">
        <x:v>10.944468196040628</x:v>
      </x:c>
      <x:c r="L143" s="47" t="n">
        <x:v>0.9998864376604428</x:v>
      </x:c>
      <x:c r="M143" s="35" t="n">
        <x:v>91.37036008398921</x:v>
      </x:c>
      <x:c r="N143" s="98" t="n">
        <x:v>0.0011669690757400977</x:v>
      </x:c>
      <x:c r="O143" s="26" t="str">
        <x:v>NO</x:v>
      </x:c>
      <x:c r="P143" s="27" t="str">
        <x:v>NO</x:v>
      </x:c>
    </x:row>
    <x:row r="144">
      <x:c r="A144" s="25" t="str">
        <x:v>HP</x:v>
      </x:c>
      <x:c r="B144" s="32" t="n">
        <x:v>21</x:v>
      </x:c>
      <x:c r="C144" s="35" t="n">
        <x:v>0.10000000000000012</x:v>
      </x:c>
      <x:c r="D144" s="32" t="n">
        <x:v>55</x:v>
      </x:c>
      <x:c r="E144" s="32" t="n">
        <x:v>76</x:v>
      </x:c>
      <x:c r="F144" s="35" t="n">
        <x:v>0.0750000000000001</x:v>
      </x:c>
      <x:c r="G144" s="35" t="n">
        <x:v>0.1750000000000002</x:v>
      </x:c>
      <x:c r="H144" s="50" t="n">
        <x:v>1.435667416938999e-7</x:v>
      </x:c>
      <x:c r="I144" s="50" t="n">
        <x:v>0.000001761579199377998</x:v>
      </x:c>
      <x:c r="J144" s="47" t="n">
        <x:v>1.0888483295316052</x:v>
      </x:c>
      <x:c r="K144" s="47" t="n">
        <x:v>10.900281718477764</x:v>
      </x:c>
      <x:c r="L144" s="47" t="n">
        <x:v>0.9998743910462491</x:v>
      </x:c>
      <x:c r="M144" s="35" t="n">
        <x:v>91.74074815927337</x:v>
      </x:c>
      <x:c r="N144" s="98" t="n">
        <x:v>0.0013153905240599333</x:v>
      </x:c>
      <x:c r="O144" s="26" t="str">
        <x:v>NO</x:v>
      </x:c>
      <x:c r="P144" s="27" t="str">
        <x:v>NO</x:v>
      </x:c>
    </x:row>
    <x:row r="145">
      <x:c r="A145" s="25" t="str">
        <x:v>HP</x:v>
      </x:c>
      <x:c r="B145" s="32" t="n">
        <x:v>21</x:v>
      </x:c>
      <x:c r="C145" s="35" t="n">
        <x:v>0.10000000000000009</x:v>
      </x:c>
      <x:c r="D145" s="32" t="n">
        <x:v>56</x:v>
      </x:c>
      <x:c r="E145" s="32" t="n">
        <x:v>77</x:v>
      </x:c>
      <x:c r="F145" s="35" t="n">
        <x:v>0.0800000000000001</x:v>
      </x:c>
      <x:c r="G145" s="35" t="n">
        <x:v>0.1800000000000002</x:v>
      </x:c>
      <x:c r="H145" s="50" t="n">
        <x:v>1.634387826574535e-7</x:v>
      </x:c>
      <x:c r="I145" s="50" t="n">
        <x:v>0.000001984104014801174</x:v>
      </x:c>
      <x:c r="J145" s="47" t="n">
        <x:v>1.0842093170208766</x:v>
      </x:c>
      <x:c r="K145" s="47" t="n">
        <x:v>10.854037280346795</x:v>
      </x:c>
      <x:c r="L145" s="47" t="n">
        <x:v>0.9998614249231281</x:v>
      </x:c>
      <x:c r="M145" s="35" t="n">
        <x:v>92.13161648253057</x:v>
      </x:c>
      <x:c r="N145" s="98" t="n">
        <x:v>0.0014815522462687243</x:v>
      </x:c>
      <x:c r="O145" s="26" t="str">
        <x:v>NO</x:v>
      </x:c>
      <x:c r="P145" s="27" t="str">
        <x:v>NO</x:v>
      </x:c>
    </x:row>
    <x:row r="146">
      <x:c r="A146" s="25" t="str">
        <x:v>HP</x:v>
      </x:c>
      <x:c r="B146" s="32" t="n">
        <x:v>21</x:v>
      </x:c>
      <x:c r="C146" s="35" t="n">
        <x:v>0.10000000000000009</x:v>
      </x:c>
      <x:c r="D146" s="32" t="n">
        <x:v>57</x:v>
      </x:c>
      <x:c r="E146" s="32" t="n">
        <x:v>78</x:v>
      </x:c>
      <x:c r="F146" s="35" t="n">
        <x:v>0.0850000000000001</x:v>
      </x:c>
      <x:c r="G146" s="35" t="n">
        <x:v>0.1850000000000002</x:v>
      </x:c>
      <x:c r="H146" s="50" t="n">
        <x:v>1.860024427952476e-7</x:v>
      </x:c>
      <x:c r="I146" s="50" t="n">
        <x:v>0.000002232969788608805</x:v>
      </x:c>
      <x:c r="J146" s="47" t="n">
        <x:v>1.0793641993374932</x:v>
      </x:c>
      <x:c r="K146" s="47" t="n">
        <x:v>10.805711685112088</x:v>
      </x:c>
      <x:c r="L146" s="47" t="n">
        <x:v>0.999847501506428</x:v>
      </x:c>
      <x:c r="M146" s="35" t="n">
        <x:v>92.54364998260888</x:v>
      </x:c>
      <x:c r="N146" s="98" t="n">
        <x:v>0.0016673830512333764</x:v>
      </x:c>
      <x:c r="O146" s="26" t="str">
        <x:v>NO</x:v>
      </x:c>
      <x:c r="P146" s="27" t="str">
        <x:v>NO</x:v>
      </x:c>
    </x:row>
    <x:row r="147">
      <x:c r="A147" s="25" t="str">
        <x:v>HP</x:v>
      </x:c>
      <x:c r="B147" s="32" t="n">
        <x:v>21</x:v>
      </x:c>
      <x:c r="C147" s="35" t="n">
        <x:v>0.1000000000000001</x:v>
      </x:c>
      <x:c r="D147" s="32" t="n">
        <x:v>58</x:v>
      </x:c>
      <x:c r="E147" s="32" t="n">
        <x:v>79</x:v>
      </x:c>
      <x:c r="F147" s="35" t="n">
        <x:v>0.0900000000000001</x:v>
      </x:c>
      <x:c r="G147" s="35" t="n">
        <x:v>0.1900000000000002</x:v>
      </x:c>
      <x:c r="H147" s="50" t="n">
        <x:v>2.116096777673938e-7</x:v>
      </x:c>
      <x:c r="I147" s="50" t="n">
        <x:v>0.000002511000349515585</x:v>
      </x:c>
      <x:c r="J147" s="47" t="n">
        <x:v>1.0743112473015008</x:v>
      </x:c>
      <x:c r="K147" s="47" t="n">
        <x:v>10.755284882126261</x:v>
      </x:c>
      <x:c r="L147" s="47" t="n">
        <x:v>0.9998325863021014</x:v>
      </x:c>
      <x:c r="M147" s="35" t="n">
        <x:v>92.97754647688193</x:v>
      </x:c>
      <x:c r="N147" s="98" t="n">
        <x:v>0.0018749915228507632</x:v>
      </x:c>
      <x:c r="O147" s="26" t="str">
        <x:v>NO</x:v>
      </x:c>
      <x:c r="P147" s="27" t="str">
        <x:v>NO</x:v>
      </x:c>
    </x:row>
    <x:row r="148">
      <x:c r="A148" s="25" t="str">
        <x:v>HP</x:v>
      </x:c>
      <x:c r="B148" s="32" t="n">
        <x:v>21</x:v>
      </x:c>
      <x:c r="C148" s="35" t="n">
        <x:v>0.1000000000000001</x:v>
      </x:c>
      <x:c r="D148" s="32" t="n">
        <x:v>59</x:v>
      </x:c>
      <x:c r="E148" s="32" t="n">
        <x:v>80</x:v>
      </x:c>
      <x:c r="F148" s="35" t="n">
        <x:v>0.0950000000000001</x:v>
      </x:c>
      <x:c r="G148" s="35" t="n">
        <x:v>0.1950000000000002</x:v>
      </x:c>
      <x:c r="H148" s="50" t="n">
        <x:v>2.406559954042008e-7</x:v>
      </x:c>
      <x:c r="I148" s="50" t="n">
        <x:v>0.000002821276869952502</x:v>
      </x:c>
      <x:c r="J148" s="47" t="n">
        <x:v>1.0690490227225347</x:v>
      </x:c>
      <x:c r="K148" s="47" t="n">
        <x:v>10.702740386693911</x:v>
      </x:c>
      <x:c r="L148" s="47" t="n">
        <x:v>0.9998166482620596</x:v>
      </x:c>
      <x:c r="M148" s="35" t="n">
        <x:v>93.43401445514284</x:v>
      </x:c>
      <x:c r="N148" s="98" t="n">
        <x:v>0.0021066784063954367</x:v>
      </x:c>
      <x:c r="O148" s="26" t="str">
        <x:v>NO</x:v>
      </x:c>
      <x:c r="P148" s="27" t="str">
        <x:v>NO</x:v>
      </x:c>
    </x:row>
    <x:row r="149">
      <x:c r="A149" s="25" t="str">
        <x:v>HP</x:v>
      </x:c>
      <x:c r="B149" s="32" t="n">
        <x:v>21</x:v>
      </x:c>
      <x:c r="C149" s="35" t="n">
        <x:v>0.1000000000000001</x:v>
      </x:c>
      <x:c r="D149" s="32" t="n">
        <x:v>60</x:v>
      </x:c>
      <x:c r="E149" s="32" t="n">
        <x:v>81</x:v>
      </x:c>
      <x:c r="F149" s="35" t="n">
        <x:v>0.1000000000000001</x:v>
      </x:c>
      <x:c r="G149" s="35" t="n">
        <x:v>0.2000000000000002</x:v>
      </x:c>
      <x:c r="H149" s="50" t="n">
        <x:v>2.735853776753727e-7</x:v>
      </x:c>
      <x:c r="I149" s="50" t="n">
        <x:v>0.000003167154724744083</x:v>
      </x:c>
      <x:c r="J149" s="47" t="n">
        <x:v>1.0635763985219118</x:v>
      </x:c>
      <x:c r="K149" s="47" t="n">
        <x:v>10.648065578494807</x:v>
      </x:c>
      <x:c r="L149" s="47" t="n">
        <x:v>0.9997996596888522</x:v>
      </x:c>
      <x:c r="M149" s="35" t="n">
        <x:v>93.91377172015487</x:v>
      </x:c>
      <x:c r="N149" s="98" t="n">
        <x:v>0.002364949197078971</x:v>
      </x:c>
      <x:c r="O149" s="26" t="str">
        <x:v>NO</x:v>
      </x:c>
      <x:c r="P149" s="27" t="str">
        <x:v>NO</x:v>
      </x:c>
    </x:row>
    <x:row r="150">
      <x:c r="A150" s="25" t="str">
        <x:v>HP</x:v>
      </x:c>
      <x:c r="B150" s="32" t="n">
        <x:v>21</x:v>
      </x:c>
      <x:c r="C150" s="35" t="n">
        <x:v>0.10000000000000012</x:v>
      </x:c>
      <x:c r="D150" s="32" t="n">
        <x:v>61</x:v>
      </x:c>
      <x:c r="E150" s="32" t="n">
        <x:v>82</x:v>
      </x:c>
      <x:c r="F150" s="35" t="n">
        <x:v>0.1050000000000001</x:v>
      </x:c>
      <x:c r="G150" s="35" t="n">
        <x:v>0.2050000000000002</x:v>
      </x:c>
      <x:c r="H150" s="50" t="n">
        <x:v>3.108956749076387e-7</x:v>
      </x:c>
      <x:c r="I150" s="50" t="n">
        <x:v>0.000003552280446487783</x:v>
      </x:c>
      <x:c r="J150" s="47" t="n">
        <x:v>1.057892564965651</x:v>
      </x:c>
      <x:c r="K150" s="47" t="n">
        <x:v>10.591251864514977</x:v>
      </x:c>
      <x:c r="L150" s="47" t="n">
        <x:v>0.9997815958226056</x:v>
      </x:c>
      <x:c r="M150" s="35" t="n">
        <x:v>94.41754504492607</x:v>
      </x:c>
      <x:c r="N150" s="98" t="n">
        <x:v>0.0026525268008178657</x:v>
      </x:c>
      <x:c r="O150" s="26" t="str">
        <x:v>NO</x:v>
      </x:c>
      <x:c r="P150" s="27" t="str">
        <x:v>NO</x:v>
      </x:c>
    </x:row>
    <x:row r="151">
      <x:c r="A151" s="25" t="str">
        <x:v>HP</x:v>
      </x:c>
      <x:c r="B151" s="32" t="n">
        <x:v>21</x:v>
      </x:c>
      <x:c r="C151" s="35" t="n">
        <x:v>0.10000000000000009</x:v>
      </x:c>
      <x:c r="D151" s="32" t="n">
        <x:v>62</x:v>
      </x:c>
      <x:c r="E151" s="32" t="n">
        <x:v>83</x:v>
      </x:c>
      <x:c r="F151" s="35" t="n">
        <x:v>0.1100000000000001</x:v>
      </x:c>
      <x:c r="G151" s="35" t="n">
        <x:v>0.2100000000000002</x:v>
      </x:c>
      <x:c r="H151" s="50" t="n">
        <x:v>3.531445033858148e-7</x:v>
      </x:c>
      <x:c r="I151" s="50" t="n">
        <x:v>0.000003980608556354552</x:v>
      </x:c>
      <x:c r="J151" s="47" t="n">
        <x:v>1.0519970212454721</x:v>
      </x:c>
      <x:c r="K151" s="47" t="n">
        <x:v>10.532294692892737</x:v>
      </x:c>
      <x:c r="L151" s="47" t="n">
        <x:v>0.9997624340419095</x:v>
      </x:c>
      <x:c r="M151" s="35" t="n">
        <x:v>94.94607102807393</x:v>
      </x:c>
      <x:c r="N151" s="98" t="n">
        <x:v>0.0029723641019770695</x:v>
      </x:c>
      <x:c r="O151" s="26" t="str">
        <x:v>NO</x:v>
      </x:c>
      <x:c r="P151" s="27" t="str">
        <x:v>NO</x:v>
      </x:c>
    </x:row>
    <x:row r="152">
      <x:c r="A152" s="25" t="str">
        <x:v>HP</x:v>
      </x:c>
      <x:c r="B152" s="32" t="n">
        <x:v>21</x:v>
      </x:c>
      <x:c r="C152" s="35" t="n">
        <x:v>0.10000000000000009</x:v>
      </x:c>
      <x:c r="D152" s="32" t="n">
        <x:v>63</x:v>
      </x:c>
      <x:c r="E152" s="32" t="n">
        <x:v>84</x:v>
      </x:c>
      <x:c r="F152" s="35" t="n">
        <x:v>0.1150000000000001</x:v>
      </x:c>
      <x:c r="G152" s="35" t="n">
        <x:v>0.2150000000000002</x:v>
      </x:c>
      <x:c r="H152" s="50" t="n">
        <x:v>4.009556772627965e-7</x:v>
      </x:c>
      <x:c r="I152" s="50" t="n">
        <x:v>0.000004456417993286887</x:v>
      </x:c>
      <x:c r="J152" s="47" t="n">
        <x:v>1.0458895519005527</x:v>
      </x:c>
      <x:c r="K152" s="47" t="n">
        <x:v>10.471193405427574</x:v>
      </x:c>
      <x:c r="L152" s="47" t="n">
        <x:v>0.9997421526134249</x:v>
      </x:c>
      <x:c r="M152" s="35" t="n">
        <x:v>95.50009834425045</x:v>
      </x:c>
      <x:c r="N152" s="98" t="n">
        <x:v>0.0033276562312325006</x:v>
      </x:c>
      <x:c r="O152" s="26" t="str">
        <x:v>NO</x:v>
      </x:c>
      <x:c r="P152" s="27" t="str">
        <x:v>NO</x:v>
      </x:c>
    </x:row>
    <x:row r="153">
      <x:c r="A153" s="25" t="str">
        <x:v>HP</x:v>
      </x:c>
      <x:c r="B153" s="32" t="n">
        <x:v>21</x:v>
      </x:c>
      <x:c r="C153" s="35" t="n">
        <x:v>0.10000000000000009</x:v>
      </x:c>
      <x:c r="D153" s="32" t="n">
        <x:v>64</x:v>
      </x:c>
      <x:c r="E153" s="32" t="n">
        <x:v>85</x:v>
      </x:c>
      <x:c r="F153" s="35" t="n">
        <x:v>0.1200000000000001</x:v>
      </x:c>
      <x:c r="G153" s="35" t="n">
        <x:v>0.2200000000000002</x:v>
      </x:c>
      <x:c r="H153" s="50" t="n">
        <x:v>4.550262050904381e-7</x:v>
      </x:c>
      <x:c r="I153" s="50" t="n">
        <x:v>0.000004984327800015662</x:v>
      </x:c>
      <x:c r="J153" s="47" t="n">
        <x:v>1.0395701879415702</x:v>
      </x:c>
      <x:c r="K153" s="47" t="n">
        <x:v>10.407950919074676</x:v>
      </x:c>
      <x:c r="L153" s="47" t="n">
        <x:v>0.9997207289333008</x:v>
      </x:c>
      <x:c r="M153" s="35" t="n">
        <x:v>96.08039159440094</x:v>
      </x:c>
      <x:c r="N153" s="98" t="n">
        <x:v>0.0037218522784919893</x:v>
      </x:c>
      <x:c r="O153" s="26" t="str">
        <x:v>NO</x:v>
      </x:c>
      <x:c r="P153" s="27" t="str">
        <x:v>NO</x:v>
      </x:c>
    </x:row>
    <x:row r="154">
      <x:c r="A154" s="25" t="str">
        <x:v>HP</x:v>
      </x:c>
      <x:c r="B154" s="32" t="n">
        <x:v>21</x:v>
      </x:c>
      <x:c r="C154" s="35" t="n">
        <x:v>0.10000000000000009</x:v>
      </x:c>
      <x:c r="D154" s="32" t="n">
        <x:v>65</x:v>
      </x:c>
      <x:c r="E154" s="32" t="n">
        <x:v>86</x:v>
      </x:c>
      <x:c r="F154" s="35" t="n">
        <x:v>0.1250000000000001</x:v>
      </x:c>
      <x:c r="G154" s="35" t="n">
        <x:v>0.2250000000000002</x:v>
      </x:c>
      <x:c r="H154" s="50" t="n">
        <x:v>5.161338802160976e-7</x:v>
      </x:c>
      <x:c r="I154" s="50" t="n">
        <x:v>0.000005569311651379144</x:v>
      </x:c>
      <x:c r="J154" s="47" t="n">
        <x:v>1.03303915302439</x:v>
      </x:c>
      <x:c r="K154" s="47" t="n">
        <x:v>10.342573230670626</x:v>
      </x:c>
      <x:c r="L154" s="47" t="n">
        <x:v>0.9996981372176584</x:v>
      </x:c>
      <x:c r="M154" s="35" t="n">
        <x:v>96.68773695839316</x:v>
      </x:c>
      <x:c r="N154" s="98" t="n">
        <x:v>0.004158666141350558</x:v>
      </x:c>
      <x:c r="O154" s="26" t="str">
        <x:v>NO</x:v>
      </x:c>
      <x:c r="P154" s="27" t="str">
        <x:v>NO</x:v>
      </x:c>
    </x:row>
    <x:row r="155">
      <x:c r="A155" s="25" t="str">
        <x:v>HP</x:v>
      </x:c>
      <x:c r="B155" s="32" t="n">
        <x:v>21</x:v>
      </x:c>
      <x:c r="C155" s="35" t="n">
        <x:v>0.10000000000000012</x:v>
      </x:c>
      <x:c r="D155" s="32" t="n">
        <x:v>66</x:v>
      </x:c>
      <x:c r="E155" s="32" t="n">
        <x:v>87</x:v>
      </x:c>
      <x:c r="F155" s="35" t="n">
        <x:v>0.1300000000000001</x:v>
      </x:c>
      <x:c r="G155" s="35" t="n">
        <x:v>0.2300000000000002</x:v>
      </x:c>
      <x:c r="H155" s="50" t="n">
        <x:v>5.851454927207171e-7</x:v>
      </x:c>
      <x:c r="I155" s="50" t="n">
        <x:v>0.00000621671073040775</x:v>
      </x:c>
      <x:c r="J155" s="47" t="n">
        <x:v>1.026296795612418</x:v>
      </x:c>
      <x:c r="K155" s="47" t="n">
        <x:v>10.27506874446212</x:v>
      </x:c>
      <x:c r="L155" s="47" t="n">
        <x:v>0.9996743456198113</x:v>
      </x:c>
      <x:c r="M155" s="35" t="n">
        <x:v>97.32294983806925</x:v>
      </x:c>
      <x:c r="N155" s="98" t="n">
        <x:v>0.004642086139804244</x:v>
      </x:c>
      <x:c r="O155" s="26" t="str">
        <x:v>NO</x:v>
      </x:c>
      <x:c r="P155" s="27" t="str">
        <x:v>NO</x:v>
      </x:c>
    </x:row>
    <x:row r="156">
      <x:c r="A156" s="25" t="str">
        <x:v>HP</x:v>
      </x:c>
      <x:c r="B156" s="32" t="n">
        <x:v>21</x:v>
      </x:c>
      <x:c r="C156" s="35" t="n">
        <x:v>0.10000000000000012</x:v>
      </x:c>
      <x:c r="D156" s="32" t="n">
        <x:v>67</x:v>
      </x:c>
      <x:c r="E156" s="32" t="n">
        <x:v>88</x:v>
      </x:c>
      <x:c r="F156" s="35" t="n">
        <x:v>0.1350000000000001</x:v>
      </x:c>
      <x:c r="G156" s="35" t="n">
        <x:v>0.2350000000000002</x:v>
      </x:c>
      <x:c r="H156" s="50" t="n">
        <x:v>6.630256884499344e-7</x:v>
      </x:c>
      <x:c r="I156" s="50" t="n">
        <x:v>0.000006932244372969345</x:v>
      </x:c>
      <x:c r="J156" s="47" t="n">
        <x:v>1.019343508747804</x:v>
      </x:c>
      <x:c r="K156" s="47" t="n">
        <x:v>10.205447428733317</x:v>
      </x:c>
      <x:c r="L156" s="47" t="n">
        <x:v>0.9996493127783523</x:v>
      </x:c>
      <x:c r="M156" s="35" t="n">
        <x:v>97.98688464990882</x:v>
      </x:c>
      <x:c r="N156" s="98" t="n">
        <x:v>0.005176382964723579</x:v>
      </x:c>
      <x:c r="O156" s="26" t="str">
        <x:v>NO</x:v>
      </x:c>
      <x:c r="P156" s="27" t="str">
        <x:v>NO</x:v>
      </x:c>
    </x:row>
    <x:row r="157">
      <x:c r="A157" s="25" t="str">
        <x:v>HP</x:v>
      </x:c>
      <x:c r="B157" s="32" t="n">
        <x:v>21</x:v>
      </x:c>
      <x:c r="C157" s="35" t="n">
        <x:v>0.1</x:v>
      </x:c>
      <x:c r="D157" s="32" t="n">
        <x:v>68</x:v>
      </x:c>
      <x:c r="E157" s="32" t="n">
        <x:v>89</x:v>
      </x:c>
      <x:c r="F157" s="35" t="n">
        <x:v>0.1400000000000002</x:v>
      </x:c>
      <x:c r="G157" s="35" t="n">
        <x:v>0.2400000000000002</x:v>
      </x:c>
      <x:c r="H157" s="50" t="n">
        <x:v>7.508464979502032e-7</x:v>
      </x:c>
      <x:c r="I157" s="50" t="n">
        <x:v>0.000007722017816222098</x:v>
      </x:c>
      <x:c r="J157" s="47" t="n">
        <x:v>1.012179639794505</x:v>
      </x:c>
      <x:c r="K157" s="47" t="n">
        <x:v>10.133719815831327</x:v>
      </x:c>
      <x:c r="L157" s="47" t="n">
        <x:v>0.9996229838321301</x:v>
      </x:c>
      <x:c r="M157" s="35" t="n">
        <x:v>98.68044688168283</x:v>
      </x:c>
      <x:c r="N157" s="98" t="n">
        <x:v>0.005766115463708394</x:v>
      </x:c>
      <x:c r="O157" s="26" t="str">
        <x:v>NO</x:v>
      </x:c>
      <x:c r="P157" s="27" t="str">
        <x:v>NO</x:v>
      </x:c>
    </x:row>
    <x:row r="158">
      <x:c r="A158" s="25" t="str">
        <x:v>HP</x:v>
      </x:c>
      <x:c r="B158" s="32" t="n">
        <x:v>21</x:v>
      </x:c>
      <x:c r="C158" s="35" t="n">
        <x:v>0.09999999999999998</x:v>
      </x:c>
      <x:c r="D158" s="32" t="n">
        <x:v>69</x:v>
      </x:c>
      <x:c r="E158" s="32" t="n">
        <x:v>90</x:v>
      </x:c>
      <x:c r="F158" s="35" t="n">
        <x:v>0.1450000000000002</x:v>
      </x:c>
      <x:c r="G158" s="35" t="n">
        <x:v>0.2450000000000002</x:v>
      </x:c>
      <x:c r="H158" s="50" t="n">
        <x:v>8.497975546936707e-7</x:v>
      </x:c>
      <x:c r="I158" s="50" t="n">
        <x:v>0.00000859252630490707</x:v>
      </x:c>
      <x:c r="J158" s="47" t="n">
        <x:v>1.0048053932818037</x:v>
      </x:c>
      <x:c r="K158" s="47" t="n">
        <x:v>10.059895868949797</x:v>
      </x:c>
      <x:c r="L158" s="47" t="n">
        <x:v>0.99959528597418</x:v>
      </x:c>
      <x:c r="M158" s="35" t="n">
        <x:v>99.40460746582211</x:v>
      </x:c>
      <x:c r="N158" s="98" t="n">
        <x:v>0.006416133707301563</x:v>
      </x:c>
      <x:c r="O158" s="26" t="str">
        <x:v>NO</x:v>
      </x:c>
      <x:c r="P158" s="27" t="str">
        <x:v>NO</x:v>
      </x:c>
    </x:row>
    <x:row r="159">
      <x:c r="A159" s="25" t="str">
        <x:v>HP</x:v>
      </x:c>
      <x:c r="B159" s="32" t="n">
        <x:v>21</x:v>
      </x:c>
      <x:c r="C159" s="35" t="n">
        <x:v>0.10000000000000003</x:v>
      </x:c>
      <x:c r="D159" s="32" t="n">
        <x:v>70</x:v>
      </x:c>
      <x:c r="E159" s="32" t="n">
        <x:v>91</x:v>
      </x:c>
      <x:c r="F159" s="35" t="n">
        <x:v>0.1500000000000002</x:v>
      </x:c>
      <x:c r="G159" s="35" t="n">
        <x:v>0.2500000000000002</x:v>
      </x:c>
      <x:c r="H159" s="50" t="n">
        <x:v>9.611970177636994e-7</x:v>
      </x:c>
      <x:c r="I159" s="50" t="n">
        <x:v>0.00000955065473933994</x:v>
      </x:c>
      <x:c r="J159" s="47" t="n">
        <x:v>0.9972207307190306</x:v>
      </x:c>
      <x:c r="K159" s="47" t="n">
        <x:v>9.9839837487983</x:v>
      </x:c>
      <x:c r="L159" s="47" t="n">
        <x:v>0.9995661236551728</x:v>
      </x:c>
      <x:c r="M159" s="35" t="n">
        <x:v>100.160419443828</x:v>
      </x:c>
      <x:c r="N159" s="98" t="n">
        <x:v>0.0071315787261405595</x:v>
      </x:c>
      <x:c r="O159" s="26" t="str">
        <x:v>NO</x:v>
      </x:c>
      <x:c r="P159" s="27" t="str">
        <x:v>NO</x:v>
      </x:c>
    </x:row>
    <x:row r="160">
      <x:c r="A160" s="25" t="str">
        <x:v>HP</x:v>
      </x:c>
      <x:c r="B160" s="32" t="n">
        <x:v>21</x:v>
      </x:c>
      <x:c r="C160" s="35" t="n">
        <x:v>0.10000000000000003</x:v>
      </x:c>
      <x:c r="D160" s="32" t="n">
        <x:v>71</x:v>
      </x:c>
      <x:c r="E160" s="32" t="n">
        <x:v>92</x:v>
      </x:c>
      <x:c r="F160" s="35" t="n">
        <x:v>0.1550000000000002</x:v>
      </x:c>
      <x:c r="G160" s="35" t="n">
        <x:v>0.2550000000000002</x:v>
      </x:c>
      <x:c r="H160" s="50" t="n">
        <x:v>0.000001086503209050449</x:v>
      </x:c>
      <x:c r="I160" s="50" t="n">
        <x:v>0.00001060367199785062</x:v>
      </x:c>
      <x:c r="J160" s="47" t="n">
        <x:v>0.9894252719158025</x:v>
      </x:c>
      <x:c r="K160" s="47" t="n">
        <x:v>9.905988523274031</x:v>
      </x:c>
      <x:c r="L160" s="47" t="n">
        <x:v>0.9995353735858282</x:v>
      </x:c>
      <x:c r="M160" s="35" t="n">
        <x:v>100.94903680238565</x:v>
      </x:c>
      <x:c r="N160" s="98" t="n">
        <x:v>0.007917878271460801</x:v>
      </x:c>
      <x:c r="O160" s="26" t="str">
        <x:v>NO</x:v>
      </x:c>
      <x:c r="P160" s="27" t="str">
        <x:v>NO</x:v>
      </x:c>
    </x:row>
    <x:row r="161">
      <x:c r="A161" s="25" t="str">
        <x:v>HP</x:v>
      </x:c>
      <x:c r="B161" s="32" t="n">
        <x:v>21</x:v>
      </x:c>
      <x:c r="C161" s="35" t="n">
        <x:v>0.09999999999999998</x:v>
      </x:c>
      <x:c r="D161" s="32" t="n">
        <x:v>72</x:v>
      </x:c>
      <x:c r="E161" s="32" t="n">
        <x:v>93</x:v>
      </x:c>
      <x:c r="F161" s="35" t="n">
        <x:v>0.1600000000000002</x:v>
      </x:c>
      <x:c r="G161" s="35" t="n">
        <x:v>0.2600000000000002</x:v>
      </x:c>
      <x:c r="H161" s="50" t="n">
        <x:v>0.000001227326968797892</x:v>
      </x:c>
      <x:c r="I161" s="50" t="n">
        <x:v>0.00001175921904331462</x:v>
      </x:c>
      <x:c r="J161" s="47" t="n">
        <x:v>0.9814182028677658</x:v>
      </x:c>
      <x:c r="K161" s="47" t="n">
        <x:v>9.825910872863227</x:v>
      </x:c>
      <x:c r="L161" s="47" t="n">
        <x:v>0.9995028797248391</x:v>
      </x:c>
      <x:c r="M161" s="35" t="n">
        <x:v>101.77173525578748</x:v>
      </x:c>
      <x:c r="N161" s="98" t="n">
        <x:v>0.008780737934112074</x:v>
      </x:c>
      <x:c r="O161" s="26" t="str">
        <x:v>NO</x:v>
      </x:c>
      <x:c r="P161" s="27" t="str">
        <x:v>NO</x:v>
      </x:c>
    </x:row>
    <x:row r="162">
      <x:c r="A162" s="25" t="str">
        <x:v>HP</x:v>
      </x:c>
      <x:c r="B162" s="32" t="n">
        <x:v>21</x:v>
      </x:c>
      <x:c r="C162" s="35" t="n">
        <x:v>0.09999999999999998</x:v>
      </x:c>
      <x:c r="D162" s="32" t="n">
        <x:v>73</x:v>
      </x:c>
      <x:c r="E162" s="32" t="n">
        <x:v>94</x:v>
      </x:c>
      <x:c r="F162" s="35" t="n">
        <x:v>0.1650000000000002</x:v>
      </x:c>
      <x:c r="G162" s="35" t="n">
        <x:v>0.2650000000000002</x:v>
      </x:c>
      <x:c r="H162" s="50" t="n">
        <x:v>0.000001385444725812803</x:v>
      </x:c>
      <x:c r="I162" s="50" t="n">
        <x:v>0.00001302528993774698</x:v>
      </x:c>
      <x:c r="J162" s="47" t="n">
        <x:v>0.9731981956013316</x:v>
      </x:c>
      <x:c r="K162" s="47" t="n">
        <x:v>9.743745853033468</x:v>
      </x:c>
      <x:c r="L162" s="47" t="n">
        <x:v>0.9994684484722158</x:v>
      </x:c>
      <x:c r="M162" s="35" t="n">
        <x:v>102.6299346353205</x:v>
      </x:c>
      <x:c r="N162" s="98" t="n">
        <x:v>0.009726126967947422</x:v>
      </x:c>
      <x:c r="O162" s="26" t="str">
        <x:v>NO</x:v>
      </x:c>
      <x:c r="P162" s="27" t="str">
        <x:v>YES</x:v>
      </x:c>
    </x:row>
    <x:row r="163">
      <x:c r="A163" s="25" t="str">
        <x:v>HP</x:v>
      </x:c>
      <x:c r="B163" s="32" t="n">
        <x:v>31</x:v>
      </x:c>
      <x:c r="C163" s="35" t="n">
        <x:v>0.1500000000000001</x:v>
      </x:c>
      <x:c r="D163" s="32" t="n">
        <x:v>0</x:v>
      </x:c>
      <x:c r="E163" s="32" t="n">
        <x:v>31</x:v>
      </x:c>
      <x:c r="F163" s="35" t="n">
        <x:v>-0.2</x:v>
      </x:c>
      <x:c r="G163" s="35" t="n">
        <x:v>-0.0499999999999999</x:v>
      </x:c>
      <x:c r="H163" s="50" t="n">
        <x:v>4.9668355471382e-10</x:v>
      </x:c>
      <x:c r="I163" s="50" t="n">
        <x:v>5.421703233852641e-9</x:v>
      </x:c>
      <x:c r="J163" s="47" t="n">
        <x:v>1.0380559613868918</x:v>
      </x:c>
      <x:c r="K163" s="47" t="n">
        <x:v>7.257820764475131</x:v>
      </x:c>
      <x:c r="L163" s="47" t="n">
        <x:v>0.9476172543101113</x:v>
      </x:c>
      <x:c r="M163" s="35" t="n">
        <x:v>137.78240500160902</x:v>
      </x:c>
      <x:c r="N163" s="98" t="n">
        <x:v>0.00000404844531576724</x:v>
      </x:c>
      <x:c r="O163" s="26" t="str">
        <x:v>YES</x:v>
      </x:c>
      <x:c r="P163" s="27" t="str">
        <x:v>NO</x:v>
      </x:c>
    </x:row>
    <x:row r="164">
      <x:c r="A164" s="25" t="str">
        <x:v>HP</x:v>
      </x:c>
      <x:c r="B164" s="32" t="n">
        <x:v>31</x:v>
      </x:c>
      <x:c r="C164" s="35" t="n">
        <x:v>0.1500000000000001</x:v>
      </x:c>
      <x:c r="D164" s="32" t="n">
        <x:v>1</x:v>
      </x:c>
      <x:c r="E164" s="32" t="n">
        <x:v>32</x:v>
      </x:c>
      <x:c r="F164" s="35" t="n">
        <x:v>-0.195</x:v>
      </x:c>
      <x:c r="G164" s="35" t="n">
        <x:v>-0.0449999999999999</x:v>
      </x:c>
      <x:c r="H164" s="50" t="n">
        <x:v>4.9668355471382e-10</x:v>
      </x:c>
      <x:c r="I164" s="50" t="n">
        <x:v>6.167359286893276e-9</x:v>
      </x:c>
      <x:c r="J164" s="47" t="n">
        <x:v>1.0940194688468132</x:v>
      </x:c>
      <x:c r="K164" s="47" t="n">
        <x:v>7.666371460961829</x:v>
      </x:c>
      <x:c r="L164" s="47" t="n">
        <x:v>0.9586105710536041</x:v>
      </x:c>
      <x:c r="M164" s="35" t="n">
        <x:v>130.4398052053871</x:v>
      </x:c>
      <x:c r="N164" s="98" t="n">
        <x:v>0.0000046052348752283795</x:v>
      </x:c>
      <x:c r="O164" s="26" t="str">
        <x:v>NO</x:v>
      </x:c>
      <x:c r="P164" s="27" t="str">
        <x:v>NO</x:v>
      </x:c>
    </x:row>
    <x:row r="165">
      <x:c r="A165" s="25" t="str">
        <x:v>HP</x:v>
      </x:c>
      <x:c r="B165" s="32" t="n">
        <x:v>31</x:v>
      </x:c>
      <x:c r="C165" s="35" t="n">
        <x:v>0.1500000000000001</x:v>
      </x:c>
      <x:c r="D165" s="32" t="n">
        <x:v>2</x:v>
      </x:c>
      <x:c r="E165" s="32" t="n">
        <x:v>33</x:v>
      </x:c>
      <x:c r="F165" s="35" t="n">
        <x:v>-0.19</x:v>
      </x:c>
      <x:c r="G165" s="35" t="n">
        <x:v>-0.0399999999999999</x:v>
      </x:c>
      <x:c r="H165" s="50" t="n">
        <x:v>4.9668355471382e-10</x:v>
      </x:c>
      <x:c r="I165" s="50" t="n">
        <x:v>7.0200943853620204e-9</x:v>
      </x:c>
      <x:c r="J165" s="47" t="n">
        <x:v>1.1502631706092465</x:v>
      </x:c>
      <x:c r="K165" s="47" t="n">
        <x:v>8.047228649342404</x:v>
      </x:c>
      <x:c r="L165" s="47" t="n">
        <x:v>0.9672061559200328</x:v>
      </x:c>
      <x:c r="M165" s="35" t="n">
        <x:v>124.26638331964347</x:v>
      </x:c>
      <x:c r="N165" s="98" t="n">
        <x:v>0.000005241981533258378</x:v>
      </x:c>
      <x:c r="O165" s="26" t="str">
        <x:v>NO</x:v>
      </x:c>
      <x:c r="P165" s="27" t="str">
        <x:v>NO</x:v>
      </x:c>
    </x:row>
    <x:row r="166">
      <x:c r="A166" s="25" t="str">
        <x:v>HP</x:v>
      </x:c>
      <x:c r="B166" s="32" t="n">
        <x:v>31</x:v>
      </x:c>
      <x:c r="C166" s="35" t="n">
        <x:v>0.1500000000000001</x:v>
      </x:c>
      <x:c r="D166" s="32" t="n">
        <x:v>3</x:v>
      </x:c>
      <x:c r="E166" s="32" t="n">
        <x:v>34</x:v>
      </x:c>
      <x:c r="F166" s="35" t="n">
        <x:v>-0.185</x:v>
      </x:c>
      <x:c r="G166" s="35" t="n">
        <x:v>-0.0349999999999999</x:v>
      </x:c>
      <x:c r="H166" s="50" t="n">
        <x:v>4.990330642746987e-10</x:v>
      </x:c>
      <x:c r="I166" s="50" t="n">
        <x:v>7.995071005998663e-9</x:v>
      </x:c>
      <x:c r="J166" s="47" t="n">
        <x:v>1.2046930036772139</x:v>
      </x:c>
      <x:c r="K166" s="47" t="n">
        <x:v>8.40117245440736</x:v>
      </x:c>
      <x:c r="L166" s="47" t="n">
        <x:v>0.9739864168725503</x:v>
      </x:c>
      <x:c r="M166" s="35" t="n">
        <x:v>119.03100494924223</x:v>
      </x:c>
      <x:c r="N166" s="98" t="n">
        <x:v>0.00000597000727766899</x:v>
      </x:c>
      <x:c r="O166" s="26" t="str">
        <x:v>NO</x:v>
      </x:c>
      <x:c r="P166" s="27" t="str">
        <x:v>NO</x:v>
      </x:c>
    </x:row>
    <x:row r="167">
      <x:c r="A167" s="25" t="str">
        <x:v>HP</x:v>
      </x:c>
      <x:c r="B167" s="32" t="n">
        <x:v>31</x:v>
      </x:c>
      <x:c r="C167" s="35" t="n">
        <x:v>0.1500000000000001</x:v>
      </x:c>
      <x:c r="D167" s="32" t="n">
        <x:v>4</x:v>
      </x:c>
      <x:c r="E167" s="32" t="n">
        <x:v>35</x:v>
      </x:c>
      <x:c r="F167" s="35" t="n">
        <x:v>-0.18</x:v>
      </x:c>
      <x:c r="G167" s="35" t="n">
        <x:v>-0.0299999999999999</x:v>
      </x:c>
      <x:c r="H167" s="50" t="n">
        <x:v>5.05913562123524e-10</x:v>
      </x:c>
      <x:c r="I167" s="50" t="n">
        <x:v>9.109576162781833e-9</x:v>
      </x:c>
      <x:c r="J167" s="47" t="n">
        <x:v>1.255421849434418</x:v>
      </x:c>
      <x:c r="K167" s="47" t="n">
        <x:v>8.72900237233423</x:v>
      </x:c>
      <x:c r="L167" s="47" t="n">
        <x:v>0.9793708780418013</x:v>
      </x:c>
      <x:c r="M167" s="35" t="n">
        <x:v>114.56062873455137</x:v>
      </x:c>
      <x:c r="N167" s="98" t="n">
        <x:v>0.000006802220511548085</x:v>
      </x:c>
      <x:c r="O167" s="26" t="str">
        <x:v>NO</x:v>
      </x:c>
      <x:c r="P167" s="27" t="str">
        <x:v>NO</x:v>
      </x:c>
    </x:row>
    <x:row r="168">
      <x:c r="A168" s="25" t="str">
        <x:v>HP</x:v>
      </x:c>
      <x:c r="B168" s="32" t="n">
        <x:v>31</x:v>
      </x:c>
      <x:c r="C168" s="35" t="n">
        <x:v>0.15000000000000008</x:v>
      </x:c>
      <x:c r="D168" s="32" t="n">
        <x:v>5</x:v>
      </x:c>
      <x:c r="E168" s="32" t="n">
        <x:v>36</x:v>
      </x:c>
      <x:c r="F168" s="35" t="n">
        <x:v>-0.175</x:v>
      </x:c>
      <x:c r="G168" s="35" t="n">
        <x:v>-0.0249999999999999</x:v>
      </x:c>
      <x:c r="H168" s="50" t="n">
        <x:v>5.172951347963915e-10</x:v>
      </x:c>
      <x:c r="I168" s="50" t="n">
        <x:v>1.0383313802526422e-8</x:v>
      </x:c>
      <x:c r="J168" s="47" t="n">
        <x:v>1.3025975855243042</x:v>
      </x:c>
      <x:c r="K168" s="47" t="n">
        <x:v>9.031537957792322</x:v>
      </x:c>
      <x:c r="L168" s="47" t="n">
        <x:v>0.9836667010296917</x:v>
      </x:c>
      <x:c r="M168" s="35" t="n">
        <x:v>110.72311323645712</x:v>
      </x:c>
      <x:c r="N168" s="98" t="n">
        <x:v>0.000007753334388261713</x:v>
      </x:c>
      <x:c r="O168" s="26" t="str">
        <x:v>NO</x:v>
      </x:c>
      <x:c r="P168" s="27" t="str">
        <x:v>NO</x:v>
      </x:c>
    </x:row>
    <x:row r="169">
      <x:c r="A169" s="25" t="str">
        <x:v>HP</x:v>
      </x:c>
      <x:c r="B169" s="32" t="n">
        <x:v>31</x:v>
      </x:c>
      <x:c r="C169" s="35" t="n">
        <x:v>0.1500000000000001</x:v>
      </x:c>
      <x:c r="D169" s="32" t="n">
        <x:v>6</x:v>
      </x:c>
      <x:c r="E169" s="32" t="n">
        <x:v>37</x:v>
      </x:c>
      <x:c r="F169" s="35" t="n">
        <x:v>-0.17</x:v>
      </x:c>
      <x:c r="G169" s="35" t="n">
        <x:v>-0.0199999999999999</x:v>
      </x:c>
      <x:c r="H169" s="50" t="n">
        <x:v>5.33272245024237e-10</x:v>
      </x:c>
      <x:c r="I169" s="50" t="n">
        <x:v>1.1838736322293511e-8</x:v>
      </x:c>
      <x:c r="J169" s="47" t="n">
        <x:v>1.3463563671190917</x:v>
      </x:c>
      <x:c r="K169" s="47" t="n">
        <x:v>9.30962789993252</x:v>
      </x:c>
      <x:c r="L169" s="47" t="n">
        <x:v>0.9871028504926873</x:v>
      </x:c>
      <x:c r="M169" s="35" t="n">
        <x:v>107.41567877350376</x:v>
      </x:c>
      <x:c r="N169" s="98" t="n">
        <x:v>0.000008840114359142976</x:v>
      </x:c>
      <x:c r="O169" s="26" t="str">
        <x:v>NO</x:v>
      </x:c>
      <x:c r="P169" s="27" t="str">
        <x:v>NO</x:v>
      </x:c>
    </x:row>
    <x:row r="170">
      <x:c r="A170" s="25" t="str">
        <x:v>HP</x:v>
      </x:c>
      <x:c r="B170" s="32" t="n">
        <x:v>31</x:v>
      </x:c>
      <x:c r="C170" s="35" t="n">
        <x:v>0.1500000000000001</x:v>
      </x:c>
      <x:c r="D170" s="32" t="n">
        <x:v>7</x:v>
      </x:c>
      <x:c r="E170" s="32" t="n">
        <x:v>38</x:v>
      </x:c>
      <x:c r="F170" s="35" t="n">
        <x:v>-0.165</x:v>
      </x:c>
      <x:c r="G170" s="35" t="n">
        <x:v>-0.0149999999999999</x:v>
      </x:c>
      <x:c r="H170" s="50" t="n">
        <x:v>5.540595432906032e-10</x:v>
      </x:c>
      <x:c r="I170" s="50" t="n">
        <x:v>1.3501420203353691e-8</x:v>
      </x:c>
      <x:c r="J170" s="47" t="n">
        <x:v>1.3868230142816662</x:v>
      </x:c>
      <x:c r="K170" s="47" t="n">
        <x:v>9.564162521749678</x:v>
      </x:c>
      <x:c r="L170" s="47" t="n">
        <x:v>0.9898532686394682</x:v>
      </x:c>
      <x:c r="M170" s="35" t="n">
        <x:v>104.55698527977951</x:v>
      </x:c>
      <x:c r="N170" s="98" t="n">
        <x:v>0.000010081658663495569</x:v>
      </x:c>
      <x:c r="O170" s="26" t="str">
        <x:v>NO</x:v>
      </x:c>
      <x:c r="P170" s="27" t="str">
        <x:v>NO</x:v>
      </x:c>
    </x:row>
    <x:row r="171">
      <x:c r="A171" s="25" t="str">
        <x:v>HP</x:v>
      </x:c>
      <x:c r="B171" s="32" t="n">
        <x:v>31</x:v>
      </x:c>
      <x:c r="C171" s="35" t="n">
        <x:v>0.1500000000000001</x:v>
      </x:c>
      <x:c r="D171" s="32" t="n">
        <x:v>8</x:v>
      </x:c>
      <x:c r="E171" s="32" t="n">
        <x:v>39</x:v>
      </x:c>
      <x:c r="F171" s="35" t="n">
        <x:v>-0.16</x:v>
      </x:c>
      <x:c r="G171" s="35" t="n">
        <x:v>-0.0099999999999999</x:v>
      </x:c>
      <x:c r="H171" s="50" t="n">
        <x:v>5.799903253714522e-10</x:v>
      </x:c>
      <x:c r="I171" s="50" t="n">
        <x:v>1.5400491344679292e-8</x:v>
      </x:c>
      <x:c r="J171" s="47" t="n">
        <x:v>1.424113827698001</x:v>
      </x:c>
      <x:c r="K171" s="47" t="n">
        <x:v>9.796085507701733</x:v>
      </x:c>
      <x:c r="L171" s="47" t="n">
        <x:v>0.9920526317820212</x:v>
      </x:c>
      <x:c r="M171" s="35" t="n">
        <x:v>102.08159159225335</x:v>
      </x:c>
      <x:c r="N171" s="98" t="n">
        <x:v>0.000011499715929781077</x:v>
      </x:c>
      <x:c r="O171" s="26" t="str">
        <x:v>NO</x:v>
      </x:c>
      <x:c r="P171" s="27" t="str">
        <x:v>NO</x:v>
      </x:c>
    </x:row>
    <x:row r="172">
      <x:c r="A172" s="25" t="str">
        <x:v>HP</x:v>
      </x:c>
      <x:c r="B172" s="32" t="n">
        <x:v>31</x:v>
      </x:c>
      <x:c r="C172" s="35" t="n">
        <x:v>0.1500000000000001</x:v>
      </x:c>
      <x:c r="D172" s="32" t="n">
        <x:v>9</x:v>
      </x:c>
      <x:c r="E172" s="32" t="n">
        <x:v>40</x:v>
      </x:c>
      <x:c r="F172" s="35" t="n">
        <x:v>-0.155</x:v>
      </x:c>
      <x:c r="G172" s="35" t="n">
        <x:v>-0.0049999999999999</x:v>
      </x:c>
      <x:c r="H172" s="50" t="n">
        <x:v>6.11517628490725e-10</x:v>
      </x:c>
      <x:c r="I172" s="50" t="n">
        <x:v>1.7569106325909142e-8</x:v>
      </x:c>
      <x:c r="J172" s="47" t="n">
        <x:v>1.4583406899838929</x:v>
      </x:c>
      <x:c r="K172" s="47" t="n">
        <x:v>10.006401818526323</x:v>
      </x:c>
      <x:c r="L172" s="47" t="n">
        <x:v>0.9938070856998685</x:v>
      </x:c>
      <x:c r="M172" s="35" t="n">
        <x:v>99.93602277179725</x:v>
      </x:c>
      <x:c r="N172" s="98" t="n">
        <x:v>0.000013119044539957322</x:v>
      </x:c>
      <x:c r="O172" s="26" t="str">
        <x:v>NO</x:v>
      </x:c>
      <x:c r="P172" s="27" t="str">
        <x:v>NO</x:v>
      </x:c>
    </x:row>
    <x:row r="173">
      <x:c r="A173" s="25" t="str">
        <x:v>HP</x:v>
      </x:c>
      <x:c r="B173" s="32" t="n">
        <x:v>31</x:v>
      </x:c>
      <x:c r="C173" s="35" t="n">
        <x:v>0.1500000000000001</x:v>
      </x:c>
      <x:c r="D173" s="32" t="n">
        <x:v>10</x:v>
      </x:c>
      <x:c r="E173" s="32" t="n">
        <x:v>41</x:v>
      </x:c>
      <x:c r="F173" s="35" t="n">
        <x:v>-0.15</x:v>
      </x:c>
      <x:c r="G173" s="35" t="n">
        <x:v>9.887923813067799e-17</x:v>
      </x:c>
      <x:c r="H173" s="50" t="n">
        <x:v>6.492179884146697e-10</x:v>
      </x:c>
      <x:c r="I173" s="50" t="n">
        <x:v>2.0044996539171842e-8</x:v>
      </x:c>
      <x:c r="J173" s="47" t="n">
        <x:v>1.4896154409304083</x:v>
      </x:c>
      <x:c r="K173" s="47" t="n">
        <x:v>10.196180024901771</x:v>
      </x:c>
      <x:c r="L173" s="47" t="n">
        <x:v>0.9952015832097408</x:v>
      </x:c>
      <x:c r="M173" s="35" t="n">
        <x:v>98.07594585008653</x:v>
      </x:c>
      <x:c r="N173" s="98" t="n">
        <x:v>0.000014967818938683434</x:v>
      </x:c>
      <x:c r="O173" s="26" t="str">
        <x:v>NO</x:v>
      </x:c>
      <x:c r="P173" s="27" t="str">
        <x:v>NO</x:v>
      </x:c>
    </x:row>
    <x:row r="174">
      <x:c r="A174" s="25" t="str">
        <x:v>HP</x:v>
      </x:c>
      <x:c r="B174" s="32" t="n">
        <x:v>31</x:v>
      </x:c>
      <x:c r="C174" s="35" t="n">
        <x:v>0.15</x:v>
      </x:c>
      <x:c r="D174" s="32" t="n">
        <x:v>11</x:v>
      </x:c>
      <x:c r="E174" s="32" t="n">
        <x:v>42</x:v>
      </x:c>
      <x:c r="F174" s="35" t="n">
        <x:v>-0.145</x:v>
      </x:c>
      <x:c r="G174" s="35" t="n">
        <x:v>0.005</x:v>
      </x:c>
      <x:c r="H174" s="50" t="n">
        <x:v>6.93797913027349e-10</x:v>
      </x:c>
      <x:c r="I174" s="50" t="n">
        <x:v>2.287108290455236e-8</x:v>
      </x:c>
      <x:c r="J174" s="47" t="n">
        <x:v>1.5180537390221698</x:v>
      </x:c>
      <x:c r="K174" s="47" t="n">
        <x:v>10.36654848532049</x:v>
      </x:c>
      <x:c r="L174" s="47" t="n">
        <x:v>0.9963049325657175</x:v>
      </x:c>
      <x:c r="M174" s="35" t="n">
        <x:v>96.46412221155828</x:v>
      </x:c>
      <x:c r="N174" s="98" t="n">
        <x:v>0.00001707808864810615</x:v>
      </x:c>
      <x:c r="O174" s="26" t="str">
        <x:v>NO</x:v>
      </x:c>
      <x:c r="P174" s="27" t="str">
        <x:v>NO</x:v>
      </x:c>
    </x:row>
    <x:row r="175">
      <x:c r="A175" s="25" t="str">
        <x:v>HP</x:v>
      </x:c>
      <x:c r="B175" s="32" t="n">
        <x:v>31</x:v>
      </x:c>
      <x:c r="C175" s="35" t="n">
        <x:v>0.1500000000000001</x:v>
      </x:c>
      <x:c r="D175" s="32" t="n">
        <x:v>12</x:v>
      </x:c>
      <x:c r="E175" s="32" t="n">
        <x:v>43</x:v>
      </x:c>
      <x:c r="F175" s="35" t="n">
        <x:v>-0.14</x:v>
      </x:c>
      <x:c r="G175" s="35" t="n">
        <x:v>0.0100000000000001</x:v>
      </x:c>
      <x:c r="H175" s="50" t="n">
        <x:v>7.461031649478636e-10</x:v>
      </x:c>
      <x:c r="I175" s="50" t="n">
        <x:v>2.6096169728378883e-8</x:v>
      </x:c>
      <x:c r="J175" s="47" t="n">
        <x:v>1.5437778860802087</x:v>
      </x:c>
      <x:c r="K175" s="47" t="n">
        <x:v>10.518685778852895</x:v>
      </x:c>
      <x:c r="L175" s="47" t="n">
        <x:v>0.9971733163125411</x:v>
      </x:c>
      <x:c r="M175" s="35" t="n">
        <x:v>95.06891079591257</x:v>
      </x:c>
      <x:c r="N175" s="98" t="n">
        <x:v>0.000019486296379458715</x:v>
      </x:c>
      <x:c r="O175" s="26" t="str">
        <x:v>NO</x:v>
      </x:c>
      <x:c r="P175" s="27" t="str">
        <x:v>NO</x:v>
      </x:c>
    </x:row>
    <x:row r="176">
      <x:c r="A176" s="25" t="str">
        <x:v>HP</x:v>
      </x:c>
      <x:c r="B176" s="32" t="n">
        <x:v>31</x:v>
      </x:c>
      <x:c r="C176" s="35" t="n">
        <x:v>0.1500000000000001</x:v>
      </x:c>
      <x:c r="D176" s="32" t="n">
        <x:v>13</x:v>
      </x:c>
      <x:c r="E176" s="32" t="n">
        <x:v>44</x:v>
      </x:c>
      <x:c r="F176" s="35" t="n">
        <x:v>-0.135</x:v>
      </x:c>
      <x:c r="G176" s="35" t="n">
        <x:v>0.0150000000000001</x:v>
      </x:c>
      <x:c r="H176" s="50" t="n">
        <x:v>8.071309868639366e-10</x:v>
      </x:c>
      <x:c r="I176" s="50" t="n">
        <x:v>2.9775727179494693e-8</x:v>
      </x:c>
      <x:c r="J176" s="47" t="n">
        <x:v>1.5669183557868873</x:v>
      </x:c>
      <x:c r="K176" s="47" t="n">
        <x:v>10.653806510640898</x:v>
      </x:c>
      <x:c r="L176" s="47" t="n">
        <x:v>0.9978527990005424</x:v>
      </x:c>
      <x:c r="M176" s="35" t="n">
        <x:v>93.86316515146127</x:v>
      </x:c>
      <x:c r="N176" s="98" t="n">
        <x:v>0.00002223386231668189</x:v>
      </x:c>
      <x:c r="O176" s="26" t="str">
        <x:v>NO</x:v>
      </x:c>
      <x:c r="P176" s="27" t="str">
        <x:v>NO</x:v>
      </x:c>
    </x:row>
    <x:row r="177">
      <x:c r="A177" s="25" t="str">
        <x:v>HP</x:v>
      </x:c>
      <x:c r="B177" s="32" t="n">
        <x:v>31</x:v>
      </x:c>
      <x:c r="C177" s="35" t="n">
        <x:v>0.15</x:v>
      </x:c>
      <x:c r="D177" s="32" t="n">
        <x:v>14</x:v>
      </x:c>
      <x:c r="E177" s="32" t="n">
        <x:v>45</x:v>
      </x:c>
      <x:c r="F177" s="35" t="n">
        <x:v>-0.1299999999999999</x:v>
      </x:c>
      <x:c r="G177" s="35" t="n">
        <x:v>0.0200000000000001</x:v>
      </x:c>
      <x:c r="H177" s="50" t="n">
        <x:v>8.78045448843836e-10</x:v>
      </x:c>
      <x:c r="I177" s="50" t="n">
        <x:v>3.397277284792525e-8</x:v>
      </x:c>
      <x:c r="J177" s="47" t="n">
        <x:v>1.5876139991376217</x:v>
      </x:c>
      <x:c r="K177" s="47" t="n">
        <x:v>10.77314401687613</x:v>
      </x:c>
      <x:c r="L177" s="47" t="n">
        <x:v>0.9983811730255464</x:v>
      </x:c>
      <x:c r="M177" s="35" t="n">
        <x:v>92.8234133353736</x:v>
      </x:c>
      <x:c r="N177" s="98" t="n">
        <x:v>0.000025367842385957054</x:v>
      </x:c>
      <x:c r="O177" s="26" t="str">
        <x:v>NO</x:v>
      </x:c>
      <x:c r="P177" s="27" t="str">
        <x:v>NO</x:v>
      </x:c>
    </x:row>
    <x:row r="178">
      <x:c r="A178" s="25" t="str">
        <x:v>HP</x:v>
      </x:c>
      <x:c r="B178" s="32" t="n">
        <x:v>31</x:v>
      </x:c>
      <x:c r="C178" s="35" t="n">
        <x:v>0.15</x:v>
      </x:c>
      <x:c r="D178" s="32" t="n">
        <x:v>15</x:v>
      </x:c>
      <x:c r="E178" s="32" t="n">
        <x:v>46</x:v>
      </x:c>
      <x:c r="F178" s="35" t="n">
        <x:v>-0.1249999999999999</x:v>
      </x:c>
      <x:c r="G178" s="35" t="n">
        <x:v>0.0250000000000001</x:v>
      </x:c>
      <x:c r="H178" s="50" t="n">
        <x:v>9.601961473783615e-10</x:v>
      </x:c>
      <x:c r="I178" s="50" t="n">
        <x:v>3.8758863913740275e-8</x:v>
      </x:c>
      <x:c r="J178" s="47" t="n">
        <x:v>1.6060110795725242</x:v>
      </x:c>
      <x:c r="K178" s="47" t="n">
        <x:v>10.877931626508504</x:v>
      </x:c>
      <x:c r="L178" s="47" t="n">
        <x:v>0.9987893727094571</x:v>
      </x:c>
      <x:c r="M178" s="35" t="n">
        <x:v>91.92924117698013</x:v>
      </x:c>
      <x:c r="N178" s="98" t="n">
        <x:v>0.000028941669119086008</x:v>
      </x:c>
      <x:c r="O178" s="26" t="str">
        <x:v>NO</x:v>
      </x:c>
      <x:c r="P178" s="27" t="str">
        <x:v>NO</x:v>
      </x:c>
    </x:row>
    <x:row r="179">
      <x:c r="A179" s="25" t="str">
        <x:v>HP</x:v>
      </x:c>
      <x:c r="B179" s="32" t="n">
        <x:v>31</x:v>
      </x:c>
      <x:c r="C179" s="35" t="n">
        <x:v>0.15</x:v>
      </x:c>
      <x:c r="D179" s="32" t="n">
        <x:v>16</x:v>
      </x:c>
      <x:c r="E179" s="32" t="n">
        <x:v>47</x:v>
      </x:c>
      <x:c r="F179" s="35" t="n">
        <x:v>-0.1199999999999999</x:v>
      </x:c>
      <x:c r="G179" s="35" t="n">
        <x:v>0.0300000000000001</x:v>
      </x:c>
      <x:c r="H179" s="50" t="n">
        <x:v>1.055140541806699e-9</x:v>
      </x:c>
      <x:c r="I179" s="50" t="n">
        <x:v>4.4215212590877827e-8</x:v>
      </x:c>
      <x:c r="J179" s="47" t="n">
        <x:v>1.6222614071722798</x:v>
      </x:c>
      <x:c r="K179" s="47" t="n">
        <x:v>10.969384038283446</x:v>
      </x:c>
      <x:c r="L179" s="47" t="n">
        <x:v>0.9991026035548847</x:v>
      </x:c>
      <x:c r="M179" s="35" t="n">
        <x:v>91.16282158687973</x:v>
      </x:c>
      <x:c r="N179" s="98" t="n">
        <x:v>0.00003301598456763803</x:v>
      </x:c>
      <x:c r="O179" s="26" t="str">
        <x:v>NO</x:v>
      </x:c>
      <x:c r="P179" s="27" t="str">
        <x:v>NO</x:v>
      </x:c>
    </x:row>
    <x:row r="180">
      <x:c r="A180" s="25" t="str">
        <x:v>HP</x:v>
      </x:c>
      <x:c r="B180" s="32" t="n">
        <x:v>31</x:v>
      </x:c>
      <x:c r="C180" s="35" t="n">
        <x:v>0.15</x:v>
      </x:c>
      <x:c r="D180" s="32" t="n">
        <x:v>17</x:v>
      </x:c>
      <x:c r="E180" s="32" t="n">
        <x:v>48</x:v>
      </x:c>
      <x:c r="F180" s="35" t="n">
        <x:v>-0.1149999999999999</x:v>
      </x:c>
      <x:c r="G180" s="35" t="n">
        <x:v>0.0350000000000001</x:v>
      </x:c>
      <x:c r="H180" s="50" t="n">
        <x:v>1.16467027569472e-9</x:v>
      </x:c>
      <x:c r="I180" s="50" t="n">
        <x:v>5.043393871940648e-8</x:v>
      </x:c>
      <x:c r="J180" s="47" t="n">
        <x:v>1.6365198947067308</x:v>
      </x:c>
      <x:c r="K180" s="47" t="n">
        <x:v>11.04868011092896</x:v>
      </x:c>
      <x:c r="L180" s="47" t="n">
        <x:v>0.9993412769201391</x:v>
      </x:c>
      <x:c r="M180" s="35" t="n">
        <x:v>90.50854852887231</x:v>
      </x:c>
      <x:c r="N180" s="98" t="n">
        <x:v>0.000037659575627341074</x:v>
      </x:c>
      <x:c r="O180" s="26" t="str">
        <x:v>NO</x:v>
      </x:c>
      <x:c r="P180" s="27" t="str">
        <x:v>NO</x:v>
      </x:c>
    </x:row>
    <x:row r="181">
      <x:c r="A181" s="25" t="str">
        <x:v>HP</x:v>
      </x:c>
      <x:c r="B181" s="32" t="n">
        <x:v>31</x:v>
      </x:c>
      <x:c r="C181" s="35" t="n">
        <x:v>0.15</x:v>
      </x:c>
      <x:c r="D181" s="32" t="n">
        <x:v>18</x:v>
      </x:c>
      <x:c r="E181" s="32" t="n">
        <x:v>49</x:v>
      </x:c>
      <x:c r="F181" s="35" t="n">
        <x:v>-0.1099999999999999</x:v>
      </x:c>
      <x:c r="G181" s="35" t="n">
        <x:v>0.0400000000000001</x:v>
      </x:c>
      <x:c r="H181" s="50" t="n">
        <x:v>1.290841899359029e-9</x:v>
      </x:c>
      <x:c r="I181" s="50" t="n">
        <x:v>5.751947465615888e-8</x:v>
      </x:c>
      <x:c r="J181" s="47" t="n">
        <x:v>1.6489418571429741</x:v>
      </x:c>
      <x:c r="K181" s="47" t="n">
        <x:v>11.116948013625755</x:v>
      </x:c>
      <x:c r="L181" s="47" t="n">
        <x:v>0.9995218032550798</x:v>
      </x:c>
      <x:c r="M181" s="35" t="n">
        <x:v>89.9527459132062</x:v>
      </x:c>
      <x:c r="N181" s="98" t="n">
        <x:v>0.000042950423085338506</x:v>
      </x:c>
      <x:c r="O181" s="26" t="str">
        <x:v>NO</x:v>
      </x:c>
      <x:c r="P181" s="27" t="str">
        <x:v>NO</x:v>
      </x:c>
    </x:row>
    <x:row r="182">
      <x:c r="A182" s="25" t="str">
        <x:v>HP</x:v>
      </x:c>
      <x:c r="B182" s="32" t="n">
        <x:v>31</x:v>
      </x:c>
      <x:c r="C182" s="35" t="n">
        <x:v>0.15</x:v>
      </x:c>
      <x:c r="D182" s="32" t="n">
        <x:v>19</x:v>
      </x:c>
      <x:c r="E182" s="32" t="n">
        <x:v>50</x:v>
      </x:c>
      <x:c r="F182" s="35" t="n">
        <x:v>-0.1049999999999999</x:v>
      </x:c>
      <x:c r="G182" s="35" t="n">
        <x:v>0.0450000000000001</x:v>
      </x:c>
      <x:c r="H182" s="50" t="n">
        <x:v>1.436012485864877e-9</x:v>
      </x:c>
      <x:c r="I182" s="50" t="n">
        <x:v>6.559013895214705e-8</x:v>
      </x:c>
      <x:c r="J182" s="47" t="n">
        <x:v>1.6596803349186748</x:v>
      </x:c>
      <x:c r="K182" s="47" t="n">
        <x:v>11.175253309424999</x:v>
      </x:c>
      <x:c r="L182" s="47" t="n">
        <x:v>0.9996572741206126</x:v>
      </x:c>
      <x:c r="M182" s="35" t="n">
        <x:v>89.48343024641945</x:v>
      </x:c>
      <x:c r="N182" s="98" t="n">
        <x:v>0.000048976876702388556</x:v>
      </x:c>
      <x:c r="O182" s="26" t="str">
        <x:v>NO</x:v>
      </x:c>
      <x:c r="P182" s="27" t="str">
        <x:v>NO</x:v>
      </x:c>
    </x:row>
    <x:row r="183">
      <x:c r="A183" s="25" t="str">
        <x:v>HP</x:v>
      </x:c>
      <x:c r="B183" s="32" t="n">
        <x:v>31</x:v>
      </x:c>
      <x:c r="C183" s="35" t="n">
        <x:v>0.1499999999999999</x:v>
      </x:c>
      <x:c r="D183" s="32" t="n">
        <x:v>20</x:v>
      </x:c>
      <x:c r="E183" s="32" t="n">
        <x:v>51</x:v>
      </x:c>
      <x:c r="F183" s="35" t="n">
        <x:v>-0.0999999999999999</x:v>
      </x:c>
      <x:c r="G183" s="35" t="n">
        <x:v>0.05</x:v>
      </x:c>
      <x:c r="H183" s="50" t="n">
        <x:v>1.602880717400002e-9</x:v>
      </x:c>
      <x:c r="I183" s="50" t="n">
        <x:v>7.477989669704965e-8</x:v>
      </x:c>
      <x:c r="J183" s="47" t="n">
        <x:v>1.6688836564863099</x:v>
      </x:c>
      <x:c r="K183" s="47" t="n">
        <x:v>11.224590197877962</x:v>
      </x:c>
      <x:c r="L183" s="47" t="n">
        <x:v>0.9997580501591871</x:v>
      </x:c>
      <x:c r="M183" s="35" t="n">
        <x:v>89.09011218859933</x:v>
      </x:c>
      <x:c r="N183" s="98" t="n">
        <x:v>0.000055838969681415265</x:v>
      </x:c>
      <x:c r="O183" s="26" t="str">
        <x:v>NO</x:v>
      </x:c>
      <x:c r="P183" s="27" t="str">
        <x:v>NO</x:v>
      </x:c>
    </x:row>
    <x:row r="184">
      <x:c r="A184" s="25" t="str">
        <x:v>HP</x:v>
      </x:c>
      <x:c r="B184" s="32" t="n">
        <x:v>31</x:v>
      </x:c>
      <x:c r="C184" s="35" t="n">
        <x:v>0.1499999999999999</x:v>
      </x:c>
      <x:c r="D184" s="32" t="n">
        <x:v>21</x:v>
      </x:c>
      <x:c r="E184" s="32" t="n">
        <x:v>52</x:v>
      </x:c>
      <x:c r="F184" s="35" t="n">
        <x:v>-0.0949999999999999</x:v>
      </x:c>
      <x:c r="G184" s="35" t="n">
        <x:v>0.055</x:v>
      </x:c>
      <x:c r="H184" s="50" t="n">
        <x:v>1.7945341129954902e-9</x:v>
      </x:c>
      <x:c r="I184" s="50" t="n">
        <x:v>8.524032584503317e-8</x:v>
      </x:c>
      <x:c r="J184" s="47" t="n">
        <x:v>1.6766933827866488</x:v>
      </x:c>
      <x:c r="K184" s="47" t="n">
        <x:v>11.265875858413041</x:v>
      </x:c>
      <x:c r="L184" s="47" t="n">
        <x:v>0.9998322655669127</x:v>
      </x:c>
      <x:c r="M184" s="35" t="n">
        <x:v>88.763626775918</x:v>
      </x:c>
      <x:c r="N184" s="98" t="n">
        <x:v>0.00006364988694458246</x:v>
      </x:c>
      <x:c r="O184" s="26" t="str">
        <x:v>NO</x:v>
      </x:c>
      <x:c r="P184" s="27" t="str">
        <x:v>NO</x:v>
      </x:c>
    </x:row>
    <x:row r="185">
      <x:c r="A185" s="25" t="str">
        <x:v>HP</x:v>
      </x:c>
      <x:c r="B185" s="32" t="n">
        <x:v>31</x:v>
      </x:c>
      <x:c r="C185" s="35" t="n">
        <x:v>0.1499999999999999</x:v>
      </x:c>
      <x:c r="D185" s="32" t="n">
        <x:v>22</x:v>
      </x:c>
      <x:c r="E185" s="32" t="n">
        <x:v>53</x:v>
      </x:c>
      <x:c r="F185" s="35" t="n">
        <x:v>-0.0899999999999999</x:v>
      </x:c>
      <x:c r="G185" s="35" t="n">
        <x:v>0.06</x:v>
      </x:c>
      <x:c r="H185" s="50" t="n">
        <x:v>2.014503173327516e-9</x:v>
      </x:c>
      <x:c r="I185" s="50" t="n">
        <x:v>9.714281029803717e-8</x:v>
      </x:c>
      <x:c r="J185" s="47" t="n">
        <x:v>1.6832427074204936</x:v>
      </x:c>
      <x:c r="K185" s="47" t="n">
        <x:v>11.299947628510758</x:v>
      </x:c>
      <x:c r="L185" s="47" t="n">
        <x:v>0.9998862568495119</x:v>
      </x:c>
      <x:c r="M185" s="35" t="n">
        <x:v>88.49598536872087</x:v>
      </x:c>
      <x:c r="N185" s="98" t="n">
        <x:v>0.00007253760273265507</x:v>
      </x:c>
      <x:c r="O185" s="26" t="str">
        <x:v>NO</x:v>
      </x:c>
      <x:c r="P185" s="27" t="str">
        <x:v>NO</x:v>
      </x:c>
    </x:row>
    <x:row r="186">
      <x:c r="A186" s="25" t="str">
        <x:v>HP</x:v>
      </x:c>
      <x:c r="B186" s="32" t="n">
        <x:v>31</x:v>
      </x:c>
      <x:c r="C186" s="35" t="n">
        <x:v>0.1499999999999999</x:v>
      </x:c>
      <x:c r="D186" s="32" t="n">
        <x:v>23</x:v>
      </x:c>
      <x:c r="E186" s="32" t="n">
        <x:v>54</x:v>
      </x:c>
      <x:c r="F186" s="35" t="n">
        <x:v>-0.0849999999999999</x:v>
      </x:c>
      <x:c r="G186" s="35" t="n">
        <x:v>0.065</x:v>
      </x:c>
      <x:c r="H186" s="50" t="n">
        <x:v>2.266823335139018e-9</x:v>
      </x:c>
      <x:c r="I186" s="50" t="n">
        <x:v>1.106809819940524e-7</x:v>
      </x:c>
      <x:c r="J186" s="47" t="n">
        <x:v>1.688655328965785</x:v>
      </x:c>
      <x:c r="K186" s="47" t="n">
        <x:v>11.32756262119518</x:v>
      </x:c>
      <x:c r="L186" s="47" t="n">
        <x:v>0.9999249228923223</x:v>
      </x:c>
      <x:c r="M186" s="35" t="n">
        <x:v>88.28024469526078</x:v>
      </x:c>
      <x:c r="N186" s="98" t="n">
        <x:v>0.0000826467041391219</x:v>
      </x:c>
      <x:c r="O186" s="26" t="str">
        <x:v>NO</x:v>
      </x:c>
      <x:c r="P186" s="27" t="str">
        <x:v>NO</x:v>
      </x:c>
    </x:row>
    <x:row r="187">
      <x:c r="A187" s="25" t="str">
        <x:v>HP</x:v>
      </x:c>
      <x:c r="B187" s="32" t="n">
        <x:v>31</x:v>
      </x:c>
      <x:c r="C187" s="35" t="n">
        <x:v>0.1499999999999999</x:v>
      </x:c>
      <x:c r="D187" s="32" t="n">
        <x:v>24</x:v>
      </x:c>
      <x:c r="E187" s="32" t="n">
        <x:v>55</x:v>
      </x:c>
      <x:c r="F187" s="35" t="n">
        <x:v>-0.0799999999999999</x:v>
      </x:c>
      <x:c r="G187" s="35" t="n">
        <x:v>0.07</x:v>
      </x:c>
      <x:c r="H187" s="50" t="n">
        <x:v>2.556105758202359e-9</x:v>
      </x:c>
      <x:c r="I187" s="50" t="n">
        <x:v>1.260734357078407e-7</x:v>
      </x:c>
      <x:c r="J187" s="47" t="n">
        <x:v>1.6930447695539073</x:v>
      </x:c>
      <x:c r="K187" s="47" t="n">
        <x:v>11.349399325361492</x:v>
      </x:c>
      <x:c r="L187" s="47" t="n">
        <x:v>0.9999520234525464</x:v>
      </x:c>
      <x:c r="M187" s="35" t="n">
        <x:v>88.11038992745537</x:v>
      </x:c>
      <x:c r="N187" s="98" t="n">
        <x:v>0.00009414041828169201</x:v>
      </x:c>
      <x:c r="O187" s="26" t="str">
        <x:v>NO</x:v>
      </x:c>
      <x:c r="P187" s="27" t="str">
        <x:v>NO</x:v>
      </x:c>
    </x:row>
    <x:row r="188">
      <x:c r="A188" s="25" t="str">
        <x:v>HP</x:v>
      </x:c>
      <x:c r="B188" s="32" t="n">
        <x:v>31</x:v>
      </x:c>
      <x:c r="C188" s="35" t="n">
        <x:v>0.15</x:v>
      </x:c>
      <x:c r="D188" s="32" t="n">
        <x:v>25</x:v>
      </x:c>
      <x:c r="E188" s="32" t="n">
        <x:v>56</x:v>
      </x:c>
      <x:c r="F188" s="35" t="n">
        <x:v>-0.0749999999999999</x:v>
      </x:c>
      <x:c r="G188" s="35" t="n">
        <x:v>0.0750000000000001</x:v>
      </x:c>
      <x:c r="H188" s="50" t="n">
        <x:v>2.887618113375948e-9</x:v>
      </x:c>
      <x:c r="I188" s="50" t="n">
        <x:v>1.435667416938999e-7</x:v>
      </x:c>
      <x:c r="J188" s="47" t="n">
        <x:v>1.6965140866220372</x:v>
      </x:c>
      <x:c r="K188" s="47" t="n">
        <x:v>11.366060725218077</x:v>
      </x:c>
      <x:c r="L188" s="47" t="n">
        <x:v>0.9999704234072836</x:v>
      </x:c>
      <x:c r="M188" s="35" t="n">
        <x:v>87.98122974842838</x:v>
      </x:c>
      <x:c r="N188" s="98" t="n">
        <x:v>0.00010720286187586482</x:v>
      </x:c>
      <x:c r="O188" s="26" t="str">
        <x:v>NO</x:v>
      </x:c>
      <x:c r="P188" s="27" t="str">
        <x:v>NO</x:v>
      </x:c>
    </x:row>
    <x:row r="189">
      <x:c r="A189" s="25" t="str">
        <x:v>HP</x:v>
      </x:c>
      <x:c r="B189" s="32" t="n">
        <x:v>31</x:v>
      </x:c>
      <x:c r="C189" s="35" t="n">
        <x:v>0.15</x:v>
      </x:c>
      <x:c r="D189" s="32" t="n">
        <x:v>26</x:v>
      </x:c>
      <x:c r="E189" s="32" t="n">
        <x:v>57</x:v>
      </x:c>
      <x:c r="F189" s="35" t="n">
        <x:v>-0.0699999999999999</x:v>
      </x:c>
      <x:c r="G189" s="35" t="n">
        <x:v>0.0800000000000001</x:v>
      </x:c>
      <x:c r="H189" s="50" t="n">
        <x:v>3.267376703094192e-9</x:v>
      </x:c>
      <x:c r="I189" s="50" t="n">
        <x:v>1.634387826574535e-7</x:v>
      </x:c>
      <x:c r="J189" s="47" t="n">
        <x:v>1.6991559107425571</x:v>
      </x:c>
      <x:c r="K189" s="47" t="n">
        <x:v>11.378078505481284</x:v>
      </x:c>
      <x:c r="L189" s="47" t="n">
        <x:v>0.9999822901373677</x:v>
      </x:c>
      <x:c r="M189" s="35" t="n">
        <x:v>87.88830201147401</x:v>
      </x:c>
      <x:c r="N189" s="98" t="n">
        <x:v>0.00012204153298779603</x:v>
      </x:c>
      <x:c r="O189" s="26" t="str">
        <x:v>NO</x:v>
      </x:c>
      <x:c r="P189" s="27" t="str">
        <x:v>NO</x:v>
      </x:c>
    </x:row>
    <x:row r="190">
      <x:c r="A190" s="25" t="str">
        <x:v>HP</x:v>
      </x:c>
      <x:c r="B190" s="32" t="n">
        <x:v>31</x:v>
      </x:c>
      <x:c r="C190" s="35" t="n">
        <x:v>0.1499999999999999</x:v>
      </x:c>
      <x:c r="D190" s="32" t="n">
        <x:v>27</x:v>
      </x:c>
      <x:c r="E190" s="32" t="n">
        <x:v>58</x:v>
      </x:c>
      <x:c r="F190" s="35" t="n">
        <x:v>-0.0649999999999998</x:v>
      </x:c>
      <x:c r="G190" s="35" t="n">
        <x:v>0.0850000000000001</x:v>
      </x:c>
      <x:c r="H190" s="50" t="n">
        <x:v>3.702251427628463e-9</x:v>
      </x:c>
      <x:c r="I190" s="50" t="n">
        <x:v>1.860024427952476e-7</x:v>
      </x:c>
      <x:c r="J190" s="47" t="n">
        <x:v>1.7010527386396284</x:v>
      </x:c>
      <x:c r="K190" s="47" t="n">
        <x:v>11.385917962031105</x:v>
      </x:c>
      <x:c r="L190" s="47" t="n">
        <x:v>0.99998925119421</x:v>
      </x:c>
      <x:c r="M190" s="35" t="n">
        <x:v>87.8277889700878</x:v>
      </x:c>
      <x:c r="N190" s="98" t="n">
        <x:v>0.00013889006568155345</x:v>
      </x:c>
      <x:c r="O190" s="26" t="str">
        <x:v>NO</x:v>
      </x:c>
      <x:c r="P190" s="27" t="str">
        <x:v>NO</x:v>
      </x:c>
    </x:row>
    <x:row r="191">
      <x:c r="A191" s="25" t="str">
        <x:v>HP</x:v>
      </x:c>
      <x:c r="B191" s="32" t="n">
        <x:v>31</x:v>
      </x:c>
      <x:c r="C191" s="35" t="n">
        <x:v>0.14999999999999988</x:v>
      </x:c>
      <x:c r="D191" s="32" t="n">
        <x:v>28</x:v>
      </x:c>
      <x:c r="E191" s="32" t="n">
        <x:v>59</x:v>
      </x:c>
      <x:c r="F191" s="35" t="n">
        <x:v>-0.0599999999999998</x:v>
      </x:c>
      <x:c r="G191" s="35" t="n">
        <x:v>0.0900000000000001</x:v>
      </x:c>
      <x:c r="H191" s="50" t="n">
        <x:v>4.20008531395974e-9</x:v>
      </x:c>
      <x:c r="I191" s="50" t="n">
        <x:v>2.116096777673938e-7</x:v>
      </x:c>
      <x:c r="J191" s="47" t="n">
        <x:v>1.7022774137965984</x:v>
      </x:c>
      <x:c r="K191" s="47" t="n">
        <x:v>11.389983301458903</x:v>
      </x:c>
      <x:c r="L191" s="47" t="n">
        <x:v>0.9999925189078377</x:v>
      </x:c>
      <x:c r="M191" s="35" t="n">
        <x:v>87.79644127063061</x:v>
      </x:c>
      <x:c r="N191" s="98" t="n">
        <x:v>0.00015801126911176578</x:v>
      </x:c>
      <x:c r="O191" s="26" t="str">
        <x:v>NO</x:v>
      </x:c>
      <x:c r="P191" s="27" t="str">
        <x:v>NO</x:v>
      </x:c>
    </x:row>
    <x:row r="192">
      <x:c r="A192" s="25" t="str">
        <x:v>HP</x:v>
      </x:c>
      <x:c r="B192" s="32" t="n">
        <x:v>31</x:v>
      </x:c>
      <x:c r="C192" s="35" t="n">
        <x:v>0.15</x:v>
      </x:c>
      <x:c r="D192" s="32" t="n">
        <x:v>29</x:v>
      </x:c>
      <x:c r="E192" s="32" t="n">
        <x:v>60</x:v>
      </x:c>
      <x:c r="F192" s="35" t="n">
        <x:v>-0.0549999999999999</x:v>
      </x:c>
      <x:c r="G192" s="35" t="n">
        <x:v>0.0950000000000001</x:v>
      </x:c>
      <x:c r="H192" s="50" t="n">
        <x:v>4.7698305515960835e-9</x:v>
      </x:c>
      <x:c r="I192" s="50" t="n">
        <x:v>2.406559954042008e-7</x:v>
      </x:c>
      <x:c r="J192" s="47" t="n">
        <x:v>1.702893734633924</x:v>
      </x:c>
      <x:c r="K192" s="47" t="n">
        <x:v>11.39062307835507</x:v>
      </x:c>
      <x:c r="L192" s="47" t="n">
        <x:v>0.9999929879253441</x:v>
      </x:c>
      <x:c r="M192" s="35" t="n">
        <x:v>87.79151000968868</x:v>
      </x:c>
      <x:c r="N192" s="98" t="n">
        <x:v>0.00017970047331659607</x:v>
      </x:c>
      <x:c r="O192" s="26" t="str">
        <x:v>NO</x:v>
      </x:c>
      <x:c r="P192" s="27" t="str">
        <x:v>NO</x:v>
      </x:c>
    </x:row>
    <x:row r="193">
      <x:c r="A193" s="25" t="str">
        <x:v>HP</x:v>
      </x:c>
      <x:c r="B193" s="32" t="n">
        <x:v>31</x:v>
      </x:c>
      <x:c r="C193" s="35" t="n">
        <x:v>0.15</x:v>
      </x:c>
      <x:c r="D193" s="32" t="n">
        <x:v>30</x:v>
      </x:c>
      <x:c r="E193" s="32" t="n">
        <x:v>61</x:v>
      </x:c>
      <x:c r="F193" s="35" t="n">
        <x:v>-0.0499999999999999</x:v>
      </x:c>
      <x:c r="G193" s="35" t="n">
        <x:v>0.1000000000000001</x:v>
      </x:c>
      <x:c r="H193" s="50" t="n">
        <x:v>5.421703233852641e-9</x:v>
      </x:c>
      <x:c r="I193" s="50" t="n">
        <x:v>2.735853776753727e-7</x:v>
      </x:c>
      <x:c r="J193" s="47" t="n">
        <x:v>1.7029571398722005</x:v>
      </x:c>
      <x:c r="K193" s="47" t="n">
        <x:v>11.388135580547265</x:v>
      </x:c>
      <x:c r="L193" s="47" t="n">
        <x:v>0.9999913109064185</x:v>
      </x:c>
      <x:c r="M193" s="35" t="n">
        <x:v>87.81068621172354</x:v>
      </x:c>
      <x:c r="N193" s="98" t="n">
        <x:v>0.00020428920450616783</x:v>
      </x:c>
      <x:c r="O193" s="26" t="str">
        <x:v>NO</x:v>
      </x:c>
      <x:c r="P193" s="27" t="str">
        <x:v>NO</x:v>
      </x:c>
    </x:row>
    <x:row r="194">
      <x:c r="A194" s="25" t="str">
        <x:v>HP</x:v>
      </x:c>
      <x:c r="B194" s="32" t="n">
        <x:v>31</x:v>
      </x:c>
      <x:c r="C194" s="35" t="n">
        <x:v>0.15</x:v>
      </x:c>
      <x:c r="D194" s="32" t="n">
        <x:v>31</x:v>
      </x:c>
      <x:c r="E194" s="32" t="n">
        <x:v>62</x:v>
      </x:c>
      <x:c r="F194" s="35" t="n">
        <x:v>-0.0449999999999999</x:v>
      </x:c>
      <x:c r="G194" s="35" t="n">
        <x:v>0.1050000000000001</x:v>
      </x:c>
      <x:c r="H194" s="50" t="n">
        <x:v>6.167359286893276e-9</x:v>
      </x:c>
      <x:c r="I194" s="50" t="n">
        <x:v>3.108956749076387e-7</x:v>
      </x:c>
      <x:c r="J194" s="47" t="n">
        <x:v>1.7025154307958124</x:v>
      </x:c>
      <x:c r="K194" s="47" t="n">
        <x:v>11.382774026432735</x:v>
      </x:c>
      <x:c r="L194" s="47" t="n">
        <x:v>0.9999879568210064</x:v>
      </x:c>
      <x:c r="M194" s="35" t="n">
        <x:v>87.85204710888841</x:v>
      </x:c>
      <x:c r="N194" s="98" t="n">
        <x:v>0.00023214921298407863</x:v>
      </x:c>
      <x:c r="O194" s="26" t="str">
        <x:v>NO</x:v>
      </x:c>
      <x:c r="P194" s="27" t="str">
        <x:v>NO</x:v>
      </x:c>
    </x:row>
    <x:row r="195">
      <x:c r="A195" s="25" t="str">
        <x:v>HP</x:v>
      </x:c>
      <x:c r="B195" s="32" t="n">
        <x:v>31</x:v>
      </x:c>
      <x:c r="C195" s="35" t="n">
        <x:v>0.15</x:v>
      </x:c>
      <x:c r="D195" s="32" t="n">
        <x:v>32</x:v>
      </x:c>
      <x:c r="E195" s="32" t="n">
        <x:v>63</x:v>
      </x:c>
      <x:c r="F195" s="35" t="n">
        <x:v>-0.0399999999999999</x:v>
      </x:c>
      <x:c r="G195" s="35" t="n">
        <x:v>0.1100000000000001</x:v>
      </x:c>
      <x:c r="H195" s="50" t="n">
        <x:v>7.0200943853620204e-9</x:v>
      </x:c>
      <x:c r="I195" s="50" t="n">
        <x:v>3.531445033858148e-7</x:v>
      </x:c>
      <x:c r="J195" s="47" t="n">
        <x:v>1.7016094996742686</x:v>
      </x:c>
      <x:c r="K195" s="47" t="n">
        <x:v>11.374751483666332</x:v>
      </x:c>
      <x:c r="L195" s="47" t="n">
        <x:v>0.9999832555478433</x:v>
      </x:c>
      <x:c r="M195" s="35" t="n">
        <x:v>87.91400862128357</x:v>
      </x:c>
      <x:c r="N195" s="98" t="n">
        <x:v>0.0002636968769508472</x:v>
      </x:c>
      <x:c r="O195" s="26" t="str">
        <x:v>NO</x:v>
      </x:c>
      <x:c r="P195" s="27" t="str">
        <x:v>NO</x:v>
      </x:c>
    </x:row>
    <x:row r="196">
      <x:c r="A196" s="25" t="str">
        <x:v>HP</x:v>
      </x:c>
      <x:c r="B196" s="32" t="n">
        <x:v>31</x:v>
      </x:c>
      <x:c r="C196" s="35" t="n">
        <x:v>0.15</x:v>
      </x:c>
      <x:c r="D196" s="32" t="n">
        <x:v>33</x:v>
      </x:c>
      <x:c r="E196" s="32" t="n">
        <x:v>64</x:v>
      </x:c>
      <x:c r="F196" s="35" t="n">
        <x:v>-0.0349999999999999</x:v>
      </x:c>
      <x:c r="G196" s="35" t="n">
        <x:v>0.1150000000000001</x:v>
      </x:c>
      <x:c r="H196" s="50" t="n">
        <x:v>7.995071005998663e-9</x:v>
      </x:c>
      <x:c r="I196" s="50" t="n">
        <x:v>4.009556772627965e-7</x:v>
      </x:c>
      <x:c r="J196" s="47" t="n">
        <x:v>1.700274042008619</x:v>
      </x:c>
      <x:c r="K196" s="47" t="n">
        <x:v>11.364245454625518</x:v>
      </x:c>
      <x:c r="L196" s="47" t="n">
        <x:v>0.999977431795513</x:v>
      </x:c>
      <x:c r="M196" s="35" t="n">
        <x:v>87.99528345218698</x:v>
      </x:c>
      <x:c r="N196" s="98" t="n">
        <x:v>0.00029939800528170496</x:v>
      </x:c>
      <x:c r="O196" s="26" t="str">
        <x:v>NO</x:v>
      </x:c>
      <x:c r="P196" s="27" t="str">
        <x:v>NO</x:v>
      </x:c>
    </x:row>
    <x:row r="197">
      <x:c r="A197" s="25" t="str">
        <x:v>HP</x:v>
      </x:c>
      <x:c r="B197" s="32" t="n">
        <x:v>31</x:v>
      </x:c>
      <x:c r="C197" s="35" t="n">
        <x:v>0.15</x:v>
      </x:c>
      <x:c r="D197" s="32" t="n">
        <x:v>34</x:v>
      </x:c>
      <x:c r="E197" s="32" t="n">
        <x:v>65</x:v>
      </x:c>
      <x:c r="F197" s="35" t="n">
        <x:v>-0.0299999999999999</x:v>
      </x:c>
      <x:c r="G197" s="35" t="n">
        <x:v>0.1200000000000001</x:v>
      </x:c>
      <x:c r="H197" s="50" t="n">
        <x:v>9.109576162781833e-9</x:v>
      </x:c>
      <x:c r="I197" s="50" t="n">
        <x:v>4.550262050904381e-7</x:v>
      </x:c>
      <x:c r="J197" s="47" t="n">
        <x:v>1.6985382373059483</x:v>
      </x:c>
      <x:c r="K197" s="47" t="n">
        <x:v>11.351402101926354</x:v>
      </x:c>
      <x:c r="L197" s="47" t="n">
        <x:v>0.9999706307766048</x:v>
      </x:c>
      <x:c r="M197" s="35" t="n">
        <x:v>88.09484423340956</x:v>
      </x:c>
      <x:c r="N197" s="98" t="n">
        <x:v>0.0003397730619130003</x:v>
      </x:c>
      <x:c r="O197" s="26" t="str">
        <x:v>NO</x:v>
      </x:c>
      <x:c r="P197" s="27" t="str">
        <x:v>NO</x:v>
      </x:c>
    </x:row>
    <x:row r="198">
      <x:c r="A198" s="25" t="str">
        <x:v>HP</x:v>
      </x:c>
      <x:c r="B198" s="32" t="n">
        <x:v>31</x:v>
      </x:c>
      <x:c r="C198" s="35" t="n">
        <x:v>0.15000000000000002</x:v>
      </x:c>
      <x:c r="D198" s="32" t="n">
        <x:v>35</x:v>
      </x:c>
      <x:c r="E198" s="32" t="n">
        <x:v>66</x:v>
      </x:c>
      <x:c r="F198" s="35" t="n">
        <x:v>-0.0249999999999999</x:v>
      </x:c>
      <x:c r="G198" s="35" t="n">
        <x:v>0.1250000000000001</x:v>
      </x:c>
      <x:c r="H198" s="50" t="n">
        <x:v>1.0383313802526422e-8</x:v>
      </x:c>
      <x:c r="I198" s="50" t="n">
        <x:v>5.161338802160976e-7</x:v>
      </x:c>
      <x:c r="J198" s="47" t="n">
        <x:v>1.696426388718245</x:v>
      </x:c>
      <x:c r="K198" s="47" t="n">
        <x:v>11.336340107860838</x:v>
      </x:c>
      <x:c r="L198" s="47" t="n">
        <x:v>0.9999629375648365</x:v>
      </x:c>
      <x:c r="M198" s="35" t="n">
        <x:v>88.2118911822856</x:v>
      </x:c>
      <x:c r="N198" s="98" t="n">
        <x:v>0.00038540283367461466</x:v>
      </x:c>
      <x:c r="O198" s="26" t="str">
        <x:v>NO</x:v>
      </x:c>
      <x:c r="P198" s="27" t="str">
        <x:v>NO</x:v>
      </x:c>
    </x:row>
    <x:row r="199">
      <x:c r="A199" s="25" t="str">
        <x:v>HP</x:v>
      </x:c>
      <x:c r="B199" s="32" t="n">
        <x:v>31</x:v>
      </x:c>
      <x:c r="C199" s="35" t="n">
        <x:v>0.15</x:v>
      </x:c>
      <x:c r="D199" s="32" t="n">
        <x:v>36</x:v>
      </x:c>
      <x:c r="E199" s="32" t="n">
        <x:v>67</x:v>
      </x:c>
      <x:c r="F199" s="35" t="n">
        <x:v>-0.0199999999999999</x:v>
      </x:c>
      <x:c r="G199" s="35" t="n">
        <x:v>0.1300000000000001</x:v>
      </x:c>
      <x:c r="H199" s="50" t="n">
        <x:v>1.1838736322293511e-8</x:v>
      </x:c>
      <x:c r="I199" s="50" t="n">
        <x:v>5.851454927207171e-7</x:v>
      </x:c>
      <x:c r="J199" s="47" t="n">
        <x:v>1.693958516216937</x:v>
      </x:c>
      <x:c r="K199" s="47" t="n">
        <x:v>11.319154176173852</x:v>
      </x:c>
      <x:c r="L199" s="47" t="n">
        <x:v>0.9999543916508191</x:v>
      </x:c>
      <x:c r="M199" s="35" t="n">
        <x:v>88.34582376348762</x:v>
      </x:c>
      <x:c r="N199" s="98" t="n">
        <x:v>0.00043693456223426467</x:v>
      </x:c>
      <x:c r="O199" s="26" t="str">
        <x:v>NO</x:v>
      </x:c>
      <x:c r="P199" s="27" t="str">
        <x:v>NO</x:v>
      </x:c>
    </x:row>
    <x:row r="200">
      <x:c r="A200" s="25" t="str">
        <x:v>HP</x:v>
      </x:c>
      <x:c r="B200" s="32" t="n">
        <x:v>31</x:v>
      </x:c>
      <x:c r="C200" s="35" t="n">
        <x:v>0.15</x:v>
      </x:c>
      <x:c r="D200" s="32" t="n">
        <x:v>37</x:v>
      </x:c>
      <x:c r="E200" s="32" t="n">
        <x:v>68</x:v>
      </x:c>
      <x:c r="F200" s="35" t="n">
        <x:v>-0.0149999999999999</x:v>
      </x:c>
      <x:c r="G200" s="35" t="n">
        <x:v>0.1350000000000001</x:v>
      </x:c>
      <x:c r="H200" s="50" t="n">
        <x:v>1.3501420203353691e-8</x:v>
      </x:c>
      <x:c r="I200" s="50" t="n">
        <x:v>6.630256884499344e-7</x:v>
      </x:c>
      <x:c r="J200" s="47" t="n">
        <x:v>1.691150901176429</x:v>
      </x:c>
      <x:c r="K200" s="47" t="n">
        <x:v>11.299918194261878</x:v>
      </x:c>
      <x:c r="L200" s="47" t="n">
        <x:v>0.999944997875997</x:v>
      </x:c>
      <x:c r="M200" s="35" t="n">
        <x:v>88.4962158848019</x:v>
      </x:c>
      <x:c r="N200" s="98" t="n">
        <x:v>0.0004950885592332739</x:v>
      </x:c>
      <x:c r="O200" s="26" t="str">
        <x:v>NO</x:v>
      </x:c>
      <x:c r="P200" s="27" t="str">
        <x:v>NO</x:v>
      </x:c>
    </x:row>
    <x:row r="201">
      <x:c r="A201" s="25" t="str">
        <x:v>HP</x:v>
      </x:c>
      <x:c r="B201" s="32" t="n">
        <x:v>31</x:v>
      </x:c>
      <x:c r="C201" s="35" t="n">
        <x:v>0.1500000000000001</x:v>
      </x:c>
      <x:c r="D201" s="32" t="n">
        <x:v>38</x:v>
      </x:c>
      <x:c r="E201" s="32" t="n">
        <x:v>69</x:v>
      </x:c>
      <x:c r="F201" s="35" t="n">
        <x:v>-0.0099999999999999</x:v>
      </x:c>
      <x:c r="G201" s="35" t="n">
        <x:v>0.1400000000000002</x:v>
      </x:c>
      <x:c r="H201" s="50" t="n">
        <x:v>1.5400491344679292e-8</x:v>
      </x:c>
      <x:c r="I201" s="50" t="n">
        <x:v>7.508464979502032e-7</x:v>
      </x:c>
      <x:c r="J201" s="47" t="n">
        <x:v>1.6880165825005022</x:v>
      </x:c>
      <x:c r="K201" s="47" t="n">
        <x:v>11.278688079743235</x:v>
      </x:c>
      <x:c r="L201" s="47" t="n">
        <x:v>0.9999347346556228</x:v>
      </x:c>
      <x:c r="M201" s="35" t="n">
        <x:v>88.6627941946565</x:v>
      </x:c>
      <x:c r="N201" s="98" t="n">
        <x:v>0.0005606653216477683</x:v>
      </x:c>
      <x:c r="O201" s="26" t="str">
        <x:v>NO</x:v>
      </x:c>
      <x:c r="P201" s="27" t="str">
        <x:v>NO</x:v>
      </x:c>
    </x:row>
    <x:row r="202">
      <x:c r="A202" s="25" t="str">
        <x:v>HP</x:v>
      </x:c>
      <x:c r="B202" s="32" t="n">
        <x:v>31</x:v>
      </x:c>
      <x:c r="C202" s="35" t="n">
        <x:v>0.1500000000000001</x:v>
      </x:c>
      <x:c r="D202" s="32" t="n">
        <x:v>39</x:v>
      </x:c>
      <x:c r="E202" s="32" t="n">
        <x:v>70</x:v>
      </x:c>
      <x:c r="F202" s="35" t="n">
        <x:v>-0.0049999999999999</x:v>
      </x:c>
      <x:c r="G202" s="35" t="n">
        <x:v>0.1450000000000002</x:v>
      </x:c>
      <x:c r="H202" s="50" t="n">
        <x:v>1.7569106325909142e-8</x:v>
      </x:c>
      <x:c r="I202" s="50" t="n">
        <x:v>8.497975546936707e-7</x:v>
      </x:c>
      <x:c r="J202" s="47" t="n">
        <x:v>1.6845658059289441</x:v>
      </x:c>
      <x:c r="K202" s="47" t="n">
        <x:v>11.255504338312434</x:v>
      </x:c>
      <x:c r="L202" s="47" t="n">
        <x:v>0.9999235601894245</x:v>
      </x:c>
      <x:c r="M202" s="35" t="n">
        <x:v>88.84541908940639</x:v>
      </x:c>
      <x:c r="N202" s="98" t="n">
        <x:v>0.0006345531618493512</x:v>
      </x:c>
      <x:c r="O202" s="26" t="str">
        <x:v>NO</x:v>
      </x:c>
      <x:c r="P202" s="27" t="str">
        <x:v>NO</x:v>
      </x:c>
    </x:row>
    <x:row r="203">
      <x:c r="A203" s="25" t="str">
        <x:v>HP</x:v>
      </x:c>
      <x:c r="B203" s="32" t="n">
        <x:v>31</x:v>
      </x:c>
      <x:c r="C203" s="35" t="n">
        <x:v>0.15000000000000008</x:v>
      </x:c>
      <x:c r="D203" s="32" t="n">
        <x:v>40</x:v>
      </x:c>
      <x:c r="E203" s="32" t="n">
        <x:v>71</x:v>
      </x:c>
      <x:c r="F203" s="35" t="n">
        <x:v>9.887923813067799e-17</x:v>
      </x:c>
      <x:c r="G203" s="35" t="n">
        <x:v>0.1500000000000002</x:v>
      </x:c>
      <x:c r="H203" s="50" t="n">
        <x:v>2.0044996539171842e-8</x:v>
      </x:c>
      <x:c r="I203" s="50" t="n">
        <x:v>9.611970177636994e-7</x:v>
      </x:c>
      <x:c r="J203" s="47" t="n">
        <x:v>1.680806429075635</x:v>
      </x:c>
      <x:c r="K203" s="47" t="n">
        <x:v>11.230394360621466</x:v>
      </x:c>
      <x:c r="L203" s="47" t="n">
        <x:v>0.9999114171924967</x:v>
      </x:c>
      <x:c r="M203" s="35" t="n">
        <x:v>89.04406807889355</x:v>
      </x:c>
      <x:c r="N203" s="98" t="n">
        <x:v>0.0007177363636942756</x:v>
      </x:c>
      <x:c r="O203" s="26" t="str">
        <x:v>NO</x:v>
      </x:c>
      <x:c r="P203" s="27" t="str">
        <x:v>NO</x:v>
      </x:c>
    </x:row>
    <x:row r="204">
      <x:c r="A204" s="25" t="str">
        <x:v>HP</x:v>
      </x:c>
      <x:c r="B204" s="32" t="n">
        <x:v>31</x:v>
      </x:c>
      <x:c r="C204" s="35" t="n">
        <x:v>0.1500000000000002</x:v>
      </x:c>
      <x:c r="D204" s="32" t="n">
        <x:v>41</x:v>
      </x:c>
      <x:c r="E204" s="32" t="n">
        <x:v>72</x:v>
      </x:c>
      <x:c r="F204" s="35" t="n">
        <x:v>0.005</x:v>
      </x:c>
      <x:c r="G204" s="35" t="n">
        <x:v>0.1550000000000002</x:v>
      </x:c>
      <x:c r="H204" s="50" t="n">
        <x:v>2.287108290455236e-8</x:v>
      </x:c>
      <x:c r="I204" s="50" t="n">
        <x:v>0.000001086503209050449</x:v>
      </x:c>
      <x:c r="J204" s="47" t="n">
        <x:v>1.6767442852179455</x:v>
      </x:c>
      <x:c r="K204" s="47" t="n">
        <x:v>11.20337448521467</x:v>
      </x:c>
      <x:c r="L204" s="47" t="n">
        <x:v>0.9998982365496184</x:v>
      </x:c>
      <x:c r="M204" s="35" t="n">
        <x:v>89.25882119889155</x:v>
      </x:c>
      <x:c r="N204" s="98" t="n">
        <x:v>0.0008113038721451196</x:v>
      </x:c>
      <x:c r="O204" s="26" t="str">
        <x:v>NO</x:v>
      </x:c>
      <x:c r="P204" s="27" t="str">
        <x:v>NO</x:v>
      </x:c>
    </x:row>
    <x:row r="205">
      <x:c r="A205" s="25" t="str">
        <x:v>HP</x:v>
      </x:c>
      <x:c r="B205" s="32" t="n">
        <x:v>31</x:v>
      </x:c>
      <x:c r="C205" s="35" t="n">
        <x:v>0.1500000000000001</x:v>
      </x:c>
      <x:c r="D205" s="32" t="n">
        <x:v>42</x:v>
      </x:c>
      <x:c r="E205" s="32" t="n">
        <x:v>73</x:v>
      </x:c>
      <x:c r="F205" s="35" t="n">
        <x:v>0.0100000000000001</x:v>
      </x:c>
      <x:c r="G205" s="35" t="n">
        <x:v>0.1600000000000002</x:v>
      </x:c>
      <x:c r="H205" s="50" t="n">
        <x:v>2.6096169728378883e-8</x:v>
      </x:c>
      <x:c r="I205" s="50" t="n">
        <x:v>0.000001227326968797892</x:v>
      </x:c>
      <x:c r="J205" s="47" t="n">
        <x:v>1.6723835089999994</x:v>
      </x:c>
      <x:c r="K205" s="47" t="n">
        <x:v>11.174451852753224</x:v>
      </x:c>
      <x:c r="L205" s="47" t="n">
        <x:v>0.9998839401957134</x:v>
      </x:c>
      <x:c r="M205" s="35" t="n">
        <x:v>89.48984819811223</x:v>
      </x:c>
      <x:c r="N205" s="98" t="n">
        <x:v>0.0009164585192933633</x:v>
      </x:c>
      <x:c r="O205" s="26" t="str">
        <x:v>NO</x:v>
      </x:c>
      <x:c r="P205" s="27" t="str">
        <x:v>NO</x:v>
      </x:c>
    </x:row>
    <x:row r="206">
      <x:c r="A206" s="25" t="str">
        <x:v>HP</x:v>
      </x:c>
      <x:c r="B206" s="32" t="n">
        <x:v>31</x:v>
      </x:c>
      <x:c r="C206" s="35" t="n">
        <x:v>0.1500000000000001</x:v>
      </x:c>
      <x:c r="D206" s="32" t="n">
        <x:v>43</x:v>
      </x:c>
      <x:c r="E206" s="32" t="n">
        <x:v>74</x:v>
      </x:c>
      <x:c r="F206" s="35" t="n">
        <x:v>0.0150000000000001</x:v>
      </x:c>
      <x:c r="G206" s="35" t="n">
        <x:v>0.1650000000000002</x:v>
      </x:c>
      <x:c r="H206" s="50" t="n">
        <x:v>2.9775727179494693e-8</x:v>
      </x:c>
      <x:c r="I206" s="50" t="n">
        <x:v>0.000001385444725812803</x:v>
      </x:c>
      <x:c r="J206" s="47" t="n">
        <x:v>1.6677268271235555</x:v>
      </x:c>
      <x:c r="K206" s="47" t="n">
        <x:v>11.143626074257272</x:v>
      </x:c>
      <x:c r="L206" s="47" t="n">
        <x:v>0.9998684434468909</x:v>
      </x:c>
      <x:c r="M206" s="35" t="n">
        <x:v>89.7373972651582</x:v>
      </x:c>
      <x:c r="N206" s="98" t="n">
        <x:v>0.0010345267840279058</x:v>
      </x:c>
      <x:c r="O206" s="26" t="str">
        <x:v>NO</x:v>
      </x:c>
      <x:c r="P206" s="27" t="str">
        <x:v>NO</x:v>
      </x:c>
    </x:row>
    <x:row r="207">
      <x:c r="A207" s="25" t="str">
        <x:v>HP</x:v>
      </x:c>
      <x:c r="B207" s="32" t="n">
        <x:v>31</x:v>
      </x:c>
      <x:c r="C207" s="35" t="n">
        <x:v>0.1500000000000001</x:v>
      </x:c>
      <x:c r="D207" s="32" t="n">
        <x:v>44</x:v>
      </x:c>
      <x:c r="E207" s="32" t="n">
        <x:v>75</x:v>
      </x:c>
      <x:c r="F207" s="35" t="n">
        <x:v>0.0200000000000001</x:v>
      </x:c>
      <x:c r="G207" s="35" t="n">
        <x:v>0.1700000000000002</x:v>
      </x:c>
      <x:c r="H207" s="50" t="n">
        <x:v>3.397277284792525e-8</x:v>
      </x:c>
      <x:c r="I207" s="50" t="n">
        <x:v>0.000001562812269466721</x:v>
      </x:c>
      <x:c r="J207" s="47" t="n">
        <x:v>1.6627758168571019</x:v>
      </x:c>
      <x:c r="K207" s="47" t="n">
        <x:v>11.110890733133337</x:v>
      </x:c>
      <x:c r="L207" s="47" t="n">
        <x:v>0.9998516569450628</x:v>
      </x:c>
      <x:c r="M207" s="35" t="n">
        <x:v>90.00178509702562</x:v>
      </x:c>
      <x:c r="N207" s="98" t="n">
        <x:v>0.0011669690757400977</x:v>
      </x:c>
      <x:c r="O207" s="26" t="str">
        <x:v>NO</x:v>
      </x:c>
      <x:c r="P207" s="27" t="str">
        <x:v>NO</x:v>
      </x:c>
    </x:row>
    <x:row r="208">
      <x:c r="A208" s="25" t="str">
        <x:v>HP</x:v>
      </x:c>
      <x:c r="B208" s="32" t="n">
        <x:v>31</x:v>
      </x:c>
      <x:c r="C208" s="35" t="n">
        <x:v>0.1500000000000001</x:v>
      </x:c>
      <x:c r="D208" s="32" t="n">
        <x:v>45</x:v>
      </x:c>
      <x:c r="E208" s="32" t="n">
        <x:v>76</x:v>
      </x:c>
      <x:c r="F208" s="35" t="n">
        <x:v>0.0250000000000001</x:v>
      </x:c>
      <x:c r="G208" s="35" t="n">
        <x:v>0.1750000000000002</x:v>
      </x:c>
      <x:c r="H208" s="50" t="n">
        <x:v>3.8758863913740275e-8</x:v>
      </x:c>
      <x:c r="I208" s="50" t="n">
        <x:v>0.000001761579199377998</x:v>
      </x:c>
      <x:c r="J208" s="47" t="n">
        <x:v>1.6575311348572717</x:v>
      </x:c>
      <x:c r="K208" s="47" t="n">
        <x:v>11.07623473754712</x:v>
      </x:c>
      <x:c r="L208" s="47" t="n">
        <x:v>0.9998334883302357</x:v>
      </x:c>
      <x:c r="M208" s="35" t="n">
        <x:v>90.2833881454425</x:v>
      </x:c>
      <x:c r="N208" s="98" t="n">
        <x:v>0.0013153905240599333</x:v>
      </x:c>
      <x:c r="O208" s="26" t="str">
        <x:v>NO</x:v>
      </x:c>
      <x:c r="P208" s="27" t="str">
        <x:v>NO</x:v>
      </x:c>
    </x:row>
    <x:row r="209">
      <x:c r="A209" s="25" t="str">
        <x:v>HP</x:v>
      </x:c>
      <x:c r="B209" s="32" t="n">
        <x:v>31</x:v>
      </x:c>
      <x:c r="C209" s="35" t="n">
        <x:v>0.15000000000000008</x:v>
      </x:c>
      <x:c r="D209" s="32" t="n">
        <x:v>46</x:v>
      </x:c>
      <x:c r="E209" s="32" t="n">
        <x:v>77</x:v>
      </x:c>
      <x:c r="F209" s="35" t="n">
        <x:v>0.0300000000000001</x:v>
      </x:c>
      <x:c r="G209" s="35" t="n">
        <x:v>0.1800000000000002</x:v>
      </x:c>
      <x:c r="H209" s="50" t="n">
        <x:v>4.4215212590877827e-8</x:v>
      </x:c>
      <x:c r="I209" s="50" t="n">
        <x:v>0.000001984104014801174</x:v>
      </x:c>
      <x:c r="J209" s="47" t="n">
        <x:v>1.6519927184131786</x:v>
      </x:c>
      <x:c r="K209" s="47" t="n">
        <x:v>11.039643536408121</x:v>
      </x:c>
      <x:c r="L209" s="47" t="n">
        <x:v>0.999813843714898</x:v>
      </x:c>
      <x:c r="M209" s="35" t="n">
        <x:v>90.58263491045308</x:v>
      </x:c>
      <x:c r="N209" s="98" t="n">
        <x:v>0.0014815522462687243</x:v>
      </x:c>
      <x:c r="O209" s="26" t="str">
        <x:v>NO</x:v>
      </x:c>
      <x:c r="P209" s="27" t="str">
        <x:v>NO</x:v>
      </x:c>
    </x:row>
    <x:row r="210">
      <x:c r="A210" s="25" t="str">
        <x:v>HP</x:v>
      </x:c>
      <x:c r="B210" s="32" t="n">
        <x:v>31</x:v>
      </x:c>
      <x:c r="C210" s="35" t="n">
        <x:v>0.15000000000000008</x:v>
      </x:c>
      <x:c r="D210" s="32" t="n">
        <x:v>47</x:v>
      </x:c>
      <x:c r="E210" s="32" t="n">
        <x:v>78</x:v>
      </x:c>
      <x:c r="F210" s="35" t="n">
        <x:v>0.0350000000000001</x:v>
      </x:c>
      <x:c r="G210" s="35" t="n">
        <x:v>0.1850000000000002</x:v>
      </x:c>
      <x:c r="H210" s="50" t="n">
        <x:v>5.043393871940648e-8</x:v>
      </x:c>
      <x:c r="I210" s="50" t="n">
        <x:v>0.000002232969788608805</x:v>
      </x:c>
      <x:c r="J210" s="47" t="n">
        <x:v>1.646159960832712</x:v>
      </x:c>
      <x:c r="K210" s="47" t="n">
        <x:v>11.001100208966262</x:v>
      </x:c>
      <x:c r="L210" s="47" t="n">
        <x:v>0.999792629001964</x:v>
      </x:c>
      <x:c r="M210" s="35" t="n">
        <x:v>90.8999991823515</x:v>
      </x:c>
      <x:c r="N210" s="98" t="n">
        <x:v>0.0016673830512333764</x:v>
      </x:c>
      <x:c r="O210" s="26" t="str">
        <x:v>NO</x:v>
      </x:c>
      <x:c r="P210" s="27" t="str">
        <x:v>NO</x:v>
      </x:c>
    </x:row>
    <x:row r="211">
      <x:c r="A211" s="25" t="str">
        <x:v>HP</x:v>
      </x:c>
      <x:c r="B211" s="32" t="n">
        <x:v>31</x:v>
      </x:c>
      <x:c r="C211" s="35" t="n">
        <x:v>0.1500000000000001</x:v>
      </x:c>
      <x:c r="D211" s="32" t="n">
        <x:v>48</x:v>
      </x:c>
      <x:c r="E211" s="32" t="n">
        <x:v>79</x:v>
      </x:c>
      <x:c r="F211" s="35" t="n">
        <x:v>0.0400000000000001</x:v>
      </x:c>
      <x:c r="G211" s="35" t="n">
        <x:v>0.1900000000000002</x:v>
      </x:c>
      <x:c r="H211" s="50" t="n">
        <x:v>5.751947465615888e-8</x:v>
      </x:c>
      <x:c r="I211" s="50" t="n">
        <x:v>0.000002511000349515585</x:v>
      </x:c>
      <x:c r="J211" s="47" t="n">
        <x:v>1.6400318623220969</x:v>
      </x:c>
      <x:c r="K211" s="47" t="n">
        <x:v>10.960586434900755</x:v>
      </x:c>
      <x:c r="L211" s="47" t="n">
        <x:v>0.9997697510596792</x:v>
      </x:c>
      <x:c r="M211" s="35" t="n">
        <x:v>91.23599416321329</x:v>
      </x:c>
      <x:c r="N211" s="98" t="n">
        <x:v>0.0018749915228507632</x:v>
      </x:c>
      <x:c r="O211" s="26" t="str">
        <x:v>NO</x:v>
      </x:c>
      <x:c r="P211" s="27" t="str">
        <x:v>NO</x:v>
      </x:c>
    </x:row>
    <x:row r="212">
      <x:c r="A212" s="25" t="str">
        <x:v>HP</x:v>
      </x:c>
      <x:c r="B212" s="32" t="n">
        <x:v>31</x:v>
      </x:c>
      <x:c r="C212" s="35" t="n">
        <x:v>0.1500000000000001</x:v>
      </x:c>
      <x:c r="D212" s="32" t="n">
        <x:v>49</x:v>
      </x:c>
      <x:c r="E212" s="32" t="n">
        <x:v>80</x:v>
      </x:c>
      <x:c r="F212" s="35" t="n">
        <x:v>0.0450000000000001</x:v>
      </x:c>
      <x:c r="G212" s="35" t="n">
        <x:v>0.1950000000000002</x:v>
      </x:c>
      <x:c r="H212" s="50" t="n">
        <x:v>6.559013895214705e-8</x:v>
      </x:c>
      <x:c r="I212" s="50" t="n">
        <x:v>0.000002821276869952502</x:v>
      </x:c>
      <x:c r="J212" s="47" t="n">
        <x:v>1.633607157391193</x:v>
      </x:c>
      <x:c r="K212" s="47" t="n">
        <x:v>10.918083348889375</x:v>
      </x:c>
      <x:c r="L212" s="47" t="n">
        <x:v>0.9997451187425612</x:v>
      </x:c>
      <x:c r="M212" s="35" t="n">
        <x:v>91.59116742790971</x:v>
      </x:c>
      <x:c r="N212" s="98" t="n">
        <x:v>0.0021066784063954367</x:v>
      </x:c>
      <x:c r="O212" s="26" t="str">
        <x:v>NO</x:v>
      </x:c>
      <x:c r="P212" s="27" t="str">
        <x:v>NO</x:v>
      </x:c>
    </x:row>
    <x:row r="213">
      <x:c r="A213" s="25" t="str">
        <x:v>HP</x:v>
      </x:c>
      <x:c r="B213" s="32" t="n">
        <x:v>31</x:v>
      </x:c>
      <x:c r="C213" s="35" t="n">
        <x:v>0.1500000000000002</x:v>
      </x:c>
      <x:c r="D213" s="32" t="n">
        <x:v>50</x:v>
      </x:c>
      <x:c r="E213" s="32" t="n">
        <x:v>81</x:v>
      </x:c>
      <x:c r="F213" s="35" t="n">
        <x:v>0.05</x:v>
      </x:c>
      <x:c r="G213" s="35" t="n">
        <x:v>0.2000000000000002</x:v>
      </x:c>
      <x:c r="H213" s="50" t="n">
        <x:v>7.477989669704965e-8</x:v>
      </x:c>
      <x:c r="I213" s="50" t="n">
        <x:v>0.000003167154724744083</x:v>
      </x:c>
      <x:c r="J213" s="47" t="n">
        <x:v>1.6268844195694694</x:v>
      </x:c>
      <x:c r="K213" s="47" t="n">
        <x:v>10.873572281083154</x:v>
      </x:c>
      <x:c r="L213" s="47" t="n">
        <x:v>0.9997186437261653</x:v>
      </x:c>
      <x:c r="M213" s="35" t="n">
        <x:v>91.96609671135478</x:v>
      </x:c>
      <x:c r="N213" s="98" t="n">
        <x:v>0.002364949197078971</x:v>
      </x:c>
      <x:c r="O213" s="26" t="str">
        <x:v>NO</x:v>
      </x:c>
      <x:c r="P213" s="27" t="str">
        <x:v>NO</x:v>
      </x:c>
    </x:row>
    <x:row r="214">
      <x:c r="A214" s="25" t="str">
        <x:v>HP</x:v>
      </x:c>
      <x:c r="B214" s="32" t="n">
        <x:v>31</x:v>
      </x:c>
      <x:c r="C214" s="35" t="n">
        <x:v>0.15000000000000022</x:v>
      </x:c>
      <x:c r="D214" s="32" t="n">
        <x:v>51</x:v>
      </x:c>
      <x:c r="E214" s="32" t="n">
        <x:v>82</x:v>
      </x:c>
      <x:c r="F214" s="35" t="n">
        <x:v>0.055</x:v>
      </x:c>
      <x:c r="G214" s="35" t="n">
        <x:v>0.2050000000000002</x:v>
      </x:c>
      <x:c r="H214" s="50" t="n">
        <x:v>8.524032584503317e-8</x:v>
      </x:c>
      <x:c r="I214" s="50" t="n">
        <x:v>0.000003552280446487783</x:v>
      </x:c>
      <x:c r="J214" s="47" t="n">
        <x:v>1.619862144062587</x:v>
      </x:c>
      <x:c r="K214" s="47" t="n">
        <x:v>10.827035382764516</x:v>
      </x:c>
      <x:c r="L214" s="47" t="n">
        <x:v>0.9996902411050451</x:v>
      </x:c>
      <x:c r="M214" s="35" t="n">
        <x:v>92.36138653355592</x:v>
      </x:c>
      <x:c r="N214" s="98" t="n">
        <x:v>0.0026525268008178657</x:v>
      </x:c>
      <x:c r="O214" s="26" t="str">
        <x:v>NO</x:v>
      </x:c>
      <x:c r="P214" s="27" t="str">
        <x:v>NO</x:v>
      </x:c>
    </x:row>
    <x:row r="215">
      <x:c r="A215" s="25" t="str">
        <x:v>HP</x:v>
      </x:c>
      <x:c r="B215" s="32" t="n">
        <x:v>31</x:v>
      </x:c>
      <x:c r="C215" s="35" t="n">
        <x:v>0.1500000000000002</x:v>
      </x:c>
      <x:c r="D215" s="32" t="n">
        <x:v>52</x:v>
      </x:c>
      <x:c r="E215" s="32" t="n">
        <x:v>83</x:v>
      </x:c>
      <x:c r="F215" s="35" t="n">
        <x:v>0.06</x:v>
      </x:c>
      <x:c r="G215" s="35" t="n">
        <x:v>0.2100000000000002</x:v>
      </x:c>
      <x:c r="H215" s="50" t="n">
        <x:v>9.714281029803717e-8</x:v>
      </x:c>
      <x:c r="I215" s="50" t="n">
        <x:v>0.000003980608556354552</x:v>
      </x:c>
      <x:c r="J215" s="47" t="n">
        <x:v>1.6125388089262493</x:v>
      </x:c>
      <x:c r="K215" s="47" t="n">
        <x:v>10.778456134829732</x:v>
      </x:c>
      <x:c r="L215" s="47" t="n">
        <x:v>0.9996598296879089</x:v>
      </x:c>
      <x:c r="M215" s="35" t="n">
        <x:v>92.77766569634947</x:v>
      </x:c>
      <x:c r="N215" s="98" t="n">
        <x:v>0.0029723641019770695</x:v>
      </x:c>
      <x:c r="O215" s="26" t="str">
        <x:v>NO</x:v>
      </x:c>
      <x:c r="P215" s="27" t="str">
        <x:v>NO</x:v>
      </x:c>
    </x:row>
    <x:row r="216">
      <x:c r="A216" s="25" t="str">
        <x:v>HP</x:v>
      </x:c>
      <x:c r="B216" s="32" t="n">
        <x:v>31</x:v>
      </x:c>
      <x:c r="C216" s="35" t="n">
        <x:v>0.1500000000000002</x:v>
      </x:c>
      <x:c r="D216" s="32" t="n">
        <x:v>53</x:v>
      </x:c>
      <x:c r="E216" s="32" t="n">
        <x:v>84</x:v>
      </x:c>
      <x:c r="F216" s="35" t="n">
        <x:v>0.065</x:v>
      </x:c>
      <x:c r="G216" s="35" t="n">
        <x:v>0.2150000000000002</x:v>
      </x:c>
      <x:c r="H216" s="50" t="n">
        <x:v>1.106809819940524e-7</x:v>
      </x:c>
      <x:c r="I216" s="50" t="n">
        <x:v>0.000004456417993286887</x:v>
      </x:c>
      <x:c r="J216" s="47" t="n">
        <x:v>1.6049129154004547</x:v>
      </x:c>
      <x:c r="K216" s="47" t="n">
        <x:v>10.727819735700715</x:v>
      </x:c>
      <x:c r="L216" s="47" t="n">
        <x:v>0.9996273319121907</x:v>
      </x:c>
      <x:c r="M216" s="35" t="n">
        <x:v>93.21558570490674</x:v>
      </x:c>
      <x:c r="N216" s="98" t="n">
        <x:v>0.0033276562312325006</x:v>
      </x:c>
      <x:c r="O216" s="26" t="str">
        <x:v>NO</x:v>
      </x:c>
      <x:c r="P216" s="27" t="str">
        <x:v>NO</x:v>
      </x:c>
    </x:row>
    <x:row r="217">
      <x:c r="A217" s="25" t="str">
        <x:v>HP</x:v>
      </x:c>
      <x:c r="B217" s="32" t="n">
        <x:v>31</x:v>
      </x:c>
      <x:c r="C217" s="35" t="n">
        <x:v>0.1500000000000002</x:v>
      </x:c>
      <x:c r="D217" s="32" t="n">
        <x:v>54</x:v>
      </x:c>
      <x:c r="E217" s="32" t="n">
        <x:v>85</x:v>
      </x:c>
      <x:c r="F217" s="35" t="n">
        <x:v>0.07</x:v>
      </x:c>
      <x:c r="G217" s="35" t="n">
        <x:v>0.2200000000000002</x:v>
      </x:c>
      <x:c r="H217" s="50" t="n">
        <x:v>1.260734357078407e-7</x:v>
      </x:c>
      <x:c r="I217" s="50" t="n">
        <x:v>0.000004984327800015662</x:v>
      </x:c>
      <x:c r="J217" s="47" t="n">
        <x:v>1.5969830082316419</x:v>
      </x:c>
      <x:c r="K217" s="47" t="n">
        <x:v>10.675113364925537</x:v>
      </x:c>
      <x:c r="L217" s="47" t="n">
        <x:v>0.9995926732928341</x:v>
      </x:c>
      <x:c r="M217" s="35" t="n">
        <x:v>93.67582018244688</x:v>
      </x:c>
      <x:c r="N217" s="98" t="n">
        <x:v>0.0037218522784919893</x:v>
      </x:c>
      <x:c r="O217" s="26" t="str">
        <x:v>NO</x:v>
      </x:c>
      <x:c r="P217" s="27" t="str">
        <x:v>NO</x:v>
      </x:c>
    </x:row>
    <x:row r="218">
      <x:c r="A218" s="25" t="str">
        <x:v>HP</x:v>
      </x:c>
      <x:c r="B218" s="32" t="n">
        <x:v>31</x:v>
      </x:c>
      <x:c r="C218" s="35" t="n">
        <x:v>0.1500000000000001</x:v>
      </x:c>
      <x:c r="D218" s="32" t="n">
        <x:v>55</x:v>
      </x:c>
      <x:c r="E218" s="32" t="n">
        <x:v>86</x:v>
      </x:c>
      <x:c r="F218" s="35" t="n">
        <x:v>0.0750000000000001</x:v>
      </x:c>
      <x:c r="G218" s="35" t="n">
        <x:v>0.2250000000000002</x:v>
      </x:c>
      <x:c r="H218" s="50" t="n">
        <x:v>1.435667416938999e-7</x:v>
      </x:c>
      <x:c r="I218" s="50" t="n">
        <x:v>0.000005569311651379144</x:v>
      </x:c>
      <x:c r="J218" s="47" t="n">
        <x:v>1.5887476771166034</x:v>
      </x:c>
      <x:c r="K218" s="47" t="n">
        <x:v>10.620326319148907</x:v>
      </x:c>
      <x:c r="L218" s="47" t="n">
        <x:v>0.9995557813179275</x:v>
      </x:c>
      <x:c r="M218" s="35" t="n">
        <x:v>94.15906535724395</x:v>
      </x:c>
      <x:c r="N218" s="98" t="n">
        <x:v>0.004158666141350558</x:v>
      </x:c>
      <x:c r="O218" s="26" t="str">
        <x:v>NO</x:v>
      </x:c>
      <x:c r="P218" s="27" t="str">
        <x:v>NO</x:v>
      </x:c>
    </x:row>
    <x:row r="219">
      <x:c r="A219" s="25" t="str">
        <x:v>HP</x:v>
      </x:c>
      <x:c r="B219" s="32" t="n">
        <x:v>31</x:v>
      </x:c>
      <x:c r="C219" s="35" t="n">
        <x:v>0.1500000000000001</x:v>
      </x:c>
      <x:c r="D219" s="32" t="n">
        <x:v>56</x:v>
      </x:c>
      <x:c r="E219" s="32" t="n">
        <x:v>87</x:v>
      </x:c>
      <x:c r="F219" s="35" t="n">
        <x:v>0.0800000000000001</x:v>
      </x:c>
      <x:c r="G219" s="35" t="n">
        <x:v>0.2300000000000002</x:v>
      </x:c>
      <x:c r="H219" s="50" t="n">
        <x:v>1.634387826574535e-7</x:v>
      </x:c>
      <x:c r="I219" s="50" t="n">
        <x:v>0.00000621671073040775</x:v>
      </x:c>
      <x:c r="J219" s="47" t="n">
        <x:v>1.5802055408169995</x:v>
      </x:c>
      <x:c r="K219" s="47" t="n">
        <x:v>10.563450018377734</x:v>
      </x:c>
      <x:c r="L219" s="47" t="n">
        <x:v>0.9995165837078737</x:v>
      </x:c>
      <x:c r="M219" s="35" t="n">
        <x:v>94.66604170609533</x:v>
      </x:c>
      <x:c r="N219" s="98" t="n">
        <x:v>0.004642086139804244</x:v>
      </x:c>
      <x:c r="O219" s="26" t="str">
        <x:v>NO</x:v>
      </x:c>
      <x:c r="P219" s="27" t="str">
        <x:v>NO</x:v>
      </x:c>
    </x:row>
    <x:row r="220">
      <x:c r="A220" s="25" t="str">
        <x:v>HP</x:v>
      </x:c>
      <x:c r="B220" s="32" t="n">
        <x:v>31</x:v>
      </x:c>
      <x:c r="C220" s="35" t="n">
        <x:v>0.1500000000000001</x:v>
      </x:c>
      <x:c r="D220" s="32" t="n">
        <x:v>57</x:v>
      </x:c>
      <x:c r="E220" s="32" t="n">
        <x:v>88</x:v>
      </x:c>
      <x:c r="F220" s="35" t="n">
        <x:v>0.0850000000000001</x:v>
      </x:c>
      <x:c r="G220" s="35" t="n">
        <x:v>0.2350000000000002</x:v>
      </x:c>
      <x:c r="H220" s="50" t="n">
        <x:v>1.860024427952476e-7</x:v>
      </x:c>
      <x:c r="I220" s="50" t="n">
        <x:v>0.000006932244372969345</x:v>
      </x:c>
      <x:c r="J220" s="47" t="n">
        <x:v>1.5713552160000415</x:v>
      </x:c>
      <x:c r="K220" s="47" t="n">
        <x:v>10.504477882561078</x:v>
      </x:c>
      <x:c r="L220" s="47" t="n">
        <x:v>0.9994750059658157</x:v>
      </x:c>
      <x:c r="M220" s="35" t="n">
        <x:v>95.19749683705287</x:v>
      </x:c>
      <x:c r="N220" s="98" t="n">
        <x:v>0.005176382964723579</x:v>
      </x:c>
      <x:c r="O220" s="26" t="str">
        <x:v>NO</x:v>
      </x:c>
      <x:c r="P220" s="27" t="str">
        <x:v>NO</x:v>
      </x:c>
    </x:row>
    <x:row r="221">
      <x:c r="A221" s="25" t="str">
        <x:v>HP</x:v>
      </x:c>
      <x:c r="B221" s="32" t="n">
        <x:v>31</x:v>
      </x:c>
      <x:c r="C221" s="35" t="n">
        <x:v>0.15000000000000013</x:v>
      </x:c>
      <x:c r="D221" s="32" t="n">
        <x:v>58</x:v>
      </x:c>
      <x:c r="E221" s="32" t="n">
        <x:v>89</x:v>
      </x:c>
      <x:c r="F221" s="35" t="n">
        <x:v>0.0900000000000001</x:v>
      </x:c>
      <x:c r="G221" s="35" t="n">
        <x:v>0.2400000000000002</x:v>
      </x:c>
      <x:c r="H221" s="50" t="n">
        <x:v>2.116096777673938e-7</x:v>
      </x:c>
      <x:c r="I221" s="50" t="n">
        <x:v>0.000007722017816222098</x:v>
      </x:c>
      <x:c r="J221" s="47" t="n">
        <x:v>1.5621952734299276</x:v>
      </x:c>
      <x:c r="K221" s="47" t="n">
        <x:v>10.443405081440533</x:v>
      </x:c>
      <x:c r="L221" s="47" t="n">
        <x:v>0.9994309681656292</x:v>
      </x:c>
      <x:c r="M221" s="35" t="n">
        <x:v>95.75420968560792</x:v>
      </x:c>
      <x:c r="N221" s="98" t="n">
        <x:v>0.005766115463708394</x:v>
      </x:c>
      <x:c r="O221" s="26" t="str">
        <x:v>NO</x:v>
      </x:c>
      <x:c r="P221" s="27" t="str">
        <x:v>NO</x:v>
      </x:c>
    </x:row>
    <x:row r="222">
      <x:c r="A222" s="25" t="str">
        <x:v>HP</x:v>
      </x:c>
      <x:c r="B222" s="32" t="n">
        <x:v>31</x:v>
      </x:c>
      <x:c r="C222" s="35" t="n">
        <x:v>0.15000000000000008</x:v>
      </x:c>
      <x:c r="D222" s="32" t="n">
        <x:v>59</x:v>
      </x:c>
      <x:c r="E222" s="32" t="n">
        <x:v>90</x:v>
      </x:c>
      <x:c r="F222" s="35" t="n">
        <x:v>0.0950000000000001</x:v>
      </x:c>
      <x:c r="G222" s="35" t="n">
        <x:v>0.2450000000000002</x:v>
      </x:c>
      <x:c r="H222" s="50" t="n">
        <x:v>2.406559954042008e-7</x:v>
      </x:c>
      <x:c r="I222" s="50" t="n">
        <x:v>0.00000859252630490707</x:v>
      </x:c>
      <x:c r="J222" s="47" t="n">
        <x:v>1.5527241847268352</x:v>
      </x:c>
      <x:c r="K222" s="47" t="n">
        <x:v>10.380228164334662</x:v>
      </x:c>
      <x:c r="L222" s="47" t="n">
        <x:v>0.999384380950039</x:v>
      </x:c>
      <x:c r="M222" s="35" t="n">
        <x:v>96.33699608221441</x:v>
      </x:c>
      <x:c r="N222" s="98" t="n">
        <x:v>0.006416133707301563</x:v>
      </x:c>
      <x:c r="O222" s="26" t="str">
        <x:v>NO</x:v>
      </x:c>
      <x:c r="P222" s="27" t="str">
        <x:v>NO</x:v>
      </x:c>
    </x:row>
    <x:row r="223">
      <x:c r="A223" s="25" t="str">
        <x:v>HP</x:v>
      </x:c>
      <x:c r="B223" s="32" t="n">
        <x:v>31</x:v>
      </x:c>
      <x:c r="C223" s="35" t="n">
        <x:v>0.15000000000000013</x:v>
      </x:c>
      <x:c r="D223" s="32" t="n">
        <x:v>60</x:v>
      </x:c>
      <x:c r="E223" s="32" t="n">
        <x:v>91</x:v>
      </x:c>
      <x:c r="F223" s="35" t="n">
        <x:v>0.1000000000000001</x:v>
      </x:c>
      <x:c r="G223" s="35" t="n">
        <x:v>0.2500000000000002</x:v>
      </x:c>
      <x:c r="H223" s="50" t="n">
        <x:v>2.735853776753727e-7</x:v>
      </x:c>
      <x:c r="I223" s="50" t="n">
        <x:v>0.00000955065473933994</x:v>
      </x:c>
      <x:c r="J223" s="47" t="n">
        <x:v>1.542940263478826</x:v>
      </x:c>
      <x:c r="K223" s="47" t="n">
        <x:v>10.314944580891519</x:v>
      </x:c>
      <x:c r="L223" s="47" t="n">
        <x:v>0.999335140744967</x:v>
      </x:c>
      <x:c r="M223" s="35" t="n">
        <x:v>96.94671572472667</x:v>
      </x:c>
      <x:c r="N223" s="98" t="n">
        <x:v>0.0071315787261405595</x:v>
      </x:c>
      <x:c r="O223" s="26" t="str">
        <x:v>NO</x:v>
      </x:c>
      <x:c r="P223" s="27" t="str">
        <x:v>NO</x:v>
      </x:c>
    </x:row>
    <x:row r="224">
      <x:c r="A224" s="25" t="str">
        <x:v>HP</x:v>
      </x:c>
      <x:c r="B224" s="32" t="n">
        <x:v>31</x:v>
      </x:c>
      <x:c r="C224" s="35" t="n">
        <x:v>0.15000000000000013</x:v>
      </x:c>
      <x:c r="D224" s="32" t="n">
        <x:v>61</x:v>
      </x:c>
      <x:c r="E224" s="32" t="n">
        <x:v>92</x:v>
      </x:c>
      <x:c r="F224" s="35" t="n">
        <x:v>0.1050000000000001</x:v>
      </x:c>
      <x:c r="G224" s="35" t="n">
        <x:v>0.2550000000000002</x:v>
      </x:c>
      <x:c r="H224" s="50" t="n">
        <x:v>3.108956749076387e-7</x:v>
      </x:c>
      <x:c r="I224" s="50" t="n">
        <x:v>0.00001060367199785062</x:v>
      </x:c>
      <x:c r="J224" s="47" t="n">
        <x:v>1.5328416049845757</x:v>
      </x:c>
      <x:c r="K224" s="47" t="n">
        <x:v>10.247552108686332</x:v>
      </x:c>
      <x:c r="L224" s="47" t="n">
        <x:v>0.9992831242361031</x:v>
      </x:c>
      <x:c r="M224" s="35" t="n">
        <x:v>97.58428055733921</x:v>
      </x:c>
      <x:c r="N224" s="98" t="n">
        <x:v>0.007917878271460801</x:v>
      </x:c>
      <x:c r="O224" s="26" t="str">
        <x:v>NO</x:v>
      </x:c>
      <x:c r="P224" s="27" t="str">
        <x:v>NO</x:v>
      </x:c>
    </x:row>
    <x:row r="225">
      <x:c r="A225" s="25" t="str">
        <x:v>HP</x:v>
      </x:c>
      <x:c r="B225" s="32" t="n">
        <x:v>31</x:v>
      </x:c>
      <x:c r="C225" s="35" t="n">
        <x:v>0.15000000000000008</x:v>
      </x:c>
      <x:c r="D225" s="32" t="n">
        <x:v>62</x:v>
      </x:c>
      <x:c r="E225" s="32" t="n">
        <x:v>93</x:v>
      </x:c>
      <x:c r="F225" s="35" t="n">
        <x:v>0.1100000000000001</x:v>
      </x:c>
      <x:c r="G225" s="35" t="n">
        <x:v>0.2600000000000002</x:v>
      </x:c>
      <x:c r="H225" s="50" t="n">
        <x:v>3.531445033858148e-7</x:v>
      </x:c>
      <x:c r="I225" s="50" t="n">
        <x:v>0.00001175921904331462</x:v>
      </x:c>
      <x:c r="J225" s="47" t="n">
        <x:v>1.5224260292614282</x:v>
      </x:c>
      <x:c r="K225" s="47" t="n">
        <x:v>10.178048208621044</x:v>
      </x:c>
      <x:c r="L225" s="47" t="n">
        <x:v>0.9992281821984212</x:v>
      </x:c>
      <x:c r="M225" s="35" t="n">
        <x:v>98.25066451866249</x:v>
      </x:c>
      <x:c r="N225" s="98" t="n">
        <x:v>0.008780737934112074</x:v>
      </x:c>
      <x:c r="O225" s="26" t="str">
        <x:v>NO</x:v>
      </x:c>
      <x:c r="P225" s="27" t="str">
        <x:v>NO</x:v>
      </x:c>
    </x:row>
    <x:row r="226">
      <x:c r="A226" s="25" t="str">
        <x:v>HP</x:v>
      </x:c>
      <x:c r="B226" s="32" t="n">
        <x:v>31</x:v>
      </x:c>
      <x:c r="C226" s="35" t="n">
        <x:v>0.15000000000000008</x:v>
      </x:c>
      <x:c r="D226" s="32" t="n">
        <x:v>63</x:v>
      </x:c>
      <x:c r="E226" s="32" t="n">
        <x:v>94</x:v>
      </x:c>
      <x:c r="F226" s="35" t="n">
        <x:v>0.1150000000000001</x:v>
      </x:c>
      <x:c r="G226" s="35" t="n">
        <x:v>0.2650000000000002</x:v>
      </x:c>
      <x:c r="H226" s="50" t="n">
        <x:v>4.009556772627965e-7</x:v>
      </x:c>
      <x:c r="I226" s="50" t="n">
        <x:v>0.00001302528993774698</x:v>
      </x:c>
      <x:c r="J226" s="47" t="n">
        <x:v>1.5116910321271027</x:v>
      </x:c>
      <x:c r="K226" s="47" t="n">
        <x:v>10.106429334101925</x:v>
      </x:c>
      <x:c r="L226" s="47" t="n">
        <x:v>0.9991701328169512</x:v>
      </x:c>
      <x:c r="M226" s="35" t="n">
        <x:v>98.94691457701285</x:v>
      </x:c>
      <x:c r="N226" s="98" t="n">
        <x:v>0.009726126967947422</x:v>
      </x:c>
      <x:c r="O226" s="26" t="str">
        <x:v>NO</x:v>
      </x:c>
      <x:c r="P226" s="27" t="str">
        <x:v>YES</x:v>
      </x:c>
    </x:row>
    <x:row r="227">
      <x:c r="A227" s="25" t="str">
        <x:v>HP</x:v>
      </x:c>
      <x:c r="B227" s="32" t="n">
        <x:v>41</x:v>
      </x:c>
      <x:c r="C227" s="35" t="n">
        <x:v>0.20000000000000012</x:v>
      </x:c>
      <x:c r="D227" s="32" t="n">
        <x:v>0</x:v>
      </x:c>
      <x:c r="E227" s="32" t="n">
        <x:v>41</x:v>
      </x:c>
      <x:c r="F227" s="35" t="n">
        <x:v>-0.2</x:v>
      </x:c>
      <x:c r="G227" s="35" t="n">
        <x:v>9.887923813067799e-17</x:v>
      </x:c>
      <x:c r="H227" s="50" t="n">
        <x:v>4.9668355471382e-10</x:v>
      </x:c>
      <x:c r="I227" s="50" t="n">
        <x:v>2.0044996539171842e-8</x:v>
      </x:c>
      <x:c r="J227" s="47" t="n">
        <x:v>1.6059262049432528</x:v>
      </x:c>
      <x:c r="K227" s="47" t="n">
        <x:v>8.586409572306634</x:v>
      </x:c>
      <x:c r="L227" s="47" t="n">
        <x:v>0.9653309747406851</x:v>
      </x:c>
      <x:c r="M227" s="35" t="n">
        <x:v>116.46311436450175</x:v>
      </x:c>
      <x:c r="N227" s="98" t="n">
        <x:v>0.000014967818938683434</x:v>
      </x:c>
      <x:c r="O227" s="26" t="str">
        <x:v>YES</x:v>
      </x:c>
      <x:c r="P227" s="27" t="str">
        <x:v>NO</x:v>
      </x:c>
    </x:row>
    <x:row r="228">
      <x:c r="A228" s="25" t="str">
        <x:v>HP</x:v>
      </x:c>
      <x:c r="B228" s="32" t="n">
        <x:v>41</x:v>
      </x:c>
      <x:c r="C228" s="35" t="n">
        <x:v>0.2</x:v>
      </x:c>
      <x:c r="D228" s="32" t="n">
        <x:v>1</x:v>
      </x:c>
      <x:c r="E228" s="32" t="n">
        <x:v>42</x:v>
      </x:c>
      <x:c r="F228" s="35" t="n">
        <x:v>-0.195</x:v>
      </x:c>
      <x:c r="G228" s="35" t="n">
        <x:v>0.005</x:v>
      </x:c>
      <x:c r="H228" s="50" t="n">
        <x:v>4.9668355471382e-10</x:v>
      </x:c>
      <x:c r="I228" s="50" t="n">
        <x:v>2.287108290455236e-8</x:v>
      </x:c>
      <x:c r="J228" s="47" t="n">
        <x:v>1.6632069474934532</x:v>
      </x:c>
      <x:c r="K228" s="47" t="n">
        <x:v>8.881514467227724</x:v>
      </x:c>
      <x:c r="L228" s="47" t="n">
        <x:v>0.972179572119104</x:v>
      </x:c>
      <x:c r="M228" s="35" t="n">
        <x:v>112.59341001919687</x:v>
      </x:c>
      <x:c r="N228" s="98" t="n">
        <x:v>0.00001707808864810615</x:v>
      </x:c>
      <x:c r="O228" s="26" t="str">
        <x:v>NO</x:v>
      </x:c>
      <x:c r="P228" s="27" t="str">
        <x:v>NO</x:v>
      </x:c>
    </x:row>
    <x:row r="229">
      <x:c r="A229" s="25" t="str">
        <x:v>HP</x:v>
      </x:c>
      <x:c r="B229" s="32" t="n">
        <x:v>41</x:v>
      </x:c>
      <x:c r="C229" s="35" t="n">
        <x:v>0.2000000000000001</x:v>
      </x:c>
      <x:c r="D229" s="32" t="n">
        <x:v>2</x:v>
      </x:c>
      <x:c r="E229" s="32" t="n">
        <x:v>43</x:v>
      </x:c>
      <x:c r="F229" s="35" t="n">
        <x:v>-0.19</x:v>
      </x:c>
      <x:c r="G229" s="35" t="n">
        <x:v>0.0100000000000001</x:v>
      </x:c>
      <x:c r="H229" s="50" t="n">
        <x:v>4.9668355471382e-10</x:v>
      </x:c>
      <x:c r="I229" s="50" t="n">
        <x:v>2.6096169728378883e-8</x:v>
      </x:c>
      <x:c r="J229" s="47" t="n">
        <x:v>1.720496987677178</x:v>
      </x:c>
      <x:c r="K229" s="47" t="n">
        <x:v>9.154245329358218</x:v>
      </x:c>
      <x:c r="L229" s="47" t="n">
        <x:v>0.9777059749623392</x:v>
      </x:c>
      <x:c r="M229" s="35" t="n">
        <x:v>109.23893385213738</x:v>
      </x:c>
      <x:c r="N229" s="98" t="n">
        <x:v>0.000019486296379458715</x:v>
      </x:c>
      <x:c r="O229" s="26" t="str">
        <x:v>NO</x:v>
      </x:c>
      <x:c r="P229" s="27" t="str">
        <x:v>NO</x:v>
      </x:c>
    </x:row>
    <x:row r="230">
      <x:c r="A230" s="25" t="str">
        <x:v>HP</x:v>
      </x:c>
      <x:c r="B230" s="32" t="n">
        <x:v>41</x:v>
      </x:c>
      <x:c r="C230" s="35" t="n">
        <x:v>0.2000000000000001</x:v>
      </x:c>
      <x:c r="D230" s="32" t="n">
        <x:v>3</x:v>
      </x:c>
      <x:c r="E230" s="32" t="n">
        <x:v>44</x:v>
      </x:c>
      <x:c r="F230" s="35" t="n">
        <x:v>-0.185</x:v>
      </x:c>
      <x:c r="G230" s="35" t="n">
        <x:v>0.0150000000000001</x:v>
      </x:c>
      <x:c r="H230" s="50" t="n">
        <x:v>4.990330642746987e-10</x:v>
      </x:c>
      <x:c r="I230" s="50" t="n">
        <x:v>2.9775727179494693e-8</x:v>
      </x:c>
      <x:c r="J230" s="47" t="n">
        <x:v>1.7757330550880486</x:v>
      </x:c>
      <x:c r="K230" s="47" t="n">
        <x:v>9.40552476254007</x:v>
      </x:c>
      <x:c r="L230" s="47" t="n">
        <x:v>0.9821759273028491</x:v>
      </x:c>
      <x:c r="M230" s="35" t="n">
        <x:v>106.3204898447302</x:v>
      </x:c>
      <x:c r="N230" s="98" t="n">
        <x:v>0.00002223386231668189</x:v>
      </x:c>
      <x:c r="O230" s="26" t="str">
        <x:v>NO</x:v>
      </x:c>
      <x:c r="P230" s="27" t="str">
        <x:v>NO</x:v>
      </x:c>
    </x:row>
    <x:row r="231">
      <x:c r="A231" s="25" t="str">
        <x:v>HP</x:v>
      </x:c>
      <x:c r="B231" s="32" t="n">
        <x:v>41</x:v>
      </x:c>
      <x:c r="C231" s="35" t="n">
        <x:v>0.2000000000000001</x:v>
      </x:c>
      <x:c r="D231" s="32" t="n">
        <x:v>4</x:v>
      </x:c>
      <x:c r="E231" s="32" t="n">
        <x:v>45</x:v>
      </x:c>
      <x:c r="F231" s="35" t="n">
        <x:v>-0.18</x:v>
      </x:c>
      <x:c r="G231" s="35" t="n">
        <x:v>0.0200000000000001</x:v>
      </x:c>
      <x:c r="H231" s="50" t="n">
        <x:v>5.05913562123524e-10</x:v>
      </x:c>
      <x:c r="I231" s="50" t="n">
        <x:v>3.397277284792525e-8</x:v>
      </x:c>
      <x:c r="J231" s="47" t="n">
        <x:v>1.8270546735256055</x:v>
      </x:c>
      <x:c r="K231" s="47" t="n">
        <x:v>9.636268660393396</x:v>
      </x:c>
      <x:c r="L231" s="47" t="n">
        <x:v>0.985795483233482</x:v>
      </x:c>
      <x:c r="M231" s="35" t="n">
        <x:v>103.77460770787346</x:v>
      </x:c>
      <x:c r="N231" s="98" t="n">
        <x:v>0.000025367842385957054</x:v>
      </x:c>
      <x:c r="O231" s="26" t="str">
        <x:v>NO</x:v>
      </x:c>
      <x:c r="P231" s="27" t="str">
        <x:v>NO</x:v>
      </x:c>
    </x:row>
    <x:row r="232">
      <x:c r="A232" s="25" t="str">
        <x:v>HP</x:v>
      </x:c>
      <x:c r="B232" s="32" t="n">
        <x:v>41</x:v>
      </x:c>
      <x:c r="C232" s="35" t="n">
        <x:v>0.2000000000000001</x:v>
      </x:c>
      <x:c r="D232" s="32" t="n">
        <x:v>5</x:v>
      </x:c>
      <x:c r="E232" s="32" t="n">
        <x:v>46</x:v>
      </x:c>
      <x:c r="F232" s="35" t="n">
        <x:v>-0.175</x:v>
      </x:c>
      <x:c r="G232" s="35" t="n">
        <x:v>0.0250000000000001</x:v>
      </x:c>
      <x:c r="H232" s="50" t="n">
        <x:v>5.172951347963915e-10</x:v>
      </x:c>
      <x:c r="I232" s="50" t="n">
        <x:v>3.8758863913740275e-8</x:v>
      </x:c>
      <x:c r="J232" s="47" t="n">
        <x:v>1.8746326448246693</x:v>
      </x:c>
      <x:c r="K232" s="47" t="n">
        <x:v>9.847384899701561</x:v>
      </x:c>
      <x:c r="L232" s="47" t="n">
        <x:v>0.9887260190190897</x:v>
      </x:c>
      <x:c r="M232" s="35" t="n">
        <x:v>101.54980334223622</x:v>
      </x:c>
      <x:c r="N232" s="98" t="n">
        <x:v>0.000028941669119086008</x:v>
      </x:c>
      <x:c r="O232" s="26" t="str">
        <x:v>NO</x:v>
      </x:c>
      <x:c r="P232" s="27" t="str">
        <x:v>NO</x:v>
      </x:c>
    </x:row>
    <x:row r="233">
      <x:c r="A233" s="25" t="str">
        <x:v>HP</x:v>
      </x:c>
      <x:c r="B233" s="32" t="n">
        <x:v>41</x:v>
      </x:c>
      <x:c r="C233" s="35" t="n">
        <x:v>0.20000000000000012</x:v>
      </x:c>
      <x:c r="D233" s="32" t="n">
        <x:v>6</x:v>
      </x:c>
      <x:c r="E233" s="32" t="n">
        <x:v>47</x:v>
      </x:c>
      <x:c r="F233" s="35" t="n">
        <x:v>-0.17</x:v>
      </x:c>
      <x:c r="G233" s="35" t="n">
        <x:v>0.0300000000000001</x:v>
      </x:c>
      <x:c r="H233" s="50" t="n">
        <x:v>5.33272245024237e-10</x:v>
      </x:c>
      <x:c r="I233" s="50" t="n">
        <x:v>4.4215212590877827e-8</x:v>
      </x:c>
      <x:c r="J233" s="47" t="n">
        <x:v>1.9186227367391453</x:v>
      </x:c>
      <x:c r="K233" s="47" t="n">
        <x:v>10.039777179871978</x:v>
      </x:c>
      <x:c r="L233" s="47" t="n">
        <x:v>0.9910953692607012</x:v>
      </x:c>
      <x:c r="M233" s="35" t="n">
        <x:v>99.60380415661292</x:v>
      </x:c>
      <x:c r="N233" s="98" t="n">
        <x:v>0.00003301598456763803</x:v>
      </x:c>
      <x:c r="O233" s="26" t="str">
        <x:v>NO</x:v>
      </x:c>
      <x:c r="P233" s="27" t="str">
        <x:v>NO</x:v>
      </x:c>
    </x:row>
    <x:row r="234">
      <x:c r="A234" s="25" t="str">
        <x:v>HP</x:v>
      </x:c>
      <x:c r="B234" s="32" t="n">
        <x:v>41</x:v>
      </x:c>
      <x:c r="C234" s="35" t="n">
        <x:v>0.20000000000000012</x:v>
      </x:c>
      <x:c r="D234" s="32" t="n">
        <x:v>7</x:v>
      </x:c>
      <x:c r="E234" s="32" t="n">
        <x:v>48</x:v>
      </x:c>
      <x:c r="F234" s="35" t="n">
        <x:v>-0.165</x:v>
      </x:c>
      <x:c r="G234" s="35" t="n">
        <x:v>0.0350000000000001</x:v>
      </x:c>
      <x:c r="H234" s="50" t="n">
        <x:v>5.540595432906032e-10</x:v>
      </x:c>
      <x:c r="I234" s="50" t="n">
        <x:v>5.043393871940648e-8</x:v>
      </x:c>
      <x:c r="J234" s="47" t="n">
        <x:v>1.9591664467106389</x:v>
      </x:c>
      <x:c r="K234" s="47" t="n">
        <x:v>10.21435107605598</x:v>
      </x:c>
      <x:c r="L234" s="47" t="n">
        <x:v>0.9930060180047682</x:v>
      </x:c>
      <x:c r="M234" s="35" t="n">
        <x:v>97.90147142525332</x:v>
      </x:c>
      <x:c r="N234" s="98" t="n">
        <x:v>0.000037659575627341074</x:v>
      </x:c>
      <x:c r="O234" s="26" t="str">
        <x:v>NO</x:v>
      </x:c>
      <x:c r="P234" s="27" t="str">
        <x:v>NO</x:v>
      </x:c>
    </x:row>
    <x:row r="235">
      <x:c r="A235" s="25" t="str">
        <x:v>HP</x:v>
      </x:c>
      <x:c r="B235" s="32" t="n">
        <x:v>41</x:v>
      </x:c>
      <x:c r="C235" s="35" t="n">
        <x:v>0.2000000000000001</x:v>
      </x:c>
      <x:c r="D235" s="32" t="n">
        <x:v>8</x:v>
      </x:c>
      <x:c r="E235" s="32" t="n">
        <x:v>49</x:v>
      </x:c>
      <x:c r="F235" s="35" t="n">
        <x:v>-0.16</x:v>
      </x:c>
      <x:c r="G235" s="35" t="n">
        <x:v>0.0400000000000001</x:v>
      </x:c>
      <x:c r="H235" s="50" t="n">
        <x:v>5.799903253714522e-10</x:v>
      </x:c>
      <x:c r="I235" s="50" t="n">
        <x:v>5.751947465615888e-8</x:v>
      </x:c>
      <x:c r="J235" s="47" t="n">
        <x:v>1.9963941615424847</x:v>
      </x:c>
      <x:c r="K235" s="47" t="n">
        <x:v>10.37201985798932</x:v>
      </x:c>
      <x:c r="L235" s="47" t="n">
        <x:v>0.9945410779970333</x:v>
      </x:c>
      <x:c r="M235" s="35" t="n">
        <x:v>96.4132361576346</x:v>
      </x:c>
      <x:c r="N235" s="98" t="n">
        <x:v>0.000042950423085338506</x:v>
      </x:c>
      <x:c r="O235" s="26" t="str">
        <x:v>NO</x:v>
      </x:c>
      <x:c r="P235" s="27" t="str">
        <x:v>NO</x:v>
      </x:c>
    </x:row>
    <x:row r="236">
      <x:c r="A236" s="25" t="str">
        <x:v>HP</x:v>
      </x:c>
      <x:c r="B236" s="32" t="n">
        <x:v>41</x:v>
      </x:c>
      <x:c r="C236" s="35" t="n">
        <x:v>0.2000000000000001</x:v>
      </x:c>
      <x:c r="D236" s="32" t="n">
        <x:v>9</x:v>
      </x:c>
      <x:c r="E236" s="32" t="n">
        <x:v>50</x:v>
      </x:c>
      <x:c r="F236" s="35" t="n">
        <x:v>-0.155</x:v>
      </x:c>
      <x:c r="G236" s="35" t="n">
        <x:v>0.0450000000000001</x:v>
      </x:c>
      <x:c r="H236" s="50" t="n">
        <x:v>6.11517628490725e-10</x:v>
      </x:c>
      <x:c r="I236" s="50" t="n">
        <x:v>6.559013895214705e-8</x:v>
      </x:c>
      <x:c r="J236" s="47" t="n">
        <x:v>2.0304295697991472</x:v>
      </x:c>
      <x:c r="K236" s="47" t="n">
        <x:v>10.513708320504337</x:v>
      </x:c>
      <x:c r="L236" s="47" t="n">
        <x:v>0.9957686321868454</x:v>
      </x:c>
      <x:c r="M236" s="35" t="n">
        <x:v>95.11391884914214</x:v>
      </x:c>
      <x:c r="N236" s="98" t="n">
        <x:v>0.000048976876702388556</x:v>
      </x:c>
      <x:c r="O236" s="26" t="str">
        <x:v>NO</x:v>
      </x:c>
      <x:c r="P236" s="27" t="str">
        <x:v>NO</x:v>
      </x:c>
    </x:row>
    <x:row r="237">
      <x:c r="A237" s="25" t="str">
        <x:v>HP</x:v>
      </x:c>
      <x:c r="B237" s="32" t="n">
        <x:v>41</x:v>
      </x:c>
      <x:c r="C237" s="35" t="n">
        <x:v>0.2</x:v>
      </x:c>
      <x:c r="D237" s="32" t="n">
        <x:v>10</x:v>
      </x:c>
      <x:c r="E237" s="32" t="n">
        <x:v>51</x:v>
      </x:c>
      <x:c r="F237" s="35" t="n">
        <x:v>-0.15</x:v>
      </x:c>
      <x:c r="G237" s="35" t="n">
        <x:v>0.05</x:v>
      </x:c>
      <x:c r="H237" s="50" t="n">
        <x:v>6.492179884146697e-10</x:v>
      </x:c>
      <x:c r="I237" s="50" t="n">
        <x:v>7.477989669704965e-8</x:v>
      </x:c>
      <x:c r="J237" s="47" t="n">
        <x:v>2.0613943161986903</x:v>
      </x:c>
      <x:c r="K237" s="47" t="n">
        <x:v>10.640353621544849</x:v>
      </x:c>
      <x:c r="L237" s="47" t="n">
        <x:v>0.9967448832521224</x:v>
      </x:c>
      <x:c r="M237" s="35" t="n">
        <x:v>93.98183890948657</x:v>
      </x:c>
      <x:c r="N237" s="98" t="n">
        <x:v>0.000055838969681415265</x:v>
      </x:c>
      <x:c r="O237" s="26" t="str">
        <x:v>NO</x:v>
      </x:c>
      <x:c r="P237" s="27" t="str">
        <x:v>NO</x:v>
      </x:c>
    </x:row>
    <x:row r="238">
      <x:c r="A238" s="25" t="str">
        <x:v>HP</x:v>
      </x:c>
      <x:c r="B238" s="32" t="n">
        <x:v>41</x:v>
      </x:c>
      <x:c r="C238" s="35" t="n">
        <x:v>0.19999999999999998</x:v>
      </x:c>
      <x:c r="D238" s="32" t="n">
        <x:v>11</x:v>
      </x:c>
      <x:c r="E238" s="32" t="n">
        <x:v>52</x:v>
      </x:c>
      <x:c r="F238" s="35" t="n">
        <x:v>-0.145</x:v>
      </x:c>
      <x:c r="G238" s="35" t="n">
        <x:v>0.055</x:v>
      </x:c>
      <x:c r="H238" s="50" t="n">
        <x:v>6.93797913027349e-10</x:v>
      </x:c>
      <x:c r="I238" s="50" t="n">
        <x:v>8.524032584503317e-8</x:v>
      </x:c>
      <x:c r="J238" s="47" t="n">
        <x:v>2.089412112074406</x:v>
      </x:c>
      <x:c r="K238" s="47" t="n">
        <x:v>10.75290281669354</x:v>
      </x:c>
      <x:c r="L238" s="47" t="n">
        <x:v>0.9975164526836561</x:v>
      </x:c>
      <x:c r="M238" s="35" t="n">
        <x:v>92.99814357547542</x:v>
      </x:c>
      <x:c r="N238" s="98" t="n">
        <x:v>0.00006364988694458246</x:v>
      </x:c>
      <x:c r="O238" s="26" t="str">
        <x:v>NO</x:v>
      </x:c>
      <x:c r="P238" s="27" t="str">
        <x:v>NO</x:v>
      </x:c>
    </x:row>
    <x:row r="239">
      <x:c r="A239" s="25" t="str">
        <x:v>HP</x:v>
      </x:c>
      <x:c r="B239" s="32" t="n">
        <x:v>41</x:v>
      </x:c>
      <x:c r="C239" s="35" t="n">
        <x:v>0.2</x:v>
      </x:c>
      <x:c r="D239" s="32" t="n">
        <x:v>12</x:v>
      </x:c>
      <x:c r="E239" s="32" t="n">
        <x:v>53</x:v>
      </x:c>
      <x:c r="F239" s="35" t="n">
        <x:v>-0.14</x:v>
      </x:c>
      <x:c r="G239" s="35" t="n">
        <x:v>0.06</x:v>
      </x:c>
      <x:c r="H239" s="50" t="n">
        <x:v>7.461031649478636e-10</x:v>
      </x:c>
      <x:c r="I239" s="50" t="n">
        <x:v>9.714281029803717e-8</x:v>
      </x:c>
      <x:c r="J239" s="47" t="n">
        <x:v>2.1146117810057685</x:v>
      </x:c>
      <x:c r="K239" s="47" t="n">
        <x:v>10.852307343487976</x:v>
      </x:c>
      <x:c r="L239" s="47" t="n">
        <x:v>0.9981220859581806</x:v>
      </x:c>
      <x:c r="M239" s="35" t="n">
        <x:v>92.14630293345488</x:v>
      </x:c>
      <x:c r="N239" s="98" t="n">
        <x:v>0.00007253760273265507</x:v>
      </x:c>
      <x:c r="O239" s="26" t="str">
        <x:v>NO</x:v>
      </x:c>
      <x:c r="P239" s="27" t="str">
        <x:v>NO</x:v>
      </x:c>
    </x:row>
    <x:row r="240">
      <x:c r="A240" s="25" t="str">
        <x:v>HP</x:v>
      </x:c>
      <x:c r="B240" s="32" t="n">
        <x:v>41</x:v>
      </x:c>
      <x:c r="C240" s="35" t="n">
        <x:v>0.2</x:v>
      </x:c>
      <x:c r="D240" s="32" t="n">
        <x:v>13</x:v>
      </x:c>
      <x:c r="E240" s="32" t="n">
        <x:v>54</x:v>
      </x:c>
      <x:c r="F240" s="35" t="n">
        <x:v>-0.135</x:v>
      </x:c>
      <x:c r="G240" s="35" t="n">
        <x:v>0.065</x:v>
      </x:c>
      <x:c r="H240" s="50" t="n">
        <x:v>8.071309868639366e-10</x:v>
      </x:c>
      <x:c r="I240" s="50" t="n">
        <x:v>1.106809819940524e-7</x:v>
      </x:c>
      <x:c r="J240" s="47" t="n">
        <x:v>2.1371289828847697</x:v>
      </x:c>
      <x:c r="K240" s="47" t="n">
        <x:v>10.939515106857598</x:v>
      </x:c>
      <x:c r="L240" s="47" t="n">
        <x:v>0.998593951247608</x:v>
      </x:c>
      <x:c r="M240" s="35" t="n">
        <x:v>91.4117298830855</x:v>
      </x:c>
      <x:c r="N240" s="98" t="n">
        <x:v>0.0000826467041391219</x:v>
      </x:c>
      <x:c r="O240" s="26" t="str">
        <x:v>NO</x:v>
      </x:c>
      <x:c r="P240" s="27" t="str">
        <x:v>NO</x:v>
      </x:c>
    </x:row>
    <x:row r="241">
      <x:c r="A241" s="25" t="str">
        <x:v>HP</x:v>
      </x:c>
      <x:c r="B241" s="32" t="n">
        <x:v>41</x:v>
      </x:c>
      <x:c r="C241" s="35" t="n">
        <x:v>0.1999999999999999</x:v>
      </x:c>
      <x:c r="D241" s="32" t="n">
        <x:v>14</x:v>
      </x:c>
      <x:c r="E241" s="32" t="n">
        <x:v>55</x:v>
      </x:c>
      <x:c r="F241" s="35" t="n">
        <x:v>-0.1299999999999999</x:v>
      </x:c>
      <x:c r="G241" s="35" t="n">
        <x:v>0.07</x:v>
      </x:c>
      <x:c r="H241" s="50" t="n">
        <x:v>8.78045448843836e-10</x:v>
      </x:c>
      <x:c r="I241" s="50" t="n">
        <x:v>1.260734357078407e-7</x:v>
      </x:c>
      <x:c r="J241" s="47" t="n">
        <x:v>2.157106592062311</x:v>
      </x:c>
      <x:c r="K241" s="47" t="n">
        <x:v>11.015461040223569</x:v>
      </x:c>
      <x:c r="L241" s="47" t="n">
        <x:v>0.9989586637945238</x:v>
      </x:c>
      <x:c r="M241" s="35" t="n">
        <x:v>90.78149306220088</x:v>
      </x:c>
      <x:c r="N241" s="98" t="n">
        <x:v>0.00009414041828169201</x:v>
      </x:c>
      <x:c r="O241" s="26" t="str">
        <x:v>NO</x:v>
      </x:c>
      <x:c r="P241" s="27" t="str">
        <x:v>NO</x:v>
      </x:c>
    </x:row>
    <x:row r="242">
      <x:c r="A242" s="25" t="str">
        <x:v>HP</x:v>
      </x:c>
      <x:c r="B242" s="32" t="n">
        <x:v>41</x:v>
      </x:c>
      <x:c r="C242" s="35" t="n">
        <x:v>0.2</x:v>
      </x:c>
      <x:c r="D242" s="32" t="n">
        <x:v>15</x:v>
      </x:c>
      <x:c r="E242" s="32" t="n">
        <x:v>56</x:v>
      </x:c>
      <x:c r="F242" s="35" t="n">
        <x:v>-0.1249999999999999</x:v>
      </x:c>
      <x:c r="G242" s="35" t="n">
        <x:v>0.0750000000000001</x:v>
      </x:c>
      <x:c r="H242" s="50" t="n">
        <x:v>9.601961473783615e-10</x:v>
      </x:c>
      <x:c r="I242" s="50" t="n">
        <x:v>1.435667416938999e-7</x:v>
      </x:c>
      <x:c r="J242" s="47" t="n">
        <x:v>2.1746938848981907</x:v>
      </x:c>
      <x:c r="K242" s="47" t="n">
        <x:v>11.081057079198303</x:v>
      </x:c>
      <x:c r="L242" s="47" t="n">
        <x:v>0.9992381249914076</x:v>
      </x:c>
      <x:c r="M242" s="35" t="n">
        <x:v>90.24409790986732</x:v>
      </x:c>
      <x:c r="N242" s="98" t="n">
        <x:v>0.00010720286187586482</x:v>
      </x:c>
      <x:c r="O242" s="26" t="str">
        <x:v>NO</x:v>
      </x:c>
      <x:c r="P242" s="27" t="str">
        <x:v>NO</x:v>
      </x:c>
    </x:row>
    <x:row r="243">
      <x:c r="A243" s="25" t="str">
        <x:v>HP</x:v>
      </x:c>
      <x:c r="B243" s="32" t="n">
        <x:v>41</x:v>
      </x:c>
      <x:c r="C243" s="35" t="n">
        <x:v>0.2</x:v>
      </x:c>
      <x:c r="D243" s="32" t="n">
        <x:v>16</x:v>
      </x:c>
      <x:c r="E243" s="32" t="n">
        <x:v>57</x:v>
      </x:c>
      <x:c r="F243" s="35" t="n">
        <x:v>-0.1199999999999999</x:v>
      </x:c>
      <x:c r="G243" s="35" t="n">
        <x:v>0.0800000000000001</x:v>
      </x:c>
      <x:c r="H243" s="50" t="n">
        <x:v>1.055140541806699e-9</x:v>
      </x:c>
      <x:c r="I243" s="50" t="n">
        <x:v>1.634387826574535e-7</x:v>
      </x:c>
      <x:c r="J243" s="47" t="n">
        <x:v>2.190044808564582</x:v>
      </x:c>
      <x:c r="K243" s="47" t="n">
        <x:v>11.137182416824258</x:v>
      </x:c>
      <x:c r="L243" s="47" t="n">
        <x:v>0.9994502329793654</x:v>
      </x:c>
      <x:c r="M243" s="35" t="n">
        <x:v>89.78931677453369</x:v>
      </x:c>
      <x:c r="N243" s="98" t="n">
        <x:v>0.00012204153298779603</x:v>
      </x:c>
      <x:c r="O243" s="26" t="str">
        <x:v>NO</x:v>
      </x:c>
      <x:c r="P243" s="27" t="str">
        <x:v>NO</x:v>
      </x:c>
    </x:row>
    <x:row r="244">
      <x:c r="A244" s="25" t="str">
        <x:v>HP</x:v>
      </x:c>
      <x:c r="B244" s="32" t="n">
        <x:v>41</x:v>
      </x:c>
      <x:c r="C244" s="35" t="n">
        <x:v>0.2</x:v>
      </x:c>
      <x:c r="D244" s="32" t="n">
        <x:v>17</x:v>
      </x:c>
      <x:c r="E244" s="32" t="n">
        <x:v>58</x:v>
      </x:c>
      <x:c r="F244" s="35" t="n">
        <x:v>-0.1149999999999999</x:v>
      </x:c>
      <x:c r="G244" s="35" t="n">
        <x:v>0.0850000000000001</x:v>
      </x:c>
      <x:c r="H244" s="50" t="n">
        <x:v>1.16467027569472e-9</x:v>
      </x:c>
      <x:c r="I244" s="50" t="n">
        <x:v>1.860024427952476e-7</x:v>
      </x:c>
      <x:c r="J244" s="47" t="n">
        <x:v>2.2033156562019496</x:v>
      </x:c>
      <x:c r="K244" s="47" t="n">
        <x:v>11.184674750830576</x:v>
      </x:c>
      <x:c r="L244" s="47" t="n">
        <x:v>0.9996094987870653</x:v>
      </x:c>
      <x:c r="M244" s="35" t="n">
        <x:v>89.40805363390115</x:v>
      </x:c>
      <x:c r="N244" s="98" t="n">
        <x:v>0.00013889006568155345</x:v>
      </x:c>
      <x:c r="O244" s="26" t="str">
        <x:v>NO</x:v>
      </x:c>
      <x:c r="P244" s="27" t="str">
        <x:v>NO</x:v>
      </x:c>
    </x:row>
    <x:row r="245">
      <x:c r="A245" s="25" t="str">
        <x:v>HP</x:v>
      </x:c>
      <x:c r="B245" s="32" t="n">
        <x:v>41</x:v>
      </x:c>
      <x:c r="C245" s="35" t="n">
        <x:v>0.2</x:v>
      </x:c>
      <x:c r="D245" s="32" t="n">
        <x:v>18</x:v>
      </x:c>
      <x:c r="E245" s="32" t="n">
        <x:v>59</x:v>
      </x:c>
      <x:c r="F245" s="35" t="n">
        <x:v>-0.1099999999999999</x:v>
      </x:c>
      <x:c r="G245" s="35" t="n">
        <x:v>0.0900000000000001</x:v>
      </x:c>
      <x:c r="H245" s="50" t="n">
        <x:v>1.290841899359029e-9</x:v>
      </x:c>
      <x:c r="I245" s="50" t="n">
        <x:v>2.116096777673938e-7</x:v>
      </x:c>
      <x:c r="J245" s="47" t="n">
        <x:v>2.21466247216357</x:v>
      </x:c>
      <x:c r="K245" s="47" t="n">
        <x:v>11.224323026675343</x:v>
      </x:c>
      <x:c r="L245" s="47" t="n">
        <x:v>0.9997275870357989</x:v>
      </x:c>
      <x:c r="M245" s="35" t="n">
        <x:v>89.09223278975793</x:v>
      </x:c>
      <x:c r="N245" s="98" t="n">
        <x:v>0.00015801126911176578</x:v>
      </x:c>
      <x:c r="O245" s="26" t="str">
        <x:v>NO</x:v>
      </x:c>
      <x:c r="P245" s="27" t="str">
        <x:v>NO</x:v>
      </x:c>
    </x:row>
    <x:row r="246">
      <x:c r="A246" s="25" t="str">
        <x:v>HP</x:v>
      </x:c>
      <x:c r="B246" s="32" t="n">
        <x:v>41</x:v>
      </x:c>
      <x:c r="C246" s="35" t="n">
        <x:v>0.2</x:v>
      </x:c>
      <x:c r="D246" s="32" t="n">
        <x:v>19</x:v>
      </x:c>
      <x:c r="E246" s="32" t="n">
        <x:v>60</x:v>
      </x:c>
      <x:c r="F246" s="35" t="n">
        <x:v>-0.1049999999999999</x:v>
      </x:c>
      <x:c r="G246" s="35" t="n">
        <x:v>0.0950000000000001</x:v>
      </x:c>
      <x:c r="H246" s="50" t="n">
        <x:v>1.436012485864877e-9</x:v>
      </x:c>
      <x:c r="I246" s="50" t="n">
        <x:v>2.406559954042008e-7</x:v>
      </x:c>
      <x:c r="J246" s="47" t="n">
        <x:v>2.224238469587333</x:v>
      </x:c>
      <x:c r="K246" s="47" t="n">
        <x:v>11.256861963249966</x:v>
      </x:c>
      <x:c r="L246" s="47" t="n">
        <x:v>0.9998137912975008</x:v>
      </x:c>
      <x:c r="M246" s="35" t="n">
        <x:v>88.83470395787728</x:v>
      </x:c>
      <x:c r="N246" s="98" t="n">
        <x:v>0.00017970047331659607</x:v>
      </x:c>
      <x:c r="O246" s="26" t="str">
        <x:v>NO</x:v>
      </x:c>
      <x:c r="P246" s="27" t="str">
        <x:v>NO</x:v>
      </x:c>
    </x:row>
    <x:row r="247">
      <x:c r="A247" s="25" t="str">
        <x:v>HP</x:v>
      </x:c>
      <x:c r="B247" s="32" t="n">
        <x:v>41</x:v>
      </x:c>
      <x:c r="C247" s="35" t="n">
        <x:v>0.2</x:v>
      </x:c>
      <x:c r="D247" s="32" t="n">
        <x:v>20</x:v>
      </x:c>
      <x:c r="E247" s="32" t="n">
        <x:v>61</x:v>
      </x:c>
      <x:c r="F247" s="35" t="n">
        <x:v>-0.0999999999999999</x:v>
      </x:c>
      <x:c r="G247" s="35" t="n">
        <x:v>0.1000000000000001</x:v>
      </x:c>
      <x:c r="H247" s="50" t="n">
        <x:v>1.602880717400002e-9</x:v>
      </x:c>
      <x:c r="I247" s="50" t="n">
        <x:v>2.735853776753727e-7</x:v>
      </x:c>
      <x:c r="J247" s="47" t="n">
        <x:v>2.2321916775338675</x:v>
      </x:c>
      <x:c r="K247" s="47" t="n">
        <x:v>11.282968450454703</x:v>
      </x:c>
      <x:c r="L247" s="47" t="n">
        <x:v>0.9998754495943565</x:v>
      </x:c>
      <x:c r="M247" s="35" t="n">
        <x:v>88.62915857570266</x:v>
      </x:c>
      <x:c r="N247" s="98" t="n">
        <x:v>0.00020428920450616783</x:v>
      </x:c>
      <x:c r="O247" s="26" t="str">
        <x:v>NO</x:v>
      </x:c>
      <x:c r="P247" s="27" t="str">
        <x:v>NO</x:v>
      </x:c>
    </x:row>
    <x:row r="248">
      <x:c r="A248" s="25" t="str">
        <x:v>HP</x:v>
      </x:c>
      <x:c r="B248" s="32" t="n">
        <x:v>41</x:v>
      </x:c>
      <x:c r="C248" s="35" t="n">
        <x:v>0.2</x:v>
      </x:c>
      <x:c r="D248" s="32" t="n">
        <x:v>21</x:v>
      </x:c>
      <x:c r="E248" s="32" t="n">
        <x:v>62</x:v>
      </x:c>
      <x:c r="F248" s="35" t="n">
        <x:v>-0.0949999999999999</x:v>
      </x:c>
      <x:c r="G248" s="35" t="n">
        <x:v>0.1050000000000001</x:v>
      </x:c>
      <x:c r="H248" s="50" t="n">
        <x:v>1.7945341129954902e-9</x:v>
      </x:c>
      <x:c r="I248" s="50" t="n">
        <x:v>3.108956749076387e-7</x:v>
      </x:c>
      <x:c r="J248" s="47" t="n">
        <x:v>2.238662961883585</x:v>
      </x:c>
      <x:c r="K248" s="47" t="n">
        <x:v>11.303259748015032</x:v>
      </x:c>
      <x:c r="L248" s="47" t="n">
        <x:v>0.9999183037436865</x:v>
      </x:c>
      <x:c r="M248" s="35" t="n">
        <x:v>88.47005397497038</x:v>
      </x:c>
      <x:c r="N248" s="98" t="n">
        <x:v>0.00023214921298407863</x:v>
      </x:c>
      <x:c r="O248" s="26" t="str">
        <x:v>NO</x:v>
      </x:c>
      <x:c r="P248" s="27" t="str">
        <x:v>NO</x:v>
      </x:c>
    </x:row>
    <x:row r="249">
      <x:c r="A249" s="25" t="str">
        <x:v>HP</x:v>
      </x:c>
      <x:c r="B249" s="32" t="n">
        <x:v>41</x:v>
      </x:c>
      <x:c r="C249" s="35" t="n">
        <x:v>0.2</x:v>
      </x:c>
      <x:c r="D249" s="32" t="n">
        <x:v>22</x:v>
      </x:c>
      <x:c r="E249" s="32" t="n">
        <x:v>63</x:v>
      </x:c>
      <x:c r="F249" s="35" t="n">
        <x:v>-0.0899999999999999</x:v>
      </x:c>
      <x:c r="G249" s="35" t="n">
        <x:v>0.1100000000000001</x:v>
      </x:c>
      <x:c r="H249" s="50" t="n">
        <x:v>2.014503173327516e-9</x:v>
      </x:c>
      <x:c r="I249" s="50" t="n">
        <x:v>3.531445033858148e-7</x:v>
      </x:c>
      <x:c r="J249" s="47" t="n">
        <x:v>2.243784495101271</x:v>
      </x:c>
      <x:c r="K249" s="47" t="n">
        <x:v>11.318293301031982</x:v>
      </x:c>
      <x:c r="L249" s="47" t="n">
        <x:v>0.9999468060511207</x:v>
      </x:c>
      <x:c r="M249" s="35" t="n">
        <x:v>88.35254339175162</x:v>
      </x:c>
      <x:c r="N249" s="98" t="n">
        <x:v>0.0002636968769508472</x:v>
      </x:c>
      <x:c r="O249" s="26" t="str">
        <x:v>NO</x:v>
      </x:c>
      <x:c r="P249" s="27" t="str">
        <x:v>NO</x:v>
      </x:c>
    </x:row>
    <x:row r="250">
      <x:c r="A250" s="25" t="str">
        <x:v>HP</x:v>
      </x:c>
      <x:c r="B250" s="32" t="n">
        <x:v>41</x:v>
      </x:c>
      <x:c r="C250" s="35" t="n">
        <x:v>0.2</x:v>
      </x:c>
      <x:c r="D250" s="32" t="n">
        <x:v>23</x:v>
      </x:c>
      <x:c r="E250" s="32" t="n">
        <x:v>64</x:v>
      </x:c>
      <x:c r="F250" s="35" t="n">
        <x:v>-0.0849999999999999</x:v>
      </x:c>
      <x:c r="G250" s="35" t="n">
        <x:v>0.1150000000000001</x:v>
      </x:c>
      <x:c r="H250" s="50" t="n">
        <x:v>2.266823335139018e-9</x:v>
      </x:c>
      <x:c r="I250" s="50" t="n">
        <x:v>4.009556772627965e-7</x:v>
      </x:c>
      <x:c r="J250" s="47" t="n">
        <x:v>2.247678692465687</x:v>
      </x:c>
      <x:c r="K250" s="47" t="n">
        <x:v>11.32856791948254</x:v>
      </x:c>
      <x:c r="L250" s="47" t="n">
        <x:v>0.999964377351393</x:v>
      </x:c>
      <x:c r="M250" s="35" t="n">
        <x:v>88.2724106972276</x:v>
      </x:c>
      <x:c r="N250" s="98" t="n">
        <x:v>0.00029939800528170496</x:v>
      </x:c>
      <x:c r="O250" s="26" t="str">
        <x:v>NO</x:v>
      </x:c>
      <x:c r="P250" s="27" t="str">
        <x:v>NO</x:v>
      </x:c>
    </x:row>
    <x:row r="251">
      <x:c r="A251" s="25" t="str">
        <x:v>HP</x:v>
      </x:c>
      <x:c r="B251" s="32" t="n">
        <x:v>41</x:v>
      </x:c>
      <x:c r="C251" s="35" t="n">
        <x:v>0.2</x:v>
      </x:c>
      <x:c r="D251" s="32" t="n">
        <x:v>24</x:v>
      </x:c>
      <x:c r="E251" s="32" t="n">
        <x:v>65</x:v>
      </x:c>
      <x:c r="F251" s="35" t="n">
        <x:v>-0.0799999999999999</x:v>
      </x:c>
      <x:c r="G251" s="35" t="n">
        <x:v>0.1200000000000001</x:v>
      </x:c>
      <x:c r="H251" s="50" t="n">
        <x:v>2.556105758202359e-9</x:v>
      </x:c>
      <x:c r="I251" s="50" t="n">
        <x:v>4.550262050904381e-7</x:v>
      </x:c>
      <x:c r="J251" s="47" t="n">
        <x:v>2.250457589843979</x:v>
      </x:c>
      <x:c r="K251" s="47" t="n">
        <x:v>11.334526040086025</x:v>
      </x:c>
      <x:c r="L251" s="47" t="n">
        <x:v>0.9999736210246384</x:v>
      </x:c>
      <x:c r="M251" s="35" t="n">
        <x:v>88.22600931555232</x:v>
      </x:c>
      <x:c r="N251" s="98" t="n">
        <x:v>0.0003397730619130003</x:v>
      </x:c>
      <x:c r="O251" s="26" t="str">
        <x:v>NO</x:v>
      </x:c>
      <x:c r="P251" s="27" t="str">
        <x:v>NO</x:v>
      </x:c>
    </x:row>
    <x:row r="252">
      <x:c r="A252" s="25" t="str">
        <x:v>HP</x:v>
      </x:c>
      <x:c r="B252" s="32" t="n">
        <x:v>41</x:v>
      </x:c>
      <x:c r="C252" s="35" t="n">
        <x:v>0.2</x:v>
      </x:c>
      <x:c r="D252" s="32" t="n">
        <x:v>25</x:v>
      </x:c>
      <x:c r="E252" s="32" t="n">
        <x:v>66</x:v>
      </x:c>
      <x:c r="F252" s="35" t="n">
        <x:v>-0.0749999999999999</x:v>
      </x:c>
      <x:c r="G252" s="35" t="n">
        <x:v>0.1250000000000001</x:v>
      </x:c>
      <x:c r="H252" s="50" t="n">
        <x:v>2.887618113375948e-9</x:v>
      </x:c>
      <x:c r="I252" s="50" t="n">
        <x:v>5.161338802160976e-7</x:v>
      </x:c>
      <x:c r="J252" s="47" t="n">
        <x:v>2.2522226107142505</x:v>
      </x:c>
      <x:c r="K252" s="47" t="n">
        <x:v>11.336556790690345</x:v>
      </x:c>
      <x:c r="L252" s="47" t="n">
        <x:v>0.9999764980748138</x:v>
      </x:c>
      <x:c r="M252" s="35" t="n">
        <x:v>88.21020513223262</x:v>
      </x:c>
      <x:c r="N252" s="98" t="n">
        <x:v>0.00038540283367461466</x:v>
      </x:c>
      <x:c r="O252" s="26" t="str">
        <x:v>NO</x:v>
      </x:c>
      <x:c r="P252" s="27" t="str">
        <x:v>NO</x:v>
      </x:c>
    </x:row>
    <x:row r="253">
      <x:c r="A253" s="25" t="str">
        <x:v>HP</x:v>
      </x:c>
      <x:c r="B253" s="32" t="n">
        <x:v>41</x:v>
      </x:c>
      <x:c r="C253" s="35" t="n">
        <x:v>0.19999999999999998</x:v>
      </x:c>
      <x:c r="D253" s="32" t="n">
        <x:v>26</x:v>
      </x:c>
      <x:c r="E253" s="32" t="n">
        <x:v>67</x:v>
      </x:c>
      <x:c r="F253" s="35" t="n">
        <x:v>-0.0699999999999999</x:v>
      </x:c>
      <x:c r="G253" s="35" t="n">
        <x:v>0.1300000000000001</x:v>
      </x:c>
      <x:c r="H253" s="50" t="n">
        <x:v>3.267376703094192e-9</x:v>
      </x:c>
      <x:c r="I253" s="50" t="n">
        <x:v>5.851454927207171e-7</x:v>
      </x:c>
      <x:c r="J253" s="47" t="n">
        <x:v>2.2530646559471386</x:v>
      </x:c>
      <x:c r="K253" s="47" t="n">
        <x:v>11.334999599938396</x:v>
      </x:c>
      <x:c r="L253" s="47" t="n">
        <x:v>0.9999744685309747</x:v>
      </x:c>
      <x:c r="M253" s="35" t="n">
        <x:v>88.2223233607732</x:v>
      </x:c>
      <x:c r="N253" s="98" t="n">
        <x:v>0.00043693456223426467</x:v>
      </x:c>
      <x:c r="O253" s="26" t="str">
        <x:v>NO</x:v>
      </x:c>
      <x:c r="P253" s="27" t="str">
        <x:v>NO</x:v>
      </x:c>
    </x:row>
    <x:row r="254">
      <x:c r="A254" s="25" t="str">
        <x:v>HP</x:v>
      </x:c>
      <x:c r="B254" s="32" t="n">
        <x:v>41</x:v>
      </x:c>
      <x:c r="C254" s="35" t="n">
        <x:v>0.1999999999999999</x:v>
      </x:c>
      <x:c r="D254" s="32" t="n">
        <x:v>27</x:v>
      </x:c>
      <x:c r="E254" s="32" t="n">
        <x:v>68</x:v>
      </x:c>
      <x:c r="F254" s="35" t="n">
        <x:v>-0.0649999999999998</x:v>
      </x:c>
      <x:c r="G254" s="35" t="n">
        <x:v>0.1350000000000001</x:v>
      </x:c>
      <x:c r="H254" s="50" t="n">
        <x:v>3.702251427628463e-9</x:v>
      </x:c>
      <x:c r="I254" s="50" t="n">
        <x:v>6.630256884499344e-7</x:v>
      </x:c>
      <x:c r="J254" s="47" t="n">
        <x:v>2.253064445891866</x:v>
      </x:c>
      <x:c r="K254" s="47" t="n">
        <x:v>11.330148129764993</x:v>
      </x:c>
      <x:c r="L254" s="47" t="n">
        <x:v>0.9999686043222904</x:v>
      </x:c>
      <x:c r="M254" s="35" t="n">
        <x:v>88.2600993867802</x:v>
      </x:c>
      <x:c r="N254" s="98" t="n">
        <x:v>0.0004950885592332739</x:v>
      </x:c>
      <x:c r="O254" s="26" t="str">
        <x:v>NO</x:v>
      </x:c>
      <x:c r="P254" s="27" t="str">
        <x:v>NO</x:v>
      </x:c>
    </x:row>
    <x:row r="255">
      <x:c r="A255" s="25" t="str">
        <x:v>HP</x:v>
      </x:c>
      <x:c r="B255" s="32" t="n">
        <x:v>41</x:v>
      </x:c>
      <x:c r="C255" s="35" t="n">
        <x:v>0.2</x:v>
      </x:c>
      <x:c r="D255" s="32" t="n">
        <x:v>28</x:v>
      </x:c>
      <x:c r="E255" s="32" t="n">
        <x:v>69</x:v>
      </x:c>
      <x:c r="F255" s="35" t="n">
        <x:v>-0.0599999999999998</x:v>
      </x:c>
      <x:c r="G255" s="35" t="n">
        <x:v>0.1400000000000002</x:v>
      </x:c>
      <x:c r="H255" s="50" t="n">
        <x:v>4.20008531395974e-9</x:v>
      </x:c>
      <x:c r="I255" s="50" t="n">
        <x:v>7.508464979502032e-7</x:v>
      </x:c>
      <x:c r="J255" s="47" t="n">
        <x:v>2.252293047432021</x:v>
      </x:c>
      <x:c r="K255" s="47" t="n">
        <x:v>11.322254348216784</x:v>
      </x:c>
      <x:c r="L255" s="47" t="n">
        <x:v>0.9999596784428134</x:v>
      </x:c>
      <x:c r="M255" s="35" t="n">
        <x:v>88.32163359388728</x:v>
      </x:c>
      <x:c r="N255" s="98" t="n">
        <x:v>0.0005606653216477683</x:v>
      </x:c>
      <x:c r="O255" s="26" t="str">
        <x:v>NO</x:v>
      </x:c>
      <x:c r="P255" s="27" t="str">
        <x:v>NO</x:v>
      </x:c>
    </x:row>
    <x:row r="256">
      <x:c r="A256" s="25" t="str">
        <x:v>HP</x:v>
      </x:c>
      <x:c r="B256" s="32" t="n">
        <x:v>41</x:v>
      </x:c>
      <x:c r="C256" s="35" t="n">
        <x:v>0.20000000000000012</x:v>
      </x:c>
      <x:c r="D256" s="32" t="n">
        <x:v>29</x:v>
      </x:c>
      <x:c r="E256" s="32" t="n">
        <x:v>70</x:v>
      </x:c>
      <x:c r="F256" s="35" t="n">
        <x:v>-0.0549999999999999</x:v>
      </x:c>
      <x:c r="G256" s="35" t="n">
        <x:v>0.1450000000000002</x:v>
      </x:c>
      <x:c r="H256" s="50" t="n">
        <x:v>4.7698305515960835e-9</x:v>
      </x:c>
      <x:c r="I256" s="50" t="n">
        <x:v>8.497975546936707e-7</x:v>
      </x:c>
      <x:c r="J256" s="47" t="n">
        <x:v>2.2508125260789553</x:v>
      </x:c>
      <x:c r="K256" s="47" t="n">
        <x:v>11.311532600116813</x:v>
      </x:c>
      <x:c r="L256" s="47" t="n">
        <x:v>0.9999482347400367</x:v>
      </x:c>
      <x:c r="M256" s="35" t="n">
        <x:v>88.40535012821101</x:v>
      </x:c>
      <x:c r="N256" s="98" t="n">
        <x:v>0.0006345531618493512</x:v>
      </x:c>
      <x:c r="O256" s="26" t="str">
        <x:v>NO</x:v>
      </x:c>
      <x:c r="P256" s="27" t="str">
        <x:v>NO</x:v>
      </x:c>
    </x:row>
    <x:row r="257">
      <x:c r="A257" s="25" t="str">
        <x:v>HP</x:v>
      </x:c>
      <x:c r="B257" s="32" t="n">
        <x:v>41</x:v>
      </x:c>
      <x:c r="C257" s="35" t="n">
        <x:v>0.2000000000000001</x:v>
      </x:c>
      <x:c r="D257" s="32" t="n">
        <x:v>30</x:v>
      </x:c>
      <x:c r="E257" s="32" t="n">
        <x:v>71</x:v>
      </x:c>
      <x:c r="F257" s="35" t="n">
        <x:v>-0.0499999999999999</x:v>
      </x:c>
      <x:c r="G257" s="35" t="n">
        <x:v>0.1500000000000002</x:v>
      </x:c>
      <x:c r="H257" s="50" t="n">
        <x:v>5.421703233852641e-9</x:v>
      </x:c>
      <x:c r="I257" s="50" t="n">
        <x:v>9.611970177636994e-7</x:v>
      </x:c>
      <x:c r="J257" s="47" t="n">
        <x:v>2.248676672631996</x:v>
      </x:c>
      <x:c r="K257" s="47" t="n">
        <x:v>11.298163569947976</x:v>
      </x:c>
      <x:c r="L257" s="47" t="n">
        <x:v>0.9999346421059494</x:v>
      </x:c>
      <x:c r="M257" s="35" t="n">
        <x:v>88.50995949995834</x:v>
      </x:c>
      <x:c r="N257" s="98" t="n">
        <x:v>0.0007177363636942756</x:v>
      </x:c>
      <x:c r="O257" s="26" t="str">
        <x:v>NO</x:v>
      </x:c>
      <x:c r="P257" s="27" t="str">
        <x:v>NO</x:v>
      </x:c>
    </x:row>
    <x:row r="258">
      <x:c r="A258" s="25" t="str">
        <x:v>HP</x:v>
      </x:c>
      <x:c r="B258" s="32" t="n">
        <x:v>41</x:v>
      </x:c>
      <x:c r="C258" s="35" t="n">
        <x:v>0.2000000000000001</x:v>
      </x:c>
      <x:c r="D258" s="32" t="n">
        <x:v>31</x:v>
      </x:c>
      <x:c r="E258" s="32" t="n">
        <x:v>72</x:v>
      </x:c>
      <x:c r="F258" s="35" t="n">
        <x:v>-0.0449999999999999</x:v>
      </x:c>
      <x:c r="G258" s="35" t="n">
        <x:v>0.1550000000000002</x:v>
      </x:c>
      <x:c r="H258" s="50" t="n">
        <x:v>6.167359286893276e-9</x:v>
      </x:c>
      <x:c r="I258" s="50" t="n">
        <x:v>0.000001086503209050449</x:v>
      </x:c>
      <x:c r="J258" s="47" t="n">
        <x:v>2.2459317638645855</x:v>
      </x:c>
      <x:c r="K258" s="47" t="n">
        <x:v>11.282298063209108</x:v>
      </x:c>
      <x:c r="L258" s="47" t="n">
        <x:v>0.9999191362793983</x:v>
      </x:c>
      <x:c r="M258" s="35" t="n">
        <x:v>88.63442486605983</x:v>
      </x:c>
      <x:c r="N258" s="98" t="n">
        <x:v>0.0008113038721451196</x:v>
      </x:c>
      <x:c r="O258" s="26" t="str">
        <x:v>NO</x:v>
      </x:c>
      <x:c r="P258" s="27" t="str">
        <x:v>NO</x:v>
      </x:c>
    </x:row>
    <x:row r="259">
      <x:c r="A259" s="25" t="str">
        <x:v>HP</x:v>
      </x:c>
      <x:c r="B259" s="32" t="n">
        <x:v>41</x:v>
      </x:c>
      <x:c r="C259" s="35" t="n">
        <x:v>0.2000000000000001</x:v>
      </x:c>
      <x:c r="D259" s="32" t="n">
        <x:v>32</x:v>
      </x:c>
      <x:c r="E259" s="32" t="n">
        <x:v>73</x:v>
      </x:c>
      <x:c r="F259" s="35" t="n">
        <x:v>-0.0399999999999999</x:v>
      </x:c>
      <x:c r="G259" s="35" t="n">
        <x:v>0.1600000000000002</x:v>
      </x:c>
      <x:c r="H259" s="50" t="n">
        <x:v>7.0200943853620204e-9</x:v>
      </x:c>
      <x:c r="I259" s="50" t="n">
        <x:v>0.000001227326968797892</x:v>
      </x:c>
      <x:c r="J259" s="47" t="n">
        <x:v>2.242617326067931</x:v>
      </x:c>
      <x:c r="K259" s="47" t="n">
        <x:v>11.26406055872277</x:v>
      </x:c>
      <x:c r="L259" s="47" t="n">
        <x:v>0.9999018519249819</x:v>
      </x:c>
      <x:c r="M259" s="35" t="n">
        <x:v>88.77793179348726</x:v>
      </x:c>
      <x:c r="N259" s="98" t="n">
        <x:v>0.0009164585192933633</x:v>
      </x:c>
      <x:c r="O259" s="26" t="str">
        <x:v>NO</x:v>
      </x:c>
      <x:c r="P259" s="27" t="str">
        <x:v>NO</x:v>
      </x:c>
    </x:row>
    <x:row r="260">
      <x:c r="A260" s="25" t="str">
        <x:v>HP</x:v>
      </x:c>
      <x:c r="B260" s="32" t="n">
        <x:v>41</x:v>
      </x:c>
      <x:c r="C260" s="35" t="n">
        <x:v>0.2000000000000001</x:v>
      </x:c>
      <x:c r="D260" s="32" t="n">
        <x:v>33</x:v>
      </x:c>
      <x:c r="E260" s="32" t="n">
        <x:v>74</x:v>
      </x:c>
      <x:c r="F260" s="35" t="n">
        <x:v>-0.0349999999999999</x:v>
      </x:c>
      <x:c r="G260" s="35" t="n">
        <x:v>0.1650000000000002</x:v>
      </x:c>
      <x:c r="H260" s="50" t="n">
        <x:v>7.995071005998663e-9</x:v>
      </x:c>
      <x:c r="I260" s="50" t="n">
        <x:v>0.000001385444725812803</x:v>
      </x:c>
      <x:c r="J260" s="47" t="n">
        <x:v>2.23876687853439</x:v>
      </x:c>
      <x:c r="K260" s="47" t="n">
        <x:v>11.243552504982256</x:v>
      </x:c>
      <x:c r="L260" s="47" t="n">
        <x:v>0.9998828471610008</x:v>
      </x:c>
      <x:c r="M260" s="35" t="n">
        <x:v>88.93986127221613</x:v>
      </x:c>
      <x:c r="N260" s="98" t="n">
        <x:v>0.0010345267840279058</x:v>
      </x:c>
      <x:c r="O260" s="26" t="str">
        <x:v>NO</x:v>
      </x:c>
      <x:c r="P260" s="27" t="str">
        <x:v>NO</x:v>
      </x:c>
    </x:row>
    <x:row r="261">
      <x:c r="A261" s="25" t="str">
        <x:v>HP</x:v>
      </x:c>
      <x:c r="B261" s="32" t="n">
        <x:v>41</x:v>
      </x:c>
      <x:c r="C261" s="35" t="n">
        <x:v>0.2000000000000001</x:v>
      </x:c>
      <x:c r="D261" s="32" t="n">
        <x:v>34</x:v>
      </x:c>
      <x:c r="E261" s="32" t="n">
        <x:v>75</x:v>
      </x:c>
      <x:c r="F261" s="35" t="n">
        <x:v>-0.0299999999999999</x:v>
      </x:c>
      <x:c r="G261" s="35" t="n">
        <x:v>0.1700000000000002</x:v>
      </x:c>
      <x:c r="H261" s="50" t="n">
        <x:v>9.109576162781833e-9</x:v>
      </x:c>
      <x:c r="I261" s="50" t="n">
        <x:v>0.000001562812269466721</x:v>
      </x:c>
      <x:c r="J261" s="47" t="n">
        <x:v>2.2344086409482893</x:v>
      </x:c>
      <x:c r="K261" s="47" t="n">
        <x:v>11.220855349104303</x:v>
      </x:c>
      <x:c r="L261" s="47" t="n">
        <x:v>0.9998621222788091</x:v>
      </x:c>
      <x:c r="M261" s="35" t="n">
        <x:v>89.11976572978675</x:v>
      </x:c>
      <x:c r="N261" s="98" t="n">
        <x:v>0.0011669690757400977</x:v>
      </x:c>
      <x:c r="O261" s="26" t="str">
        <x:v>NO</x:v>
      </x:c>
      <x:c r="P261" s="27" t="str">
        <x:v>NO</x:v>
      </x:c>
    </x:row>
    <x:row r="262">
      <x:c r="A262" s="25" t="str">
        <x:v>HP</x:v>
      </x:c>
      <x:c r="B262" s="32" t="n">
        <x:v>41</x:v>
      </x:c>
      <x:c r="C262" s="35" t="n">
        <x:v>0.20000000000000012</x:v>
      </x:c>
      <x:c r="D262" s="32" t="n">
        <x:v>35</x:v>
      </x:c>
      <x:c r="E262" s="32" t="n">
        <x:v>76</x:v>
      </x:c>
      <x:c r="F262" s="35" t="n">
        <x:v>-0.0249999999999999</x:v>
      </x:c>
      <x:c r="G262" s="35" t="n">
        <x:v>0.1750000000000002</x:v>
      </x:c>
      <x:c r="H262" s="50" t="n">
        <x:v>1.0383313802526422e-8</x:v>
      </x:c>
      <x:c r="I262" s="50" t="n">
        <x:v>0.000001761579199377998</x:v>
      </x:c>
      <x:c r="J262" s="47" t="n">
        <x:v>2.229566194157637</x:v>
      </x:c>
      <x:c r="K262" s="47" t="n">
        <x:v>11.196033298016514</x:v>
      </x:c>
      <x:c r="L262" s="47" t="n">
        <x:v>0.999839634030776</x:v>
      </x:c>
      <x:c r="M262" s="35" t="n">
        <x:v>89.3173477947015</x:v>
      </x:c>
      <x:c r="N262" s="98" t="n">
        <x:v>0.0013153905240599333</x:v>
      </x:c>
      <x:c r="O262" s="26" t="str">
        <x:v>NO</x:v>
      </x:c>
      <x:c r="P262" s="27" t="str">
        <x:v>NO</x:v>
      </x:c>
    </x:row>
    <x:row r="263">
      <x:c r="A263" s="25" t="str">
        <x:v>HP</x:v>
      </x:c>
      <x:c r="B263" s="32" t="n">
        <x:v>41</x:v>
      </x:c>
      <x:c r="C263" s="35" t="n">
        <x:v>0.2000000000000001</x:v>
      </x:c>
      <x:c r="D263" s="32" t="n">
        <x:v>36</x:v>
      </x:c>
      <x:c r="E263" s="32" t="n">
        <x:v>77</x:v>
      </x:c>
      <x:c r="F263" s="35" t="n">
        <x:v>-0.0199999999999999</x:v>
      </x:c>
      <x:c r="G263" s="35" t="n">
        <x:v>0.1800000000000002</x:v>
      </x:c>
      <x:c r="H263" s="50" t="n">
        <x:v>1.1838736322293511e-8</x:v>
      </x:c>
      <x:c r="I263" s="50" t="n">
        <x:v>0.000001984104014801174</x:v>
      </x:c>
      <x:c r="J263" s="47" t="n">
        <x:v>2.2242590880332322</x:v>
      </x:c>
      <x:c r="K263" s="47" t="n">
        <x:v>11.169135818926257</x:v>
      </x:c>
      <x:c r="L263" s="47" t="n">
        <x:v>0.9998153065606958</x:v>
      </x:c>
      <x:c r="M263" s="35" t="n">
        <x:v>89.53244156145777</x:v>
      </x:c>
      <x:c r="N263" s="98" t="n">
        <x:v>0.0014815522462687243</x:v>
      </x:c>
      <x:c r="O263" s="26" t="str">
        <x:v>NO</x:v>
      </x:c>
      <x:c r="P263" s="27" t="str">
        <x:v>NO</x:v>
      </x:c>
    </x:row>
    <x:row r="264">
      <x:c r="A264" s="25" t="str">
        <x:v>HP</x:v>
      </x:c>
      <x:c r="B264" s="32" t="n">
        <x:v>41</x:v>
      </x:c>
      <x:c r="C264" s="35" t="n">
        <x:v>0.2000000000000001</x:v>
      </x:c>
      <x:c r="D264" s="32" t="n">
        <x:v>37</x:v>
      </x:c>
      <x:c r="E264" s="32" t="n">
        <x:v>78</x:v>
      </x:c>
      <x:c r="F264" s="35" t="n">
        <x:v>-0.0149999999999999</x:v>
      </x:c>
      <x:c r="G264" s="35" t="n">
        <x:v>0.1850000000000002</x:v>
      </x:c>
      <x:c r="H264" s="50" t="n">
        <x:v>1.3501420203353691e-8</x:v>
      </x:c>
      <x:c r="I264" s="50" t="n">
        <x:v>0.000002232969788608805</x:v>
      </x:c>
      <x:c r="J264" s="47" t="n">
        <x:v>2.2185033932616847</x:v>
      </x:c>
      <x:c r="K264" s="47" t="n">
        <x:v>11.140199890657714</x:v>
      </x:c>
      <x:c r="L264" s="47" t="n">
        <x:v>0.9997890398024296</x:v>
      </x:c>
      <x:c r="M264" s="35" t="n">
        <x:v>89.76499612350854</x:v>
      </x:c>
      <x:c r="N264" s="98" t="n">
        <x:v>0.0016673830512333764</x:v>
      </x:c>
      <x:c r="O264" s="26" t="str">
        <x:v>NO</x:v>
      </x:c>
      <x:c r="P264" s="27" t="str">
        <x:v>NO</x:v>
      </x:c>
    </x:row>
    <x:row r="265">
      <x:c r="A265" s="25" t="str">
        <x:v>HP</x:v>
      </x:c>
      <x:c r="B265" s="32" t="n">
        <x:v>41</x:v>
      </x:c>
      <x:c r="C265" s="35" t="n">
        <x:v>0.2000000000000001</x:v>
      </x:c>
      <x:c r="D265" s="32" t="n">
        <x:v>38</x:v>
      </x:c>
      <x:c r="E265" s="32" t="n">
        <x:v>79</x:v>
      </x:c>
      <x:c r="F265" s="35" t="n">
        <x:v>-0.0099999999999999</x:v>
      </x:c>
      <x:c r="G265" s="35" t="n">
        <x:v>0.1900000000000002</x:v>
      </x:c>
      <x:c r="H265" s="50" t="n">
        <x:v>1.5400491344679292e-8</x:v>
      </x:c>
      <x:c r="I265" s="50" t="n">
        <x:v>0.000002511000349515585</x:v>
      </x:c>
      <x:c r="J265" s="47" t="n">
        <x:v>2.2123121961665806</x:v>
      </x:c>
      <x:c r="K265" s="47" t="n">
        <x:v>11.109252019793079</x:v>
      </x:c>
      <x:c r="L265" s="47" t="n">
        <x:v>0.9997607159720624</x:v>
      </x:c>
      <x:c r="M265" s="35" t="n">
        <x:v>90.01506115968247</x:v>
      </x:c>
      <x:c r="N265" s="98" t="n">
        <x:v>0.0018749915228507632</x:v>
      </x:c>
      <x:c r="O265" s="26" t="str">
        <x:v>NO</x:v>
      </x:c>
      <x:c r="P265" s="27" t="str">
        <x:v>NO</x:v>
      </x:c>
    </x:row>
    <x:row r="266">
      <x:c r="A266" s="25" t="str">
        <x:v>HP</x:v>
      </x:c>
      <x:c r="B266" s="32" t="n">
        <x:v>41</x:v>
      </x:c>
      <x:c r="C266" s="35" t="n">
        <x:v>0.2000000000000001</x:v>
      </x:c>
      <x:c r="D266" s="32" t="n">
        <x:v>39</x:v>
      </x:c>
      <x:c r="E266" s="32" t="n">
        <x:v>80</x:v>
      </x:c>
      <x:c r="F266" s="35" t="n">
        <x:v>-0.0049999999999999</x:v>
      </x:c>
      <x:c r="G266" s="35" t="n">
        <x:v>0.1950000000000002</x:v>
      </x:c>
      <x:c r="H266" s="50" t="n">
        <x:v>1.7569106325909142e-8</x:v>
      </x:c>
      <x:c r="I266" s="50" t="n">
        <x:v>0.000002821276869952502</x:v>
      </x:c>
      <x:c r="J266" s="47" t="n">
        <x:v>2.2056960372064474</x:v>
      </x:c>
      <x:c r="K266" s="47" t="n">
        <x:v>11.076310036307602</x:v>
      </x:c>
      <x:c r="L266" s="47" t="n">
        <x:v>0.9997302046180545</x:v>
      </x:c>
      <x:c r="M266" s="35" t="n">
        <x:v>90.28277438262823</x:v>
      </x:c>
      <x:c r="N266" s="98" t="n">
        <x:v>0.0021066784063954367</x:v>
      </x:c>
      <x:c r="O266" s="26" t="str">
        <x:v>NO</x:v>
      </x:c>
      <x:c r="P266" s="27" t="str">
        <x:v>NO</x:v>
      </x:c>
    </x:row>
    <x:row r="267">
      <x:c r="A267" s="25" t="str">
        <x:v>HP</x:v>
      </x:c>
      <x:c r="B267" s="32" t="n">
        <x:v>41</x:v>
      </x:c>
      <x:c r="C267" s="35" t="n">
        <x:v>0.2000000000000001</x:v>
      </x:c>
      <x:c r="D267" s="32" t="n">
        <x:v>40</x:v>
      </x:c>
      <x:c r="E267" s="32" t="n">
        <x:v>81</x:v>
      </x:c>
      <x:c r="F267" s="35" t="n">
        <x:v>9.887923813067799e-17</x:v>
      </x:c>
      <x:c r="G267" s="35" t="n">
        <x:v>0.2000000000000002</x:v>
      </x:c>
      <x:c r="H267" s="50" t="n">
        <x:v>2.0044996539171842e-8</x:v>
      </x:c>
      <x:c r="I267" s="50" t="n">
        <x:v>0.000003167154724744083</x:v>
      </x:c>
      <x:c r="J267" s="47" t="n">
        <x:v>2.1986632948377514</x:v>
      </x:c>
      <x:c r="K267" s="47" t="n">
        <x:v>11.041384683050595</x:v>
      </x:c>
      <x:c r="L267" s="47" t="n">
        <x:v>0.9996973665655086</x:v>
      </x:c>
      <x:c r="M267" s="35" t="n">
        <x:v>90.56835068296095</x:v>
      </x:c>
      <x:c r="N267" s="98" t="n">
        <x:v>0.002364949197078971</x:v>
      </x:c>
      <x:c r="O267" s="26" t="str">
        <x:v>NO</x:v>
      </x:c>
      <x:c r="P267" s="27" t="str">
        <x:v>NO</x:v>
      </x:c>
    </x:row>
    <x:row r="268">
      <x:c r="A268" s="25" t="str">
        <x:v>HP</x:v>
      </x:c>
      <x:c r="B268" s="32" t="n">
        <x:v>41</x:v>
      </x:c>
      <x:c r="C268" s="35" t="n">
        <x:v>0.2000000000000002</x:v>
      </x:c>
      <x:c r="D268" s="32" t="n">
        <x:v>41</x:v>
      </x:c>
      <x:c r="E268" s="32" t="n">
        <x:v>82</x:v>
      </x:c>
      <x:c r="F268" s="35" t="n">
        <x:v>0.005</x:v>
      </x:c>
      <x:c r="G268" s="35" t="n">
        <x:v>0.2050000000000002</x:v>
      </x:c>
      <x:c r="H268" s="50" t="n">
        <x:v>2.287108290455236e-8</x:v>
      </x:c>
      <x:c r="I268" s="50" t="n">
        <x:v>0.000003552280446487783</x:v>
      </x:c>
      <x:c r="J268" s="47" t="n">
        <x:v>2.1912205171148234</x:v>
      </x:c>
      <x:c r="K268" s="47" t="n">
        <x:v>11.004481012408784</x:v>
      </x:c>
      <x:c r="L268" s="47" t="n">
        <x:v>0.9996620569885464</x:v>
      </x:c>
      <x:c r="M268" s="35" t="n">
        <x:v>90.8720728285494</x:v>
      </x:c>
      <x:c r="N268" s="98" t="n">
        <x:v>0.0026525268008178657</x:v>
      </x:c>
      <x:c r="O268" s="26" t="str">
        <x:v>NO</x:v>
      </x:c>
      <x:c r="P268" s="27" t="str">
        <x:v>NO</x:v>
      </x:c>
    </x:row>
    <x:row r="269">
      <x:c r="A269" s="25" t="str">
        <x:v>HP</x:v>
      </x:c>
      <x:c r="B269" s="32" t="n">
        <x:v>41</x:v>
      </x:c>
      <x:c r="C269" s="35" t="n">
        <x:v>0.2000000000000001</x:v>
      </x:c>
      <x:c r="D269" s="32" t="n">
        <x:v>42</x:v>
      </x:c>
      <x:c r="E269" s="32" t="n">
        <x:v>83</x:v>
      </x:c>
      <x:c r="F269" s="35" t="n">
        <x:v>0.0100000000000001</x:v>
      </x:c>
      <x:c r="G269" s="35" t="n">
        <x:v>0.2100000000000002</x:v>
      </x:c>
      <x:c r="H269" s="50" t="n">
        <x:v>2.6096169728378883e-8</x:v>
      </x:c>
      <x:c r="I269" s="50" t="n">
        <x:v>0.000003980608556354552</x:v>
      </x:c>
      <x:c r="J269" s="47" t="n">
        <x:v>2.183372703851809</x:v>
      </x:c>
      <x:c r="K269" s="47" t="n">
        <x:v>10.965599602125966</x:v>
      </x:c>
      <x:c r="L269" s="47" t="n">
        <x:v>0.9996241277637699</x:v>
      </x:c>
      <x:c r="M269" s="35" t="n">
        <x:v>91.19428360361836</x:v>
      </x:c>
      <x:c r="N269" s="98" t="n">
        <x:v>0.0029723641019770695</x:v>
      </x:c>
      <x:c r="O269" s="26" t="str">
        <x:v>NO</x:v>
      </x:c>
      <x:c r="P269" s="27" t="str">
        <x:v>NO</x:v>
      </x:c>
    </x:row>
    <x:row r="270">
      <x:c r="A270" s="25" t="str">
        <x:v>HP</x:v>
      </x:c>
      <x:c r="B270" s="32" t="n">
        <x:v>41</x:v>
      </x:c>
      <x:c r="C270" s="35" t="n">
        <x:v>0.2000000000000001</x:v>
      </x:c>
      <x:c r="D270" s="32" t="n">
        <x:v>43</x:v>
      </x:c>
      <x:c r="E270" s="32" t="n">
        <x:v>84</x:v>
      </x:c>
      <x:c r="F270" s="35" t="n">
        <x:v>0.0150000000000001</x:v>
      </x:c>
      <x:c r="G270" s="35" t="n">
        <x:v>0.2150000000000002</x:v>
      </x:c>
      <x:c r="H270" s="50" t="n">
        <x:v>2.9775727179494693e-8</x:v>
      </x:c>
      <x:c r="I270" s="50" t="n">
        <x:v>0.000004456417993286887</x:v>
      </x:c>
      <x:c r="J270" s="47" t="n">
        <x:v>2.175123542498337</x:v>
      </x:c>
      <x:c r="K270" s="47" t="n">
        <x:v>10.924737600815456</x:v>
      </x:c>
      <x:c r="L270" s="47" t="n">
        <x:v>0.9995834291939248</x:v>
      </x:c>
      <x:c r="M270" s="35" t="n">
        <x:v>91.5353792960077</x:v>
      </x:c>
      <x:c r="N270" s="98" t="n">
        <x:v>0.0033276562312325006</x:v>
      </x:c>
      <x:c r="O270" s="26" t="str">
        <x:v>NO</x:v>
      </x:c>
      <x:c r="P270" s="27" t="str">
        <x:v>NO</x:v>
      </x:c>
    </x:row>
    <x:row r="271">
      <x:c r="A271" s="25" t="str">
        <x:v>HP</x:v>
      </x:c>
      <x:c r="B271" s="32" t="n">
        <x:v>41</x:v>
      </x:c>
      <x:c r="C271" s="35" t="n">
        <x:v>0.2000000000000001</x:v>
      </x:c>
      <x:c r="D271" s="32" t="n">
        <x:v>44</x:v>
      </x:c>
      <x:c r="E271" s="32" t="n">
        <x:v>85</x:v>
      </x:c>
      <x:c r="F271" s="35" t="n">
        <x:v>0.0200000000000001</x:v>
      </x:c>
      <x:c r="G271" s="35" t="n">
        <x:v>0.2200000000000002</x:v>
      </x:c>
      <x:c r="H271" s="50" t="n">
        <x:v>3.397277284792525e-8</x:v>
      </x:c>
      <x:c r="I271" s="50" t="n">
        <x:v>0.000004984327800015662</x:v>
      </x:c>
      <x:c r="J271" s="47" t="n">
        <x:v>2.166475601156331</x:v>
      </x:c>
      <x:c r="K271" s="47" t="n">
        <x:v>10.881889612398314</x:v>
      </x:c>
      <x:c r="L271" s="47" t="n">
        <x:v>0.9995398111412455</x:v>
      </x:c>
      <x:c r="M271" s="35" t="n">
        <x:v>91.89580446218154</x:v>
      </x:c>
      <x:c r="N271" s="98" t="n">
        <x:v>0.0037218522784919893</x:v>
      </x:c>
      <x:c r="O271" s="26" t="str">
        <x:v>NO</x:v>
      </x:c>
      <x:c r="P271" s="27" t="str">
        <x:v>NO</x:v>
      </x:c>
    </x:row>
    <x:row r="272">
      <x:c r="A272" s="25" t="str">
        <x:v>HP</x:v>
      </x:c>
      <x:c r="B272" s="32" t="n">
        <x:v>41</x:v>
      </x:c>
      <x:c r="C272" s="35" t="n">
        <x:v>0.2000000000000001</x:v>
      </x:c>
      <x:c r="D272" s="32" t="n">
        <x:v>45</x:v>
      </x:c>
      <x:c r="E272" s="32" t="n">
        <x:v>86</x:v>
      </x:c>
      <x:c r="F272" s="35" t="n">
        <x:v>0.0250000000000001</x:v>
      </x:c>
      <x:c r="G272" s="35" t="n">
        <x:v>0.2250000000000002</x:v>
      </x:c>
      <x:c r="H272" s="50" t="n">
        <x:v>3.8758863913740275e-8</x:v>
      </x:c>
      <x:c r="I272" s="50" t="n">
        <x:v>0.000005569311651379144</x:v>
      </x:c>
      <x:c r="J272" s="47" t="n">
        <x:v>2.15743048244227</x:v>
      </x:c>
      <x:c r="K272" s="47" t="n">
        <x:v>10.837048427695143</x:v>
      </x:c>
      <x:c r="L272" s="47" t="n">
        <x:v>0.9994931235725059</x:v>
      </x:c>
      <x:c r="M272" s="35" t="n">
        <x:v>92.2760479176601</x:v>
      </x:c>
      <x:c r="N272" s="98" t="n">
        <x:v>0.004158666141350558</x:v>
      </x:c>
      <x:c r="O272" s="26" t="str">
        <x:v>NO</x:v>
      </x:c>
      <x:c r="P272" s="27" t="str">
        <x:v>NO</x:v>
      </x:c>
    </x:row>
    <x:row r="273">
      <x:c r="A273" s="25" t="str">
        <x:v>HP</x:v>
      </x:c>
      <x:c r="B273" s="32" t="n">
        <x:v>41</x:v>
      </x:c>
      <x:c r="C273" s="35" t="n">
        <x:v>0.2000000000000001</x:v>
      </x:c>
      <x:c r="D273" s="32" t="n">
        <x:v>46</x:v>
      </x:c>
      <x:c r="E273" s="32" t="n">
        <x:v>87</x:v>
      </x:c>
      <x:c r="F273" s="35" t="n">
        <x:v>0.0300000000000001</x:v>
      </x:c>
      <x:c r="G273" s="35" t="n">
        <x:v>0.2300000000000002</x:v>
      </x:c>
      <x:c r="H273" s="50" t="n">
        <x:v>4.4215212590877827e-8</x:v>
      </x:c>
      <x:c r="I273" s="50" t="n">
        <x:v>0.00000621671073040775</x:v>
      </x:c>
      <x:c r="J273" s="47" t="n">
        <x:v>2.1479889422093015</x:v>
      </x:c>
      <x:c r="K273" s="47" t="n">
        <x:v>10.79020561081258</x:v>
      </x:c>
      <x:c r="L273" s="47" t="n">
        <x:v>0.9994432164912084</x:v>
      </x:c>
      <x:c r="M273" s="35" t="n">
        <x:v>92.6766399148063</x:v>
      </x:c>
      <x:c r="N273" s="98" t="n">
        <x:v>0.004642086139804244</x:v>
      </x:c>
      <x:c r="O273" s="26" t="str">
        <x:v>NO</x:v>
      </x:c>
      <x:c r="P273" s="27" t="str">
        <x:v>NO</x:v>
      </x:c>
    </x:row>
    <x:row r="274">
      <x:c r="A274" s="25" t="str">
        <x:v>HP</x:v>
      </x:c>
      <x:c r="B274" s="32" t="n">
        <x:v>41</x:v>
      </x:c>
      <x:c r="C274" s="35" t="n">
        <x:v>0.20000000000000012</x:v>
      </x:c>
      <x:c r="D274" s="32" t="n">
        <x:v>47</x:v>
      </x:c>
      <x:c r="E274" s="32" t="n">
        <x:v>88</x:v>
      </x:c>
      <x:c r="F274" s="35" t="n">
        <x:v>0.0350000000000001</x:v>
      </x:c>
      <x:c r="G274" s="35" t="n">
        <x:v>0.2350000000000002</x:v>
      </x:c>
      <x:c r="H274" s="50" t="n">
        <x:v>5.043393871940648e-8</x:v>
      </x:c>
      <x:c r="I274" s="50" t="n">
        <x:v>0.000006932244372969345</x:v>
      </x:c>
      <x:c r="J274" s="47" t="n">
        <x:v>2.1381509774952603</x:v>
      </x:c>
      <x:c r="K274" s="47" t="n">
        <x:v>10.74135194787178</x:v>
      </x:c>
      <x:c r="L274" s="47" t="n">
        <x:v>0.9993899392157969</x:v>
      </x:c>
      <x:c r="M274" s="35" t="n">
        <x:v>93.0981504798503</x:v>
      </x:c>
      <x:c r="N274" s="98" t="n">
        <x:v>0.005176382964723579</x:v>
      </x:c>
      <x:c r="O274" s="26" t="str">
        <x:v>NO</x:v>
      </x:c>
      <x:c r="P274" s="27" t="str">
        <x:v>NO</x:v>
      </x:c>
    </x:row>
    <x:row r="275">
      <x:c r="A275" s="25" t="str">
        <x:v>HP</x:v>
      </x:c>
      <x:c r="B275" s="32" t="n">
        <x:v>41</x:v>
      </x:c>
      <x:c r="C275" s="35" t="n">
        <x:v>0.20000000000000012</x:v>
      </x:c>
      <x:c r="D275" s="32" t="n">
        <x:v>48</x:v>
      </x:c>
      <x:c r="E275" s="32" t="n">
        <x:v>89</x:v>
      </x:c>
      <x:c r="F275" s="35" t="n">
        <x:v>0.0400000000000001</x:v>
      </x:c>
      <x:c r="G275" s="35" t="n">
        <x:v>0.2400000000000002</x:v>
      </x:c>
      <x:c r="H275" s="50" t="n">
        <x:v>5.751947465615888e-8</x:v>
      </x:c>
      <x:c r="I275" s="50" t="n">
        <x:v>0.000007722017816222098</x:v>
      </x:c>
      <x:c r="J275" s="47" t="n">
        <x:v>2.1279158884505236</x:v>
      </x:c>
      <x:c r="K275" s="47" t="n">
        <x:v>10.690477766072286</x:v>
      </x:c>
      <x:c r="L275" s="47" t="n">
        <x:v>0.9993331389558177</x:v>
      </x:c>
      <x:c r="M275" s="35" t="n">
        <x:v>93.54118888621038</x:v>
      </x:c>
      <x:c r="N275" s="98" t="n">
        <x:v>0.005766115463708394</x:v>
      </x:c>
      <x:c r="O275" s="26" t="str">
        <x:v>NO</x:v>
      </x:c>
      <x:c r="P275" s="27" t="str">
        <x:v>NO</x:v>
      </x:c>
    </x:row>
    <x:row r="276">
      <x:c r="A276" s="25" t="str">
        <x:v>HP</x:v>
      </x:c>
      <x:c r="B276" s="32" t="n">
        <x:v>41</x:v>
      </x:c>
      <x:c r="C276" s="35" t="n">
        <x:v>0.2000000000000001</x:v>
      </x:c>
      <x:c r="D276" s="32" t="n">
        <x:v>49</x:v>
      </x:c>
      <x:c r="E276" s="32" t="n">
        <x:v>90</x:v>
      </x:c>
      <x:c r="F276" s="35" t="n">
        <x:v>0.0450000000000001</x:v>
      </x:c>
      <x:c r="G276" s="35" t="n">
        <x:v>0.2450000000000002</x:v>
      </x:c>
      <x:c r="H276" s="50" t="n">
        <x:v>6.559013895214705e-8</x:v>
      </x:c>
      <x:c r="I276" s="50" t="n">
        <x:v>0.00000859252630490707</x:v>
      </x:c>
      <x:c r="J276" s="47" t="n">
        <x:v>2.1172823193954935</x:v>
      </x:c>
      <x:c r="K276" s="47" t="n">
        <x:v>10.637573132054147</x:v>
      </x:c>
      <x:c r="L276" s="47" t="n">
        <x:v>0.9992726586402231</x:v>
      </x:c>
      <x:c r="M276" s="35" t="n">
        <x:v>94.00640424146226</x:v>
      </x:c>
      <x:c r="N276" s="98" t="n">
        <x:v>0.006416133707301563</x:v>
      </x:c>
      <x:c r="O276" s="26" t="str">
        <x:v>NO</x:v>
      </x:c>
      <x:c r="P276" s="27" t="str">
        <x:v>NO</x:v>
      </x:c>
    </x:row>
    <x:row r="277">
      <x:c r="A277" s="25" t="str">
        <x:v>HP</x:v>
      </x:c>
      <x:c r="B277" s="32" t="n">
        <x:v>41</x:v>
      </x:c>
      <x:c r="C277" s="35" t="n">
        <x:v>0.20000000000000023</x:v>
      </x:c>
      <x:c r="D277" s="32" t="n">
        <x:v>50</x:v>
      </x:c>
      <x:c r="E277" s="32" t="n">
        <x:v>91</x:v>
      </x:c>
      <x:c r="F277" s="35" t="n">
        <x:v>0.05</x:v>
      </x:c>
      <x:c r="G277" s="35" t="n">
        <x:v>0.2500000000000002</x:v>
      </x:c>
      <x:c r="H277" s="50" t="n">
        <x:v>7.477989669704965e-8</x:v>
      </x:c>
      <x:c r="I277" s="50" t="n">
        <x:v>0.00000955065473933994</x:v>
      </x:c>
      <x:c r="J277" s="47" t="n">
        <x:v>2.1062482845263837</x:v>
      </x:c>
      <x:c r="K277" s="47" t="n">
        <x:v>10.58262793998153</x:v>
      </x:c>
      <x:c r="L277" s="47" t="n">
        <x:v>0.9992083339631388</x:v>
      </x:c>
      <x:c r="M277" s="35" t="n">
        <x:v>94.49448716060081</x:v>
      </x:c>
      <x:c r="N277" s="98" t="n">
        <x:v>0.0071315787261405595</x:v>
      </x:c>
      <x:c r="O277" s="26" t="str">
        <x:v>NO</x:v>
      </x:c>
      <x:c r="P277" s="27" t="str">
        <x:v>NO</x:v>
      </x:c>
    </x:row>
    <x:row r="278">
      <x:c r="A278" s="25" t="str">
        <x:v>HP</x:v>
      </x:c>
      <x:c r="B278" s="32" t="n">
        <x:v>41</x:v>
      </x:c>
      <x:c r="C278" s="35" t="n">
        <x:v>0.20000000000000023</x:v>
      </x:c>
      <x:c r="D278" s="32" t="n">
        <x:v>51</x:v>
      </x:c>
      <x:c r="E278" s="32" t="n">
        <x:v>92</x:v>
      </x:c>
      <x:c r="F278" s="35" t="n">
        <x:v>0.055</x:v>
      </x:c>
      <x:c r="G278" s="35" t="n">
        <x:v>0.2550000000000002</x:v>
      </x:c>
      <x:c r="H278" s="50" t="n">
        <x:v>8.524032584503317e-8</x:v>
      </x:c>
      <x:c r="I278" s="50" t="n">
        <x:v>0.00001060367199785062</x:v>
      </x:c>
      <x:c r="J278" s="47" t="n">
        <x:v>2.094811184081512</x:v>
      </x:c>
      <x:c r="K278" s="47" t="n">
        <x:v>10.525631901625543</x:v>
      </x:c>
      <x:c r="L278" s="47" t="n">
        <x:v>0.9991399896318209</x:v>
      </x:c>
      <x:c r="M278" s="35" t="n">
        <x:v>95.00617248885203</x:v>
      </x:c>
      <x:c r="N278" s="98" t="n">
        <x:v>0.007917878271460801</x:v>
      </x:c>
      <x:c r="O278" s="26" t="str">
        <x:v>NO</x:v>
      </x:c>
      <x:c r="P278" s="27" t="str">
        <x:v>NO</x:v>
      </x:c>
    </x:row>
    <x:row r="279">
      <x:c r="A279" s="25" t="str">
        <x:v>HP</x:v>
      </x:c>
      <x:c r="B279" s="32" t="n">
        <x:v>41</x:v>
      </x:c>
      <x:c r="C279" s="35" t="n">
        <x:v>0.20000000000000018</x:v>
      </x:c>
      <x:c r="D279" s="32" t="n">
        <x:v>52</x:v>
      </x:c>
      <x:c r="E279" s="32" t="n">
        <x:v>93</x:v>
      </x:c>
      <x:c r="F279" s="35" t="n">
        <x:v>0.06</x:v>
      </x:c>
      <x:c r="G279" s="35" t="n">
        <x:v>0.2600000000000002</x:v>
      </x:c>
      <x:c r="H279" s="50" t="n">
        <x:v>9.714281029803717e-8</x:v>
      </x:c>
      <x:c r="I279" s="50" t="n">
        <x:v>0.00001175921904331462</x:v>
      </x:c>
      <x:c r="J279" s="47" t="n">
        <x:v>2.0829678169422055</x:v>
      </x:c>
      <x:c r="K279" s="47" t="n">
        <x:v>10.466574452849924</x:v>
      </x:c>
      <x:c r="L279" s="47" t="n">
        <x:v>0.9990674348283453</x:v>
      </x:c>
      <x:c r="M279" s="35" t="n">
        <x:v>95.54224302371554</x:v>
      </x:c>
      <x:c r="N279" s="98" t="n">
        <x:v>0.008780737934112074</x:v>
      </x:c>
      <x:c r="O279" s="26" t="str">
        <x:v>NO</x:v>
      </x:c>
      <x:c r="P279" s="27" t="str">
        <x:v>NO</x:v>
      </x:c>
    </x:row>
    <x:row r="280">
      <x:c r="A280" s="25" t="str">
        <x:v>HP</x:v>
      </x:c>
      <x:c r="B280" s="32" t="n">
        <x:v>41</x:v>
      </x:c>
      <x:c r="C280" s="35" t="n">
        <x:v>0.20000000000000018</x:v>
      </x:c>
      <x:c r="D280" s="32" t="n">
        <x:v>53</x:v>
      </x:c>
      <x:c r="E280" s="32" t="n">
        <x:v>94</x:v>
      </x:c>
      <x:c r="F280" s="35" t="n">
        <x:v>0.065</x:v>
      </x:c>
      <x:c r="G280" s="35" t="n">
        <x:v>0.2650000000000002</x:v>
      </x:c>
      <x:c r="H280" s="50" t="n">
        <x:v>1.106809819940524e-7</x:v>
      </x:c>
      <x:c r="I280" s="50" t="n">
        <x:v>0.00001302528993774698</x:v>
      </x:c>
      <x:c r="J280" s="47" t="n">
        <x:v>2.0707143956270047</x:v>
      </x:c>
      <x:c r="K280" s="47" t="n">
        <x:v>10.405444593136776</x:v>
      </x:c>
      <x:c r="L280" s="47" t="n">
        <x:v>0.9989904579295742</x:v>
      </x:c>
      <x:c r="M280" s="35" t="n">
        <x:v>96.10353416898496</x:v>
      </x:c>
      <x:c r="N280" s="98" t="n">
        <x:v>0.009726126967947422</x:v>
      </x:c>
      <x:c r="O280" s="26" t="str">
        <x:v>NO</x:v>
      </x:c>
      <x:c r="P280" s="27" t="str">
        <x:v>YES</x:v>
      </x:c>
    </x:row>
    <x:row r="281">
      <x:c r="A281" s="25" t="str">
        <x:v>LP</x:v>
      </x:c>
      <x:c r="B281" s="32" t="n">
        <x:v>11</x:v>
      </x:c>
      <x:c r="C281" s="35" t="n">
        <x:v>0.05000000000000002</x:v>
      </x:c>
      <x:c r="D281" s="32" t="n">
        <x:v>0</x:v>
      </x:c>
      <x:c r="E281" s="32" t="n">
        <x:v>11</x:v>
      </x:c>
      <x:c r="F281" s="35" t="n">
        <x:v>-0.2</x:v>
      </x:c>
      <x:c r="G281" s="35" t="n">
        <x:v>-0.15</x:v>
      </x:c>
      <x:c r="H281" s="50" t="n">
        <x:v>1.114393572961754e-12</x:v>
      </x:c>
      <x:c r="I281" s="50" t="n">
        <x:v>1.376694269019026e-12</x:v>
      </x:c>
      <x:c r="J281" s="47" t="n">
        <x:v>0.0917989057943398</x:v>
      </x:c>
      <x:c r="K281" s="47" t="n">
        <x:v>1.8262579466039428</x:v>
      </x:c>
      <x:c r="L281" s="47" t="n">
        <x:v>0.9709556389136946</x:v>
      </x:c>
      <x:c r="M281" s="35" t="n">
        <x:v>547.5677747820737</x:v>
      </x:c>
      <x:c r="N281" s="98" t="n">
        <x:v>3.424744077971714e-9</x:v>
      </x:c>
      <x:c r="O281" s="26" t="str">
        <x:v>YES</x:v>
      </x:c>
      <x:c r="P281" s="27" t="str">
        <x:v>NO</x:v>
      </x:c>
    </x:row>
    <x:row r="282">
      <x:c r="A282" s="25" t="str">
        <x:v>LP</x:v>
      </x:c>
      <x:c r="B282" s="32" t="n">
        <x:v>11</x:v>
      </x:c>
      <x:c r="C282" s="35" t="n">
        <x:v>0.05000000000000002</x:v>
      </x:c>
      <x:c r="D282" s="32" t="n">
        <x:v>1</x:v>
      </x:c>
      <x:c r="E282" s="32" t="n">
        <x:v>12</x:v>
      </x:c>
      <x:c r="F282" s="35" t="n">
        <x:v>-0.195</x:v>
      </x:c>
      <x:c r="G282" s="35" t="n">
        <x:v>-0.145</x:v>
      </x:c>
      <x:c r="H282" s="50" t="n">
        <x:v>1.124728504302294e-12</x:v>
      </x:c>
      <x:c r="I282" s="50" t="n">
        <x:v>1.429052304852317e-12</x:v>
      </x:c>
      <x:c r="J282" s="47" t="n">
        <x:v>0.1040004230027094</x:v>
      </x:c>
      <x:c r="K282" s="47" t="n">
        <x:v>2.0619584311689354</x:v>
      </x:c>
      <x:c r="L282" s="47" t="n">
        <x:v>0.9749917390511623</x:v>
      </x:c>
      <x:c r="M282" s="35" t="n">
        <x:v>484.97582923293686</x:v>
      </x:c>
      <x:c r="N282" s="98" t="n">
        <x:v>3.554992948174439e-9</x:v>
      </x:c>
      <x:c r="O282" s="26" t="str">
        <x:v>NO</x:v>
      </x:c>
      <x:c r="P282" s="27" t="str">
        <x:v>NO</x:v>
      </x:c>
    </x:row>
    <x:row r="283">
      <x:c r="A283" s="25" t="str">
        <x:v>LP</x:v>
      </x:c>
      <x:c r="B283" s="32" t="n">
        <x:v>11</x:v>
      </x:c>
      <x:c r="C283" s="35" t="n">
        <x:v>0.04999999999999999</x:v>
      </x:c>
      <x:c r="D283" s="32" t="n">
        <x:v>2</x:v>
      </x:c>
      <x:c r="E283" s="32" t="n">
        <x:v>13</x:v>
      </x:c>
      <x:c r="F283" s="35" t="n">
        <x:v>-0.19</x:v>
      </x:c>
      <x:c r="G283" s="35" t="n">
        <x:v>-0.14</x:v>
      </x:c>
      <x:c r="H283" s="50" t="n">
        <x:v>1.139010516579071e-12</x:v>
      </x:c>
      <x:c r="I283" s="50" t="n">
        <x:v>1.488911804458349e-12</x:v>
      </x:c>
      <x:c r="J283" s="47" t="n">
        <x:v>0.11634123914914163</x:v>
      </x:c>
      <x:c r="K283" s="47" t="n">
        <x:v>2.3070213412123683</x:v>
      </x:c>
      <x:c r="L283" s="47" t="n">
        <x:v>0.9772369765834341</x:v>
      </x:c>
      <x:c r="M283" s="35" t="n">
        <x:v>433.4593625711705</x:v>
      </x:c>
      <x:c r="N283" s="98" t="n">
        <x:v>3.7039028923788158e-9</x:v>
      </x:c>
      <x:c r="O283" s="26" t="str">
        <x:v>NO</x:v>
      </x:c>
      <x:c r="P283" s="27" t="str">
        <x:v>NO</x:v>
      </x:c>
    </x:row>
    <x:row r="284">
      <x:c r="A284" s="25" t="str">
        <x:v>LP</x:v>
      </x:c>
      <x:c r="B284" s="32" t="n">
        <x:v>11</x:v>
      </x:c>
      <x:c r="C284" s="35" t="n">
        <x:v>0.04999999999999999</x:v>
      </x:c>
      <x:c r="D284" s="32" t="n">
        <x:v>3</x:v>
      </x:c>
      <x:c r="E284" s="32" t="n">
        <x:v>14</x:v>
      </x:c>
      <x:c r="F284" s="35" t="n">
        <x:v>-0.185</x:v>
      </x:c>
      <x:c r="G284" s="35" t="n">
        <x:v>-0.135</x:v>
      </x:c>
      <x:c r="H284" s="50" t="n">
        <x:v>1.155990295001871e-12</x:v>
      </x:c>
      <x:c r="I284" s="50" t="n">
        <x:v>1.557337616727506e-12</x:v>
      </x:c>
      <x:c r="J284" s="47" t="n">
        <x:v>0.12942858587077133</x:v>
      </x:c>
      <x:c r="K284" s="47" t="n">
        <x:v>2.567771389366389</x:v>
      </x:c>
      <x:c r="L284" s="47" t="n">
        <x:v>0.9790591929781571</x:v>
      </x:c>
      <x:c r="M284" s="35" t="n">
        <x:v>389.4427689868276</x:v>
      </x:c>
      <x:c r="N284" s="98" t="n">
        <x:v>3.874122890110179e-9</x:v>
      </x:c>
      <x:c r="O284" s="26" t="str">
        <x:v>NO</x:v>
      </x:c>
      <x:c r="P284" s="27" t="str">
        <x:v>NO</x:v>
      </x:c>
    </x:row>
    <x:row r="285">
      <x:c r="A285" s="25" t="str">
        <x:v>LP</x:v>
      </x:c>
      <x:c r="B285" s="32" t="n">
        <x:v>11</x:v>
      </x:c>
      <x:c r="C285" s="35" t="n">
        <x:v>0.0500000000000001</x:v>
      </x:c>
      <x:c r="D285" s="32" t="n">
        <x:v>4</x:v>
      </x:c>
      <x:c r="E285" s="32" t="n">
        <x:v>15</x:v>
      </x:c>
      <x:c r="F285" s="35" t="n">
        <x:v>-0.18</x:v>
      </x:c>
      <x:c r="G285" s="35" t="n">
        <x:v>-0.1299999999999999</x:v>
      </x:c>
      <x:c r="H285" s="50" t="n">
        <x:v>1.175859685930556e-12</x:v>
      </x:c>
      <x:c r="I285" s="50" t="n">
        <x:v>1.635549146188096e-12</x:v>
      </x:c>
      <x:c r="J285" s="47" t="n">
        <x:v>0.14330809771895403</x:v>
      </x:c>
      <x:c r="K285" s="47" t="n">
        <x:v>2.8450810887802627</x:v>
      </x:c>
      <x:c r="L285" s="47" t="n">
        <x:v>0.9806473826513922</x:v>
      </x:c>
      <x:c r="M285" s="35" t="n">
        <x:v>351.4838307925761</x:v>
      </x:c>
      <x:c r="N285" s="98" t="n">
        <x:v>4.068686402414278e-9</x:v>
      </x:c>
      <x:c r="O285" s="26" t="str">
        <x:v>NO</x:v>
      </x:c>
      <x:c r="P285" s="27" t="str">
        <x:v>NO</x:v>
      </x:c>
    </x:row>
    <x:row r="286">
      <x:c r="A286" s="25" t="str">
        <x:v>LP</x:v>
      </x:c>
      <x:c r="B286" s="32" t="n">
        <x:v>11</x:v>
      </x:c>
      <x:c r="C286" s="35" t="n">
        <x:v>0.050000000000000086</x:v>
      </x:c>
      <x:c r="D286" s="32" t="n">
        <x:v>5</x:v>
      </x:c>
      <x:c r="E286" s="32" t="n">
        <x:v>16</x:v>
      </x:c>
      <x:c r="F286" s="35" t="n">
        <x:v>-0.175</x:v>
      </x:c>
      <x:c r="G286" s="35" t="n">
        <x:v>-0.1249999999999999</x:v>
      </x:c>
      <x:c r="H286" s="50" t="n">
        <x:v>1.198891947305063e-12</x:v>
      </x:c>
      <x:c r="I286" s="50" t="n">
        <x:v>1.724941612654433e-12</x:v>
      </x:c>
      <x:c r="J286" s="47" t="n">
        <x:v>0.15799435612956358</x:v>
      </x:c>
      <x:c r="K286" s="47" t="n">
        <x:v>3.1392134608084126</x:v>
      </x:c>
      <x:c r="L286" s="47" t="n">
        <x:v>0.9821075353831971</x:v>
      </x:c>
      <x:c r="M286" s="35" t="n">
        <x:v>318.5511315125666</x:v>
      </x:c>
      <x:c r="N286" s="98" t="n">
        <x:v>4.2910642585842024e-9</x:v>
      </x:c>
      <x:c r="O286" s="26" t="str">
        <x:v>NO</x:v>
      </x:c>
      <x:c r="P286" s="27" t="str">
        <x:v>NO</x:v>
      </x:c>
    </x:row>
    <x:row r="287">
      <x:c r="A287" s="25" t="str">
        <x:v>LP</x:v>
      </x:c>
      <x:c r="B287" s="32" t="n">
        <x:v>11</x:v>
      </x:c>
      <x:c r="C287" s="35" t="n">
        <x:v>0.050000000000000114</x:v>
      </x:c>
      <x:c r="D287" s="32" t="n">
        <x:v>6</x:v>
      </x:c>
      <x:c r="E287" s="32" t="n">
        <x:v>17</x:v>
      </x:c>
      <x:c r="F287" s="35" t="n">
        <x:v>-0.17</x:v>
      </x:c>
      <x:c r="G287" s="35" t="n">
        <x:v>-0.1199999999999999</x:v>
      </x:c>
      <x:c r="H287" s="50" t="n">
        <x:v>1.225439278370611e-12</x:v>
      </x:c>
      <x:c r="I287" s="50" t="n">
        <x:v>1.827110598673053e-12</x:v>
      </x:c>
      <x:c r="J287" s="47" t="n">
        <x:v>0.17347304043003753</x:v>
      </x:c>
      <x:c r="K287" s="47" t="n">
        <x:v>3.4498559107495</x:v>
      </x:c>
      <x:c r="L287" s="47" t="n">
        <x:v>0.9834971541866893</x:v>
      </x:c>
      <x:c r="M287" s="35" t="n">
        <x:v>289.8671787665313</x:v>
      </x:c>
      <x:c r="N287" s="98" t="n">
        <x:v>4.545225721803607e-9</x:v>
      </x:c>
      <x:c r="O287" s="26" t="str">
        <x:v>NO</x:v>
      </x:c>
      <x:c r="P287" s="27" t="str">
        <x:v>NO</x:v>
      </x:c>
    </x:row>
    <x:row r="288">
      <x:c r="A288" s="25" t="str">
        <x:v>LP</x:v>
      </x:c>
      <x:c r="B288" s="32" t="n">
        <x:v>11</x:v>
      </x:c>
      <x:c r="C288" s="35" t="n">
        <x:v>0.050000000000000114</x:v>
      </x:c>
      <x:c r="D288" s="32" t="n">
        <x:v>7</x:v>
      </x:c>
      <x:c r="E288" s="32" t="n">
        <x:v>18</x:v>
      </x:c>
      <x:c r="F288" s="35" t="n">
        <x:v>-0.165</x:v>
      </x:c>
      <x:c r="G288" s="35" t="n">
        <x:v>-0.1149999999999999</x:v>
      </x:c>
      <x:c r="H288" s="50" t="n">
        <x:v>1.255933406559433e-12</x:v>
      </x:c>
      <x:c r="I288" s="50" t="n">
        <x:v>1.943880279456145e-12</x:v>
      </x:c>
      <x:c r="J288" s="47" t="n">
        <x:v>0.1897029015100582</x:v>
      </x:c>
      <x:c r="K288" s="47" t="n">
        <x:v>3.7761512900971153</x:v>
      </x:c>
      <x:c r="L288" s="47" t="n">
        <x:v>0.9848446387121406</x:v>
      </x:c>
      <x:c r="M288" s="35" t="n">
        <x:v>264.8198981387427</x:v>
      </x:c>
      <x:c r="N288" s="98" t="n">
        <x:v>4.835708715557549e-9</x:v>
      </x:c>
      <x:c r="O288" s="26" t="str">
        <x:v>NO</x:v>
      </x:c>
      <x:c r="P288" s="27" t="str">
        <x:v>NO</x:v>
      </x:c>
    </x:row>
    <x:row r="289">
      <x:c r="A289" s="25" t="str">
        <x:v>LP</x:v>
      </x:c>
      <x:c r="B289" s="32" t="n">
        <x:v>11</x:v>
      </x:c>
      <x:c r="C289" s="35" t="n">
        <x:v>0.0500000000000001</x:v>
      </x:c>
      <x:c r="D289" s="32" t="n">
        <x:v>8</x:v>
      </x:c>
      <x:c r="E289" s="32" t="n">
        <x:v>19</x:v>
      </x:c>
      <x:c r="F289" s="35" t="n">
        <x:v>-0.16</x:v>
      </x:c>
      <x:c r="G289" s="35" t="n">
        <x:v>-0.1099999999999999</x:v>
      </x:c>
      <x:c r="H289" s="50" t="n">
        <x:v>1.290888916606739e-12</x:v>
      </x:c>
      <x:c r="I289" s="50" t="n">
        <x:v>2.077335806080723e-12</x:v>
      </x:c>
      <x:c r="J289" s="47" t="n">
        <x:v>0.2066178348796317</x:v>
      </x:c>
      <x:c r="K289" s="47" t="n">
        <x:v>4.116732384521219</x:v>
      </x:c>
      <x:c r="L289" s="47" t="n">
        <x:v>0.9861607512904157</x:v>
      </x:c>
      <x:c r="M289" s="35" t="n">
        <x:v>242.91110196037218</x:v>
      </x:c>
      <x:c r="N289" s="98" t="n">
        <x:v>5.167700381946772e-9</x:v>
      </x:c>
      <x:c r="O289" s="26" t="str">
        <x:v>NO</x:v>
      </x:c>
      <x:c r="P289" s="27" t="str">
        <x:v>NO</x:v>
      </x:c>
    </x:row>
    <x:row r="290">
      <x:c r="A290" s="25" t="str">
        <x:v>LP</x:v>
      </x:c>
      <x:c r="B290" s="32" t="n">
        <x:v>11</x:v>
      </x:c>
      <x:c r="C290" s="35" t="n">
        <x:v>0.0500000000000001</x:v>
      </x:c>
      <x:c r="D290" s="32" t="n">
        <x:v>9</x:v>
      </x:c>
      <x:c r="E290" s="32" t="n">
        <x:v>20</x:v>
      </x:c>
      <x:c r="F290" s="35" t="n">
        <x:v>-0.155</x:v>
      </x:c>
      <x:c r="G290" s="35" t="n">
        <x:v>-0.1049999999999999</x:v>
      </x:c>
      <x:c r="H290" s="50" t="n">
        <x:v>1.330909109242401e-12</x:v>
      </x:c>
      <x:c r="I290" s="50" t="n">
        <x:v>2.229860394880488e-12</x:v>
      </x:c>
      <x:c r="J290" s="47" t="n">
        <x:v>0.22412927642942648</x:v>
      </x:c>
      <x:c r="K290" s="47" t="n">
        <x:v>4.469764931072449</x:v>
      </x:c>
      <x:c r="L290" s="47" t="n">
        <x:v>0.9874456964164305</x:v>
      </x:c>
      <x:c r="M290" s="35" t="n">
        <x:v>223.7254118328021</x:v>
      </x:c>
      <x:c r="N290" s="98" t="n">
        <x:v>5.547129347398394e-9</x:v>
      </x:c>
      <x:c r="O290" s="26" t="str">
        <x:v>NO</x:v>
      </x:c>
      <x:c r="P290" s="27" t="str">
        <x:v>NO</x:v>
      </x:c>
    </x:row>
    <x:row r="291">
      <x:c r="A291" s="25" t="str">
        <x:v>LP</x:v>
      </x:c>
      <x:c r="B291" s="32" t="n">
        <x:v>11</x:v>
      </x:c>
      <x:c r="C291" s="35" t="n">
        <x:v>0.0500000000000001</x:v>
      </x:c>
      <x:c r="D291" s="32" t="n">
        <x:v>10</x:v>
      </x:c>
      <x:c r="E291" s="32" t="n">
        <x:v>21</x:v>
      </x:c>
      <x:c r="F291" s="35" t="n">
        <x:v>-0.15</x:v>
      </x:c>
      <x:c r="G291" s="35" t="n">
        <x:v>-0.0999999999999999</x:v>
      </x:c>
      <x:c r="H291" s="50" t="n">
        <x:v>1.376694269019026e-12</x:v>
      </x:c>
      <x:c r="I291" s="50" t="n">
        <x:v>2.404177765986292e-12</x:v>
      </x:c>
      <x:c r="J291" s="47" t="n">
        <x:v>0.24212907193505373</x:v>
      </x:c>
      <x:c r="K291" s="47" t="n">
        <x:v>4.83300268404302</x:v>
      </x:c>
      <x:c r="L291" s="47" t="n">
        <x:v>0.9886936555595279</x:v>
      </x:c>
      <x:c r="M291" s="35" t="n">
        <x:v>206.9107065265389</x:v>
      </x:c>
      <x:c r="N291" s="98" t="n">
        <x:v>5.9807712952272256e-9</x:v>
      </x:c>
      <x:c r="O291" s="26" t="str">
        <x:v>NO</x:v>
      </x:c>
      <x:c r="P291" s="27" t="str">
        <x:v>NO</x:v>
      </x:c>
    </x:row>
    <x:row r="292">
      <x:c r="A292" s="25" t="str">
        <x:v>LP</x:v>
      </x:c>
      <x:c r="B292" s="32" t="n">
        <x:v>11</x:v>
      </x:c>
      <x:c r="C292" s="35" t="n">
        <x:v>0.050000000000000086</x:v>
      </x:c>
      <x:c r="D292" s="32" t="n">
        <x:v>11</x:v>
      </x:c>
      <x:c r="E292" s="32" t="n">
        <x:v>22</x:v>
      </x:c>
      <x:c r="F292" s="35" t="n">
        <x:v>-0.145</x:v>
      </x:c>
      <x:c r="G292" s="35" t="n">
        <x:v>-0.0949999999999999</x:v>
      </x:c>
      <x:c r="H292" s="50" t="n">
        <x:v>1.429052304852317e-12</x:v>
      </x:c>
      <x:c r="I292" s="50" t="n">
        <x:v>2.60340067369274e-12</x:v>
      </x:c>
      <x:c r="J292" s="47" t="n">
        <x:v>0.2604928881697415</x:v>
      </x:c>
      <x:c r="K292" s="47" t="n">
        <x:v>5.203856155453778</x:v>
      </x:c>
      <x:c r="L292" s="47" t="n">
        <x:v>0.989895786520093</x:v>
      </x:c>
      <x:c r="M292" s="35" t="n">
        <x:v>192.1651886845438</x:v>
      </x:c>
      <x:c r="N292" s="98" t="n">
        <x:v>6.476369692575195e-9</x:v>
      </x:c>
      <x:c r="O292" s="26" t="str">
        <x:v>NO</x:v>
      </x:c>
      <x:c r="P292" s="27" t="str">
        <x:v>NO</x:v>
      </x:c>
    </x:row>
    <x:row r="293">
      <x:c r="A293" s="25" t="str">
        <x:v>LP</x:v>
      </x:c>
      <x:c r="B293" s="32" t="n">
        <x:v>11</x:v>
      </x:c>
      <x:c r="C293" s="35" t="n">
        <x:v>0.050000000000000114</x:v>
      </x:c>
      <x:c r="D293" s="32" t="n">
        <x:v>12</x:v>
      </x:c>
      <x:c r="E293" s="32" t="n">
        <x:v>23</x:v>
      </x:c>
      <x:c r="F293" s="35" t="n">
        <x:v>-0.14</x:v>
      </x:c>
      <x:c r="G293" s="35" t="n">
        <x:v>-0.0899999999999999</x:v>
      </x:c>
      <x:c r="H293" s="50" t="n">
        <x:v>1.488911804458349e-12</x:v>
      </x:c>
      <x:c r="I293" s="50" t="n">
        <x:v>2.831086383090201e-12</x:v>
      </x:c>
      <x:c r="J293" s="47" t="n">
        <x:v>0.2790841477873016</x:v>
      </x:c>
      <x:c r="K293" s="47" t="n">
        <x:v>5.5794746322746755</x:v>
      </x:c>
      <x:c r="L293" s="47" t="n">
        <x:v>0.9910422566178356</x:v>
      </x:c>
      <x:c r="M293" s="35" t="n">
        <x:v>179.22834422715417</x:v>
      </x:c>
      <x:c r="N293" s="98" t="n">
        <x:v>7.042773797281297e-9</x:v>
      </x:c>
      <x:c r="O293" s="26" t="str">
        <x:v>NO</x:v>
      </x:c>
      <x:c r="P293" s="27" t="str">
        <x:v>NO</x:v>
      </x:c>
    </x:row>
    <x:row r="294">
      <x:c r="A294" s="25" t="str">
        <x:v>LP</x:v>
      </x:c>
      <x:c r="B294" s="32" t="n">
        <x:v>11</x:v>
      </x:c>
      <x:c r="C294" s="35" t="n">
        <x:v>0.050000000000000114</x:v>
      </x:c>
      <x:c r="D294" s="32" t="n">
        <x:v>13</x:v>
      </x:c>
      <x:c r="E294" s="32" t="n">
        <x:v>24</x:v>
      </x:c>
      <x:c r="F294" s="35" t="n">
        <x:v>-0.135</x:v>
      </x:c>
      <x:c r="G294" s="35" t="n">
        <x:v>-0.0849999999999999</x:v>
      </x:c>
      <x:c r="H294" s="50" t="n">
        <x:v>1.557337616727506e-12</x:v>
      </x:c>
      <x:c r="I294" s="50" t="n">
        <x:v>3.091300073124645e-12</x:v>
      </x:c>
      <x:c r="J294" s="47" t="n">
        <x:v>0.2977583902671732</x:v>
      </x:c>
      <x:c r="K294" s="47" t="n">
        <x:v>5.956839128103506</x:v>
      </x:c>
      <x:c r="L294" s="47" t="n">
        <x:v>0.9921236342704621</x:v>
      </x:c>
      <x:c r="M294" s="35" t="n">
        <x:v>167.87426661937948</x:v>
      </x:c>
      <x:c r="N294" s="98" t="n">
        <x:v>7.69009638299064e-9</x:v>
      </x:c>
      <x:c r="O294" s="26" t="str">
        <x:v>NO</x:v>
      </x:c>
      <x:c r="P294" s="27" t="str">
        <x:v>NO</x:v>
      </x:c>
    </x:row>
    <x:row r="295">
      <x:c r="A295" s="25" t="str">
        <x:v>LP</x:v>
      </x:c>
      <x:c r="B295" s="32" t="n">
        <x:v>11</x:v>
      </x:c>
      <x:c r="C295" s="35" t="n">
        <x:v>0.04999999999999999</x:v>
      </x:c>
      <x:c r="D295" s="32" t="n">
        <x:v>14</x:v>
      </x:c>
      <x:c r="E295" s="32" t="n">
        <x:v>25</x:v>
      </x:c>
      <x:c r="F295" s="35" t="n">
        <x:v>-0.1299999999999999</x:v>
      </x:c>
      <x:c r="G295" s="35" t="n">
        <x:v>-0.0799999999999999</x:v>
      </x:c>
      <x:c r="H295" s="50" t="n">
        <x:v>1.635549146188096e-12</x:v>
      </x:c>
      <x:c r="I295" s="50" t="n">
        <x:v>3.388687288649685e-12</x:v>
      </x:c>
      <x:c r="J295" s="47" t="n">
        <x:v>0.3163678949120907</x:v>
      </x:c>
      <x:c r="K295" s="47" t="n">
        <x:v>6.332862279621565</x:v>
      </x:c>
      <x:c r="L295" s="47" t="n">
        <x:v>0.9931318245180545</x:v>
      </x:c>
      <x:c r="M295" s="35" t="n">
        <x:v>157.90648143697788</x:v>
      </x:c>
      <x:c r="N295" s="98" t="n">
        <x:v>8.429893975058486e-9</x:v>
      </x:c>
      <x:c r="O295" s="26" t="str">
        <x:v>NO</x:v>
      </x:c>
      <x:c r="P295" s="27" t="str">
        <x:v>NO</x:v>
      </x:c>
    </x:row>
    <x:row r="296">
      <x:c r="A296" s="25" t="str">
        <x:v>LP</x:v>
      </x:c>
      <x:c r="B296" s="32" t="n">
        <x:v>11</x:v>
      </x:c>
      <x:c r="C296" s="35" t="n">
        <x:v>0.05</x:v>
      </x:c>
      <x:c r="D296" s="32" t="n">
        <x:v>15</x:v>
      </x:c>
      <x:c r="E296" s="32" t="n">
        <x:v>26</x:v>
      </x:c>
      <x:c r="F296" s="35" t="n">
        <x:v>-0.1249999999999999</x:v>
      </x:c>
      <x:c r="G296" s="35" t="n">
        <x:v>-0.0749999999999999</x:v>
      </x:c>
      <x:c r="H296" s="50" t="n">
        <x:v>1.724941612654433e-12</x:v>
      </x:c>
      <x:c r="I296" s="50" t="n">
        <x:v>3.728556725636688e-12</x:v>
      </x:c>
      <x:c r="J296" s="47" t="n">
        <x:v>0.33476635548504596</x:v>
      </x:c>
      <x:c r="K296" s="47" t="n">
        <x:v>6.70449003995868</x:v>
      </x:c>
      <x:c r="L296" s="47" t="n">
        <x:v>0.9940606567173245</x:v>
      </x:c>
      <x:c r="M296" s="35" t="n">
        <x:v>149.1537751626167</x:v>
      </x:c>
      <x:c r="N296" s="98" t="n">
        <x:v>9.275372791814373e-9</x:v>
      </x:c>
      <x:c r="O296" s="26" t="str">
        <x:v>NO</x:v>
      </x:c>
      <x:c r="P296" s="27" t="str">
        <x:v>NO</x:v>
      </x:c>
    </x:row>
    <x:row r="297">
      <x:c r="A297" s="25" t="str">
        <x:v>LP</x:v>
      </x:c>
      <x:c r="B297" s="32" t="n">
        <x:v>11</x:v>
      </x:c>
      <x:c r="C297" s="35" t="n">
        <x:v>0.05</x:v>
      </x:c>
      <x:c r="D297" s="32" t="n">
        <x:v>16</x:v>
      </x:c>
      <x:c r="E297" s="32" t="n">
        <x:v>27</x:v>
      </x:c>
      <x:c r="F297" s="35" t="n">
        <x:v>-0.1199999999999999</x:v>
      </x:c>
      <x:c r="G297" s="35" t="n">
        <x:v>-0.0699999999999999</x:v>
      </x:c>
      <x:c r="H297" s="50" t="n">
        <x:v>1.827110598673053e-12</x:v>
      </x:c>
      <x:c r="I297" s="50" t="n">
        <x:v>4.116974817444895e-12</x:v>
      </x:c>
      <x:c r="J297" s="47" t="n">
        <x:v>0.35281337366442855</x:v>
      </x:c>
      <x:c r="K297" s="47" t="n">
        <x:v>7.068799484744143</x:v>
      </x:c>
      <x:c r="L297" s="47" t="n">
        <x:v>0.994906192666646</x:v>
      </x:c>
      <x:c r="M297" s="35" t="n">
        <x:v>141.46673733753465</x:v>
      </x:c>
      <x:c r="N297" s="98" t="n">
        <x:v>1.0241624042823866e-8</x:v>
      </x:c>
      <x:c r="O297" s="26" t="str">
        <x:v>NO</x:v>
      </x:c>
      <x:c r="P297" s="27" t="str">
        <x:v>NO</x:v>
      </x:c>
    </x:row>
    <x:row r="298">
      <x:c r="A298" s="25" t="str">
        <x:v>LP</x:v>
      </x:c>
      <x:c r="B298" s="32" t="n">
        <x:v>11</x:v>
      </x:c>
      <x:c r="C298" s="35" t="n">
        <x:v>0.0500000000000001</x:v>
      </x:c>
      <x:c r="D298" s="32" t="n">
        <x:v>17</x:v>
      </x:c>
      <x:c r="E298" s="32" t="n">
        <x:v>28</x:v>
      </x:c>
      <x:c r="F298" s="35" t="n">
        <x:v>-0.1149999999999999</x:v>
      </x:c>
      <x:c r="G298" s="35" t="n">
        <x:v>-0.0649999999999998</x:v>
      </x:c>
      <x:c r="H298" s="50" t="n">
        <x:v>1.943880279456145e-12</x:v>
      </x:c>
      <x:c r="I298" s="50" t="n">
        <x:v>4.56087379943123e-12</x:v>
      </x:c>
      <x:c r="J298" s="47" t="n">
        <x:v>0.3703785414689875</x:v>
      </x:c>
      <x:c r="K298" s="47" t="n">
        <x:v>7.423087181282786</x:v>
      </x:c>
      <x:c r="L298" s="47" t="n">
        <x:v>0.9956668057775794</x:v>
      </x:c>
      <x:c r="M298" s="35" t="n">
        <x:v>134.71483973965528</x:v>
      </x:c>
      <x:c r="N298" s="98" t="n">
        <x:v>1.1345892756645585e-8</x:v>
      </x:c>
      <x:c r="O298" s="26" t="str">
        <x:v>NO</x:v>
      </x:c>
      <x:c r="P298" s="27" t="str">
        <x:v>NO</x:v>
      </x:c>
    </x:row>
    <x:row r="299">
      <x:c r="A299" s="25" t="str">
        <x:v>LP</x:v>
      </x:c>
      <x:c r="B299" s="32" t="n">
        <x:v>11</x:v>
      </x:c>
      <x:c r="C299" s="35" t="n">
        <x:v>0.05000000000000011</x:v>
      </x:c>
      <x:c r="D299" s="32" t="n">
        <x:v>18</x:v>
      </x:c>
      <x:c r="E299" s="32" t="n">
        <x:v>29</x:v>
      </x:c>
      <x:c r="F299" s="35" t="n">
        <x:v>-0.1099999999999999</x:v>
      </x:c>
      <x:c r="G299" s="35" t="n">
        <x:v>-0.0599999999999998</x:v>
      </x:c>
      <x:c r="H299" s="50" t="n">
        <x:v>2.077335806080723e-12</x:v>
      </x:c>
      <x:c r="I299" s="50" t="n">
        <x:v>5.068175167828729e-12</x:v>
      </x:c>
      <x:c r="J299" s="47" t="n">
        <x:v>0.3873449097845949</x:v>
      </x:c>
      <x:c r="K299" s="47" t="n">
        <x:v>7.764943332933132</x:v>
      </x:c>
      <x:c r="L299" s="47" t="n">
        <x:v>0.996343076468578</x:v>
      </x:c>
      <x:c r="M299" s="35" t="n">
        <x:v>128.7839404775488</x:v>
      </x:c>
      <x:c r="N299" s="98" t="n">
        <x:v>1.2607884904258916e-8</x:v>
      </x:c>
      <x:c r="O299" s="26" t="str">
        <x:v>NO</x:v>
      </x:c>
      <x:c r="P299" s="27" t="str">
        <x:v>NO</x:v>
      </x:c>
    </x:row>
    <x:row r="300">
      <x:c r="A300" s="25" t="str">
        <x:v>LP</x:v>
      </x:c>
      <x:c r="B300" s="32" t="n">
        <x:v>11</x:v>
      </x:c>
      <x:c r="C300" s="35" t="n">
        <x:v>0.049999999999999996</x:v>
      </x:c>
      <x:c r="D300" s="32" t="n">
        <x:v>19</x:v>
      </x:c>
      <x:c r="E300" s="32" t="n">
        <x:v>30</x:v>
      </x:c>
      <x:c r="F300" s="35" t="n">
        <x:v>-0.1049999999999999</x:v>
      </x:c>
      <x:c r="G300" s="35" t="n">
        <x:v>-0.0549999999999999</x:v>
      </x:c>
      <x:c r="H300" s="50" t="n">
        <x:v>2.229860394880488e-12</x:v>
      </x:c>
      <x:c r="I300" s="50" t="n">
        <x:v>5.647930720840611e-12</x:v>
      </x:c>
      <x:c r="J300" s="47" t="n">
        <x:v>0.403611686918115</x:v>
      </x:c>
      <x:c r="K300" s="47" t="n">
        <x:v>8.092308168729643</x:v>
      </x:c>
      <x:c r="L300" s="47" t="n">
        <x:v>0.9969375487150476</x:v>
      </x:c>
      <x:c r="M300" s="35" t="n">
        <x:v>123.5741372114581</x:v>
      </x:c>
      <x:c r="N300" s="98" t="n">
        <x:v>1.405011826102552e-8</x:v>
      </x:c>
      <x:c r="O300" s="26" t="str">
        <x:v>NO</x:v>
      </x:c>
      <x:c r="P300" s="27" t="str">
        <x:v>NO</x:v>
      </x:c>
    </x:row>
    <x:row r="301">
      <x:c r="A301" s="25" t="str">
        <x:v>LP</x:v>
      </x:c>
      <x:c r="B301" s="32" t="n">
        <x:v>11</x:v>
      </x:c>
      <x:c r="C301" s="35" t="n">
        <x:v>0.049999999999999996</x:v>
      </x:c>
      <x:c r="D301" s="32" t="n">
        <x:v>20</x:v>
      </x:c>
      <x:c r="E301" s="32" t="n">
        <x:v>31</x:v>
      </x:c>
      <x:c r="F301" s="35" t="n">
        <x:v>-0.0999999999999999</x:v>
      </x:c>
      <x:c r="G301" s="35" t="n">
        <x:v>-0.0499999999999999</x:v>
      </x:c>
      <x:c r="H301" s="50" t="n">
        <x:v>2.404177765986292e-12</x:v>
      </x:c>
      <x:c r="I301" s="50" t="n">
        <x:v>6.310483680331215e-12</x:v>
      </x:c>
      <x:c r="J301" s="47" t="n">
        <x:v>0.4190960714889922</x:v>
      </x:c>
      <x:c r="K301" s="47" t="n">
        <x:v>8.403508611153987</x:v>
      </x:c>
      <x:c r="L301" s="47" t="n">
        <x:v>0.997454393068668</x:v>
      </x:c>
      <x:c r="M301" s="35" t="n">
        <x:v>118.99791459399457</x:v>
      </x:c>
      <x:c r="N301" s="98" t="n">
        <x:v>1.5698323222302017e-8</x:v>
      </x:c>
      <x:c r="O301" s="26" t="str">
        <x:v>NO</x:v>
      </x:c>
      <x:c r="P301" s="27" t="str">
        <x:v>NO</x:v>
      </x:c>
    </x:row>
    <x:row r="302">
      <x:c r="A302" s="25" t="str">
        <x:v>LP</x:v>
      </x:c>
      <x:c r="B302" s="32" t="n">
        <x:v>11</x:v>
      </x:c>
      <x:c r="C302" s="35" t="n">
        <x:v>0.05</x:v>
      </x:c>
      <x:c r="D302" s="32" t="n">
        <x:v>21</x:v>
      </x:c>
      <x:c r="E302" s="32" t="n">
        <x:v>32</x:v>
      </x:c>
      <x:c r="F302" s="35" t="n">
        <x:v>-0.0949999999999999</x:v>
      </x:c>
      <x:c r="G302" s="35" t="n">
        <x:v>-0.0449999999999999</x:v>
      </x:c>
      <x:c r="H302" s="50" t="n">
        <x:v>2.60340067369274e-12</x:v>
      </x:c>
      <x:c r="I302" s="50" t="n">
        <x:v>7.067652746641881e-12</x:v>
      </x:c>
      <x:c r="J302" s="47" t="n">
        <x:v>0.4337341903708918</x:v>
      </x:c>
      <x:c r="K302" s="47" t="n">
        <x:v>8.697274903625248</x:v>
      </x:c>
      <x:c r="L302" s="47" t="n">
        <x:v>0.9978990198825243</x:v>
      </x:c>
      <x:c r="M302" s="35" t="n">
        <x:v>114.97854340365559</x:v>
      </x:c>
      <x:c r="N302" s="98" t="n">
        <x:v>1.7581900668817115e-8</x:v>
      </x:c>
      <x:c r="O302" s="26" t="str">
        <x:v>NO</x:v>
      </x:c>
      <x:c r="P302" s="27" t="str">
        <x:v>NO</x:v>
      </x:c>
    </x:row>
    <x:row r="303">
      <x:c r="A303" s="25" t="str">
        <x:v>LP</x:v>
      </x:c>
      <x:c r="B303" s="32" t="n">
        <x:v>11</x:v>
      </x:c>
      <x:c r="C303" s="35" t="n">
        <x:v>0.05</x:v>
      </x:c>
      <x:c r="D303" s="32" t="n">
        <x:v>22</x:v>
      </x:c>
      <x:c r="E303" s="32" t="n">
        <x:v>33</x:v>
      </x:c>
      <x:c r="F303" s="35" t="n">
        <x:v>-0.0899999999999999</x:v>
      </x:c>
      <x:c r="G303" s="35" t="n">
        <x:v>-0.0399999999999999</x:v>
      </x:c>
      <x:c r="H303" s="50" t="n">
        <x:v>2.831086383090201e-12</x:v>
      </x:c>
      <x:c r="I303" s="50" t="n">
        <x:v>7.932942342892279e-12</x:v>
      </x:c>
      <x:c r="J303" s="47" t="n">
        <x:v>0.44748117690770606</x:v>
      </x:c>
      <x:c r="K303" s="47" t="n">
        <x:v>8.972738404518145</x:v>
      </x:c>
      <x:c r="L303" s="47" t="n">
        <x:v>0.9982776819978115</x:v>
      </x:c>
      <x:c r="M303" s="35" t="n">
        <x:v>111.44869658703732</x:v>
      </x:c>
      <x:c r="N303" s="98" t="n">
        <x:v>1.973444498252351e-8</x:v>
      </x:c>
      <x:c r="O303" s="26" t="str">
        <x:v>NO</x:v>
      </x:c>
      <x:c r="P303" s="27" t="str">
        <x:v>NO</x:v>
      </x:c>
    </x:row>
    <x:row r="304">
      <x:c r="A304" s="25" t="str">
        <x:v>LP</x:v>
      </x:c>
      <x:c r="B304" s="32" t="n">
        <x:v>11</x:v>
      </x:c>
      <x:c r="C304" s="35" t="n">
        <x:v>0.049999999999999996</x:v>
      </x:c>
      <x:c r="D304" s="32" t="n">
        <x:v>23</x:v>
      </x:c>
      <x:c r="E304" s="32" t="n">
        <x:v>34</x:v>
      </x:c>
      <x:c r="F304" s="35" t="n">
        <x:v>-0.0849999999999999</x:v>
      </x:c>
      <x:c r="G304" s="35" t="n">
        <x:v>-0.0349999999999999</x:v>
      </x:c>
      <x:c r="H304" s="50" t="n">
        <x:v>3.091300073124645e-12</x:v>
      </x:c>
      <x:c r="I304" s="50" t="n">
        <x:v>8.921782765968998e-12</x:v>
      </x:c>
      <x:c r="J304" s="47" t="n">
        <x:v>0.4603104803547069</x:v>
      </x:c>
      <x:c r="K304" s="47" t="n">
        <x:v>9.22941299024159</x:v>
      </x:c>
      <x:c r="L304" s="47" t="n">
        <x:v>0.9985970990229156</x:v>
      </x:c>
      <x:c r="M304" s="35" t="n">
        <x:v>108.34925266182329</x:v>
      </x:c>
      <x:c r="N304" s="98" t="n">
        <x:v>2.2194341460050166e-8</x:v>
      </x:c>
      <x:c r="O304" s="26" t="str">
        <x:v>NO</x:v>
      </x:c>
      <x:c r="P304" s="27" t="str">
        <x:v>NO</x:v>
      </x:c>
    </x:row>
    <x:row r="305">
      <x:c r="A305" s="25" t="str">
        <x:v>LP</x:v>
      </x:c>
      <x:c r="B305" s="32" t="n">
        <x:v>11</x:v>
      </x:c>
      <x:c r="C305" s="35" t="n">
        <x:v>0.05</x:v>
      </x:c>
      <x:c r="D305" s="32" t="n">
        <x:v>24</x:v>
      </x:c>
      <x:c r="E305" s="32" t="n">
        <x:v>35</x:v>
      </x:c>
      <x:c r="F305" s="35" t="n">
        <x:v>-0.0799999999999999</x:v>
      </x:c>
      <x:c r="G305" s="35" t="n">
        <x:v>-0.0299999999999999</x:v>
      </x:c>
      <x:c r="H305" s="50" t="n">
        <x:v>3.388687288649685e-12</x:v>
      </x:c>
      <x:c r="I305" s="50" t="n">
        <x:v>1.005180448712331e-11</x:v>
      </x:c>
      <x:c r="J305" s="47" t="n">
        <x:v>0.47221253917656725</x:v>
      </x:c>
      <x:c r="K305" s="47" t="n">
        <x:v>9.467163352419906</x:v>
      </x:c>
      <x:c r="L305" s="47" t="n">
        <x:v>0.9988641265406919</x:v>
      </x:c>
      <x:c r="M305" s="35" t="n">
        <x:v>105.62826083954594</x:v>
      </x:c>
      <x:c r="N305" s="98" t="n">
        <x:v>2.5005448678692294e-8</x:v>
      </x:c>
      <x:c r="O305" s="26" t="str">
        <x:v>NO</x:v>
      </x:c>
      <x:c r="P305" s="27" t="str">
        <x:v>NO</x:v>
      </x:c>
    </x:row>
    <x:row r="306">
      <x:c r="A306" s="25" t="str">
        <x:v>LP</x:v>
      </x:c>
      <x:c r="B306" s="32" t="n">
        <x:v>11</x:v>
      </x:c>
      <x:c r="C306" s="35" t="n">
        <x:v>0.05</x:v>
      </x:c>
      <x:c r="D306" s="32" t="n">
        <x:v>25</x:v>
      </x:c>
      <x:c r="E306" s="32" t="n">
        <x:v>36</x:v>
      </x:c>
      <x:c r="F306" s="35" t="n">
        <x:v>-0.0749999999999999</x:v>
      </x:c>
      <x:c r="G306" s="35" t="n">
        <x:v>-0.0249999999999999</x:v>
      </x:c>
      <x:c r="H306" s="50" t="n">
        <x:v>3.728556725636688e-12</x:v>
      </x:c>
      <x:c r="I306" s="50" t="n">
        <x:v>1.134315144431181e-11</x:v>
      </x:c>
      <x:c r="J306" s="47" t="n">
        <x:v>0.4831929756988167</x:v>
      </x:c>
      <x:c r="K306" s="47" t="n">
        <x:v>9.686163889910597</x:v>
      </x:c>
      <x:c r="L306" s="47" t="n">
        <x:v>0.9990854843674235</x:v>
      </x:c>
      <x:c r="M306" s="35" t="n">
        <x:v>103.24004542620122</x:v>
      </x:c>
      <x:c r="N306" s="98" t="n">
        <x:v>2.8217877860510144e-8</x:v>
      </x:c>
      <x:c r="O306" s="26" t="str">
        <x:v>NO</x:v>
      </x:c>
      <x:c r="P306" s="27" t="str">
        <x:v>NO</x:v>
      </x:c>
    </x:row>
    <x:row r="307">
      <x:c r="A307" s="25" t="str">
        <x:v>LP</x:v>
      </x:c>
      <x:c r="B307" s="32" t="n">
        <x:v>11</x:v>
      </x:c>
      <x:c r="C307" s="35" t="n">
        <x:v>0.049999999999999996</x:v>
      </x:c>
      <x:c r="D307" s="32" t="n">
        <x:v>26</x:v>
      </x:c>
      <x:c r="E307" s="32" t="n">
        <x:v>37</x:v>
      </x:c>
      <x:c r="F307" s="35" t="n">
        <x:v>-0.0699999999999999</x:v>
      </x:c>
      <x:c r="G307" s="35" t="n">
        <x:v>-0.0199999999999999</x:v>
      </x:c>
      <x:c r="H307" s="50" t="n">
        <x:v>4.116974817444895e-12</x:v>
      </x:c>
      <x:c r="I307" s="50" t="n">
        <x:v>1.281883885238538e-11</x:v>
      </x:c>
      <x:c r="J307" s="47" t="n">
        <x:v>0.49327047745814667</x:v>
      </x:c>
      <x:c r="K307" s="47" t="n">
        <x:v>9.886851914481753</x:v>
      </x:c>
      <x:c r="L307" s="47" t="n">
        <x:v>0.999267549501601</x:v>
      </x:c>
      <x:c r="M307" s="35" t="n">
        <x:v>101.14442985994879</x:v>
      </x:c>
      <x:c r="N307" s="98" t="n">
        <x:v>3.1888882981595265e-8</x:v>
      </x:c>
      <x:c r="O307" s="26" t="str">
        <x:v>NO</x:v>
      </x:c>
      <x:c r="P307" s="27" t="str">
        <x:v>NO</x:v>
      </x:c>
    </x:row>
    <x:row r="308">
      <x:c r="A308" s="25" t="str">
        <x:v>LP</x:v>
      </x:c>
      <x:c r="B308" s="32" t="n">
        <x:v>11</x:v>
      </x:c>
      <x:c r="C308" s="35" t="n">
        <x:v>0.04999999999999989</x:v>
      </x:c>
      <x:c r="D308" s="32" t="n">
        <x:v>27</x:v>
      </x:c>
      <x:c r="E308" s="32" t="n">
        <x:v>38</x:v>
      </x:c>
      <x:c r="F308" s="35" t="n">
        <x:v>-0.0649999999999998</x:v>
      </x:c>
      <x:c r="G308" s="35" t="n">
        <x:v>-0.0149999999999999</x:v>
      </x:c>
      <x:c r="H308" s="50" t="n">
        <x:v>4.56087379943123e-12</x:v>
      </x:c>
      <x:c r="I308" s="50" t="n">
        <x:v>1.4505161836316829e-11</x:v>
      </x:c>
      <x:c r="J308" s="47" t="n">
        <x:v>0.5024745232904095</x:v>
      </x:c>
      <x:c r="K308" s="47" t="n">
        <x:v>10.06987858401451</x:v>
      </x:c>
      <x:c r="L308" s="47" t="n">
        <x:v>0.9994162124706855</x:v>
      </x:c>
      <x:c r="M308" s="35" t="n">
        <x:v>99.30606329131476</x:v>
      </x:c>
      <x:c r="N308" s="98" t="n">
        <x:v>3.608387731165956e-8</x:v>
      </x:c>
      <x:c r="O308" s="26" t="str">
        <x:v>NO</x:v>
      </x:c>
      <x:c r="P308" s="27" t="str">
        <x:v>NO</x:v>
      </x:c>
    </x:row>
    <x:row r="309">
      <x:c r="A309" s="25" t="str">
        <x:v>LP</x:v>
      </x:c>
      <x:c r="B309" s="32" t="n">
        <x:v>11</x:v>
      </x:c>
      <x:c r="C309" s="35" t="n">
        <x:v>0.0499999999999999</x:v>
      </x:c>
      <x:c r="D309" s="32" t="n">
        <x:v>28</x:v>
      </x:c>
      <x:c r="E309" s="32" t="n">
        <x:v>39</x:v>
      </x:c>
      <x:c r="F309" s="35" t="n">
        <x:v>-0.0599999999999998</x:v>
      </x:c>
      <x:c r="G309" s="35" t="n">
        <x:v>-0.0099999999999999</x:v>
      </x:c>
      <x:c r="H309" s="50" t="n">
        <x:v>5.068175167828729e-12</x:v>
      </x:c>
      <x:c r="I309" s="50" t="n">
        <x:v>1.643216208159562e-11</x:v>
      </x:c>
      <x:c r="J309" s="47" t="n">
        <x:v>0.5108430933260699</x:v>
      </x:c>
      <x:c r="K309" s="47" t="n">
        <x:v>10.236060449349164</x:v>
      </x:c>
      <x:c r="L309" s="47" t="n">
        <x:v>0.9995367908224132</x:v>
      </x:c>
      <x:c r="M309" s="35" t="n">
        <x:v>97.69383494248343</x:v>
      </x:c>
      <x:c r="N309" s="98" t="n">
        <x:v>4.08775942804758e-8</x:v>
      </x:c>
      <x:c r="O309" s="26" t="str">
        <x:v>NO</x:v>
      </x:c>
      <x:c r="P309" s="27" t="str">
        <x:v>NO</x:v>
      </x:c>
    </x:row>
    <x:row r="310">
      <x:c r="A310" s="25" t="str">
        <x:v>LP</x:v>
      </x:c>
      <x:c r="B310" s="32" t="n">
        <x:v>11</x:v>
      </x:c>
      <x:c r="C310" s="35" t="n">
        <x:v>0.05</x:v>
      </x:c>
      <x:c r="D310" s="32" t="n">
        <x:v>29</x:v>
      </x:c>
      <x:c r="E310" s="32" t="n">
        <x:v>40</x:v>
      </x:c>
      <x:c r="F310" s="35" t="n">
        <x:v>-0.0549999999999999</x:v>
      </x:c>
      <x:c r="G310" s="35" t="n">
        <x:v>-0.0049999999999999</x:v>
      </x:c>
      <x:c r="H310" s="50" t="n">
        <x:v>5.647930720840611e-12</x:v>
      </x:c>
      <x:c r="I310" s="50" t="n">
        <x:v>1.8634160708620268e-11</x:v>
      </x:c>
      <x:c r="J310" s="47" t="n">
        <x:v>0.5184204758081243</x:v>
      </x:c>
      <x:c r="K310" s="47" t="n">
        <x:v>10.38633385418773</x:v>
      </x:c>
      <x:c r="L310" s="47" t="n">
        <x:v>0.9996339905488189</x:v>
      </x:c>
      <x:c r="M310" s="35" t="n">
        <x:v>96.28036360460374</x:v>
      </x:c>
      <x:c r="N310" s="98" t="n">
        <x:v>4.635541308695497e-8</x:v>
      </x:c>
      <x:c r="O310" s="26" t="str">
        <x:v>NO</x:v>
      </x:c>
      <x:c r="P310" s="27" t="str">
        <x:v>NO</x:v>
      </x:c>
    </x:row>
    <x:row r="311">
      <x:c r="A311" s="25" t="str">
        <x:v>LP</x:v>
      </x:c>
      <x:c r="B311" s="32" t="n">
        <x:v>11</x:v>
      </x:c>
      <x:c r="C311" s="35" t="n">
        <x:v>0.049999999999999996</x:v>
      </x:c>
      <x:c r="D311" s="32" t="n">
        <x:v>30</x:v>
      </x:c>
      <x:c r="E311" s="32" t="n">
        <x:v>41</x:v>
      </x:c>
      <x:c r="F311" s="35" t="n">
        <x:v>-0.0499999999999999</x:v>
      </x:c>
      <x:c r="G311" s="35" t="n">
        <x:v>9.887923813067799e-17</x:v>
      </x:c>
      <x:c r="H311" s="50" t="n">
        <x:v>6.310483680331215e-12</x:v>
      </x:c>
      <x:c r="I311" s="50" t="n">
        <x:v>2.115036673217059e-11</x:v>
      </x:c>
      <x:c r="J311" s="47" t="n">
        <x:v>0.525255254194354</x:v>
      </x:c>
      <x:c r="K311" s="47" t="n">
        <x:v>10.521713754215476</x:v>
      </x:c>
      <x:c r="L311" s="47" t="n">
        <x:v>0.9997119050258724</x:v>
      </x:c>
      <x:c r="M311" s="35" t="n">
        <x:v>95.04155153425977</x:v>
      </x:c>
      <x:c r="N311" s="98" t="n">
        <x:v>5.261487233802826e-8</x:v>
      </x:c>
      <x:c r="O311" s="26" t="str">
        <x:v>NO</x:v>
      </x:c>
      <x:c r="P311" s="27" t="str">
        <x:v>NO</x:v>
      </x:c>
    </x:row>
    <x:row r="312">
      <x:c r="A312" s="25" t="str">
        <x:v>LP</x:v>
      </x:c>
      <x:c r="B312" s="32" t="n">
        <x:v>11</x:v>
      </x:c>
      <x:c r="C312" s="35" t="n">
        <x:v>0.0499999999999999</x:v>
      </x:c>
      <x:c r="D312" s="32" t="n">
        <x:v>31</x:v>
      </x:c>
      <x:c r="E312" s="32" t="n">
        <x:v>42</x:v>
      </x:c>
      <x:c r="F312" s="35" t="n">
        <x:v>-0.0449999999999999</x:v>
      </x:c>
      <x:c r="G312" s="35" t="n">
        <x:v>0.005</x:v>
      </x:c>
      <x:c r="H312" s="50" t="n">
        <x:v>7.067652746641881e-12</x:v>
      </x:c>
      <x:c r="I312" s="50" t="n">
        <x:v>2.4025571782320378e-11</x:v>
      </x:c>
      <x:c r="J312" s="47" t="n">
        <x:v>0.5313985289291132</x:v>
      </x:c>
      <x:c r="K312" s="47" t="n">
        <x:v>10.643257893058891</x:v>
      </x:c>
      <x:c r="L312" s="47" t="n">
        <x:v>0.9997740411959277</x:v>
      </x:c>
      <x:c r="M312" s="35" t="n">
        <x:v>93.956193681275</x:v>
      </x:c>
      <x:c r="N312" s="98" t="n">
        <x:v>5.976739827646431e-8</x:v>
      </x:c>
      <x:c r="O312" s="26" t="str">
        <x:v>NO</x:v>
      </x:c>
      <x:c r="P312" s="27" t="str">
        <x:v>NO</x:v>
      </x:c>
    </x:row>
    <x:row r="313">
      <x:c r="A313" s="25" t="str">
        <x:v>LP</x:v>
      </x:c>
      <x:c r="B313" s="32" t="n">
        <x:v>11</x:v>
      </x:c>
      <x:c r="C313" s="35" t="n">
        <x:v>0.049999999999999996</x:v>
      </x:c>
      <x:c r="D313" s="32" t="n">
        <x:v>32</x:v>
      </x:c>
      <x:c r="E313" s="32" t="n">
        <x:v>43</x:v>
      </x:c>
      <x:c r="F313" s="35" t="n">
        <x:v>-0.0399999999999999</x:v>
      </x:c>
      <x:c r="G313" s="35" t="n">
        <x:v>0.0100000000000001</x:v>
      </x:c>
      <x:c r="H313" s="50" t="n">
        <x:v>7.932942342892279e-12</x:v>
      </x:c>
      <x:c r="I313" s="50" t="n">
        <x:v>2.7310943261342637e-11</x:v>
      </x:c>
      <x:c r="J313" s="47" t="n">
        <x:v>0.5369024021788</x:v>
      </x:c>
      <x:c r="K313" s="47" t="n">
        <x:v>10.752036735050924</x:v>
      </x:c>
      <x:c r="L313" s="47" t="n">
        <x:v>0.9998233637645273</x:v>
      </x:c>
      <x:c r="M313" s="35" t="n">
        <x:v>93.00563461991035</x:v>
      </x:c>
      <x:c r="N313" s="98" t="n">
        <x:v>6.794027788373982e-8</x:v>
      </x:c>
      <x:c r="O313" s="26" t="str">
        <x:v>NO</x:v>
      </x:c>
      <x:c r="P313" s="27" t="str">
        <x:v>NO</x:v>
      </x:c>
    </x:row>
    <x:row r="314">
      <x:c r="A314" s="25" t="str">
        <x:v>LP</x:v>
      </x:c>
      <x:c r="B314" s="32" t="n">
        <x:v>11</x:v>
      </x:c>
      <x:c r="C314" s="35" t="n">
        <x:v>0.05</x:v>
      </x:c>
      <x:c r="D314" s="32" t="n">
        <x:v>33</x:v>
      </x:c>
      <x:c r="E314" s="32" t="n">
        <x:v>44</x:v>
      </x:c>
      <x:c r="F314" s="35" t="n">
        <x:v>-0.0349999999999999</x:v>
      </x:c>
      <x:c r="G314" s="35" t="n">
        <x:v>0.0150000000000001</x:v>
      </x:c>
      <x:c r="H314" s="50" t="n">
        <x:v>8.921782765968998e-12</x:v>
      </x:c>
      <x:c r="I314" s="50" t="n">
        <x:v>3.106492981728692e-11</x:v>
      </x:c>
      <x:c r="J314" s="47" t="n">
        <x:v>0.5418187322630121</x:v>
      </x:c>
      <x:c r="K314" s="47" t="n">
        <x:v>10.84910913066225</x:v>
      </x:c>
      <x:c r="L314" s="47" t="n">
        <x:v>0.9998623497154945</x:v>
      </x:c>
      <x:c r="M314" s="35" t="n">
        <x:v>92.17346677560411</x:v>
      </x:c>
      <x:c r="N314" s="98" t="n">
        <x:v>7.727891138834254e-8</x:v>
      </x:c>
      <x:c r="O314" s="26" t="str">
        <x:v>NO</x:v>
      </x:c>
      <x:c r="P314" s="27" t="str">
        <x:v>NO</x:v>
      </x:c>
    </x:row>
    <x:row r="315">
      <x:c r="A315" s="25" t="str">
        <x:v>LP</x:v>
      </x:c>
      <x:c r="B315" s="32" t="n">
        <x:v>11</x:v>
      </x:c>
      <x:c r="C315" s="35" t="n">
        <x:v>0.05</x:v>
      </x:c>
      <x:c r="D315" s="32" t="n">
        <x:v>34</x:v>
      </x:c>
      <x:c r="E315" s="32" t="n">
        <x:v>45</x:v>
      </x:c>
      <x:c r="F315" s="35" t="n">
        <x:v>-0.0299999999999999</x:v>
      </x:c>
      <x:c r="G315" s="35" t="n">
        <x:v>0.0200000000000001</x:v>
      </x:c>
      <x:c r="H315" s="50" t="n">
        <x:v>1.005180448712331e-11</x:v>
      </x:c>
      <x:c r="I315" s="50" t="n">
        <x:v>3.535429495798751e-11</x:v>
      </x:c>
      <x:c r="J315" s="47" t="n">
        <x:v>0.5461981481370461</x:v>
      </x:c>
      <x:c r="K315" s="47" t="n">
        <x:v>10.93550338399577</x:v>
      </x:c>
      <x:c r="L315" s="47" t="n">
        <x:v>0.9998930471420878</x:v>
      </x:c>
      <x:c r="M315" s="35" t="n">
        <x:v>91.44526455576897</x:v>
      </x:c>
      <x:c r="N315" s="98" t="n">
        <x:v>8.794938354360188e-8</x:v>
      </x:c>
      <x:c r="O315" s="26" t="str">
        <x:v>NO</x:v>
      </x:c>
      <x:c r="P315" s="27" t="str">
        <x:v>NO</x:v>
      </x:c>
    </x:row>
    <x:row r="316">
      <x:c r="A316" s="25" t="str">
        <x:v>LP</x:v>
      </x:c>
      <x:c r="B316" s="32" t="n">
        <x:v>11</x:v>
      </x:c>
      <x:c r="C316" s="35" t="n">
        <x:v>0.05</x:v>
      </x:c>
      <x:c r="D316" s="32" t="n">
        <x:v>35</x:v>
      </x:c>
      <x:c r="E316" s="32" t="n">
        <x:v>46</x:v>
      </x:c>
      <x:c r="F316" s="35" t="n">
        <x:v>-0.0249999999999999</x:v>
      </x:c>
      <x:c r="G316" s="35" t="n">
        <x:v>0.0250000000000001</x:v>
      </x:c>
      <x:c r="H316" s="50" t="n">
        <x:v>1.134315144431181e-11</x:v>
      </x:c>
      <x:c r="I316" s="50" t="n">
        <x:v>4.0255296840700295e-11</x:v>
      </x:c>
      <x:c r="J316" s="47" t="n">
        <x:v>0.5500893029984439</x:v>
      </x:c>
      <x:c r="K316" s="47" t="n">
        <x:v>11.012203193466599</x:v>
      </x:c>
      <x:c r="L316" s="47" t="n">
        <x:v>0.9999171340192955</x:v>
      </x:c>
      <x:c r="M316" s="35" t="n">
        <x:v>90.80834983078476</x:v>
      </x:c>
      <x:c r="N316" s="98" t="n">
        <x:v>1.0014139854044565e-7</x:v>
      </x:c>
      <x:c r="O316" s="26" t="str">
        <x:v>NO</x:v>
      </x:c>
      <x:c r="P316" s="27" t="str">
        <x:v>NO</x:v>
      </x:c>
    </x:row>
    <x:row r="317">
      <x:c r="A317" s="25" t="str">
        <x:v>LP</x:v>
      </x:c>
      <x:c r="B317" s="32" t="n">
        <x:v>11</x:v>
      </x:c>
      <x:c r="C317" s="35" t="n">
        <x:v>0.05</x:v>
      </x:c>
      <x:c r="D317" s="32" t="n">
        <x:v>36</x:v>
      </x:c>
      <x:c r="E317" s="32" t="n">
        <x:v>47</x:v>
      </x:c>
      <x:c r="F317" s="35" t="n">
        <x:v>-0.0199999999999999</x:v>
      </x:c>
      <x:c r="G317" s="35" t="n">
        <x:v>0.0300000000000001</x:v>
      </x:c>
      <x:c r="H317" s="50" t="n">
        <x:v>1.281883885238538e-11</x:v>
      </x:c>
      <x:c r="I317" s="50" t="n">
        <x:v>4.5855034789212085e-11</x:v>
      </x:c>
      <x:c r="J317" s="47" t="n">
        <x:v>0.5535383392838451</x:v>
      </x:c>
      <x:c r="K317" s="47" t="n">
        <x:v>11.080137829550296</x:v>
      </x:c>
      <x:c r="L317" s="47" t="n">
        <x:v>0.999935973966486</x:v>
      </x:c>
      <x:c r="M317" s="35" t="n">
        <x:v>90.25158489753069</x:v>
      </x:c>
      <x:c r="N317" s="98" t="n">
        <x:v>1.1407162968103464e-7</x:v>
      </x:c>
      <x:c r="O317" s="26" t="str">
        <x:v>NO</x:v>
      </x:c>
      <x:c r="P317" s="27" t="str">
        <x:v>NO</x:v>
      </x:c>
    </x:row>
    <x:row r="318">
      <x:c r="A318" s="25" t="str">
        <x:v>LP</x:v>
      </x:c>
      <x:c r="B318" s="32" t="n">
        <x:v>11</x:v>
      </x:c>
      <x:c r="C318" s="35" t="n">
        <x:v>0.05</x:v>
      </x:c>
      <x:c r="D318" s="32" t="n">
        <x:v>37</x:v>
      </x:c>
      <x:c r="E318" s="32" t="n">
        <x:v>48</x:v>
      </x:c>
      <x:c r="F318" s="35" t="n">
        <x:v>-0.0149999999999999</x:v>
      </x:c>
      <x:c r="G318" s="35" t="n">
        <x:v>0.0350000000000001</x:v>
      </x:c>
      <x:c r="H318" s="50" t="n">
        <x:v>1.4505161836316829e-11</x:v>
      </x:c>
      <x:c r="I318" s="50" t="n">
        <x:v>5.2252985954002747e-11</x:v>
      </x:c>
      <x:c r="J318" s="47" t="n">
        <x:v>0.5565885342380792</x:v>
      </x:c>
      <x:c r="K318" s="47" t="n">
        <x:v>11.14017587739575</x:v>
      </x:c>
      <x:c r="L318" s="47" t="n">
        <x:v>0.999950667210279</x:v>
      </x:c>
      <x:c r="M318" s="35" t="n">
        <x:v>89.76518961689598</x:v>
      </x:c>
      <x:c r="N318" s="98" t="n">
        <x:v>1.2998754206322401e-7</x:v>
      </x:c>
      <x:c r="O318" s="26" t="str">
        <x:v>NO</x:v>
      </x:c>
      <x:c r="P318" s="27" t="str">
        <x:v>NO</x:v>
      </x:c>
    </x:row>
    <x:row r="319">
      <x:c r="A319" s="25" t="str">
        <x:v>LP</x:v>
      </x:c>
      <x:c r="B319" s="32" t="n">
        <x:v>11</x:v>
      </x:c>
      <x:c r="C319" s="35" t="n">
        <x:v>0.049999999999999996</x:v>
      </x:c>
      <x:c r="D319" s="32" t="n">
        <x:v>38</x:v>
      </x:c>
      <x:c r="E319" s="32" t="n">
        <x:v>49</x:v>
      </x:c>
      <x:c r="F319" s="35" t="n">
        <x:v>-0.0099999999999999</x:v>
      </x:c>
      <x:c r="G319" s="35" t="n">
        <x:v>0.0400000000000001</x:v>
      </x:c>
      <x:c r="H319" s="50" t="n">
        <x:v>1.643216208159562e-11</x:v>
      </x:c>
      <x:c r="I319" s="50" t="n">
        <x:v>5.956275878741194e-11</x:v>
      </x:c>
      <x:c r="J319" s="47" t="n">
        <x:v>0.5592800948865637</x:v>
      </x:c>
      <x:c r="K319" s="47" t="n">
        <x:v>11.193121887326484</x:v>
      </x:c>
      <x:c r="L319" s="47" t="n">
        <x:v>0.9999620958447174</x:v>
      </x:c>
      <x:c r="M319" s="35" t="n">
        <x:v>89.34057987273945</x:v>
      </x:c>
      <x:c r="N319" s="98" t="n">
        <x:v>1.4817175462653692e-7</x:v>
      </x:c>
      <x:c r="O319" s="26" t="str">
        <x:v>NO</x:v>
      </x:c>
      <x:c r="P319" s="27" t="str">
        <x:v>NO</x:v>
      </x:c>
    </x:row>
    <x:row r="320">
      <x:c r="A320" s="25" t="str">
        <x:v>LP</x:v>
      </x:c>
      <x:c r="B320" s="32" t="n">
        <x:v>11</x:v>
      </x:c>
      <x:c r="C320" s="35" t="n">
        <x:v>0.05</x:v>
      </x:c>
      <x:c r="D320" s="32" t="n">
        <x:v>39</x:v>
      </x:c>
      <x:c r="E320" s="32" t="n">
        <x:v>50</x:v>
      </x:c>
      <x:c r="F320" s="35" t="n">
        <x:v>-0.0049999999999999</x:v>
      </x:c>
      <x:c r="G320" s="35" t="n">
        <x:v>0.0450000000000001</x:v>
      </x:c>
      <x:c r="H320" s="50" t="n">
        <x:v>1.8634160708620268e-11</x:v>
      </x:c>
      <x:c r="I320" s="50" t="n">
        <x:v>6.791409370813255e-11</x:v>
      </x:c>
      <x:c r="J320" s="47" t="n">
        <x:v>0.5616500728437099</x:v>
      </x:c>
      <x:c r="K320" s="47" t="n">
        <x:v>11.239715324768122</x:v>
      </x:c>
      <x:c r="L320" s="47" t="n">
        <x:v>0.9999709631238705</x:v>
      </x:c>
      <x:c r="M320" s="35" t="n">
        <x:v>88.97022487717057</x:v>
      </x:c>
      <x:c r="N320" s="98" t="n">
        <x:v>1.6894701712056637e-7</x:v>
      </x:c>
      <x:c r="O320" s="26" t="str">
        <x:v>NO</x:v>
      </x:c>
      <x:c r="P320" s="27" t="str">
        <x:v>NO</x:v>
      </x:c>
    </x:row>
    <x:row r="321">
      <x:c r="A321" s="25" t="str">
        <x:v>LP</x:v>
      </x:c>
      <x:c r="B321" s="32" t="n">
        <x:v>11</x:v>
      </x:c>
      <x:c r="C321" s="35" t="n">
        <x:v>0.049999999999999906</x:v>
      </x:c>
      <x:c r="D321" s="32" t="n">
        <x:v>40</x:v>
      </x:c>
      <x:c r="E321" s="32" t="n">
        <x:v>51</x:v>
      </x:c>
      <x:c r="F321" s="35" t="n">
        <x:v>9.887923813067799e-17</x:v>
      </x:c>
      <x:c r="G321" s="35" t="n">
        <x:v>0.05</x:v>
      </x:c>
      <x:c r="H321" s="50" t="n">
        <x:v>2.115036673217059e-11</x:v>
      </x:c>
      <x:c r="I321" s="50" t="n">
        <x:v>7.745514553794716e-11</x:v>
      </x:c>
      <x:c r="J321" s="47" t="n">
        <x:v>0.5637323721853225</x:v>
      </x:c>
      <x:c r="K321" s="47" t="n">
        <x:v>11.280631279367155</x:v>
      </x:c>
      <x:c r="L321" s="47" t="n">
        <x:v>0.999977826949794</x:v>
      </x:c>
      <x:c r="M321" s="35" t="n">
        <x:v>88.6475211568213</x:v>
      </x:c>
      <x:c r="N321" s="98" t="n">
        <x:v>1.9268188802626286e-7</x:v>
      </x:c>
      <x:c r="O321" s="26" t="str">
        <x:v>NO</x:v>
      </x:c>
      <x:c r="P321" s="27" t="str">
        <x:v>NO</x:v>
      </x:c>
    </x:row>
    <x:row r="322">
      <x:c r="A322" s="25" t="str">
        <x:v>LP</x:v>
      </x:c>
      <x:c r="B322" s="32" t="n">
        <x:v>11</x:v>
      </x:c>
      <x:c r="C322" s="35" t="n">
        <x:v>0.05</x:v>
      </x:c>
      <x:c r="D322" s="32" t="n">
        <x:v>41</x:v>
      </x:c>
      <x:c r="E322" s="32" t="n">
        <x:v>52</x:v>
      </x:c>
      <x:c r="F322" s="35" t="n">
        <x:v>0.005</x:v>
      </x:c>
      <x:c r="G322" s="35" t="n">
        <x:v>0.055</x:v>
      </x:c>
      <x:c r="H322" s="50" t="n">
        <x:v>2.4025571782320378e-11</x:v>
      </x:c>
      <x:c r="I322" s="50" t="n">
        <x:v>8.835508707411416e-11</x:v>
      </x:c>
      <x:c r="J322" s="47" t="n">
        <x:v>0.565557827017722</x:v>
      </x:c>
      <x:c r="K322" s="47" t="n">
        <x:v>11.316482469331435</x:v>
      </x:c>
      <x:c r="L322" s="47" t="n">
        <x:v>0.9999831279812037</x:v>
      </x:c>
      <x:c r="M322" s="35" t="n">
        <x:v>88.36668131728028</x:v>
      </x:c>
      <x:c r="N322" s="98" t="n">
        <x:v>2.1979721135278858e-7</x:v>
      </x:c>
      <x:c r="O322" s="26" t="str">
        <x:v>NO</x:v>
      </x:c>
      <x:c r="P322" s="27" t="str">
        <x:v>NO</x:v>
      </x:c>
    </x:row>
    <x:row r="323">
      <x:c r="A323" s="25" t="str">
        <x:v>LP</x:v>
      </x:c>
      <x:c r="B323" s="32" t="n">
        <x:v>11</x:v>
      </x:c>
      <x:c r="C323" s="35" t="n">
        <x:v>0.0499999999999999</x:v>
      </x:c>
      <x:c r="D323" s="32" t="n">
        <x:v>42</x:v>
      </x:c>
      <x:c r="E323" s="32" t="n">
        <x:v>53</x:v>
      </x:c>
      <x:c r="F323" s="35" t="n">
        <x:v>0.0100000000000001</x:v>
      </x:c>
      <x:c r="G323" s="35" t="n">
        <x:v>0.06</x:v>
      </x:c>
      <x:c r="H323" s="50" t="n">
        <x:v>2.7310943261342637e-11</x:v>
      </x:c>
      <x:c r="I323" s="50" t="n">
        <x:v>1.008070785903204e-10</x:v>
      </x:c>
      <x:c r="J323" s="47" t="n">
        <x:v>0.5671543289845964</x:v>
      </x:c>
      <x:c r="K323" s="47" t="n">
        <x:v>11.347822154116137</x:v>
      </x:c>
      <x:c r="L323" s="47" t="n">
        <x:v>0.9999872129275578</x:v>
      </x:c>
      <x:c r="M323" s="35" t="n">
        <x:v>88.12263590483528</x:v>
      </x:c>
      <x:c r="N323" s="98" t="n">
        <x:v>2.5077350373938233e-7</x:v>
      </x:c>
      <x:c r="O323" s="26" t="str">
        <x:v>NO</x:v>
      </x:c>
      <x:c r="P323" s="27" t="str">
        <x:v>NO</x:v>
      </x:c>
    </x:row>
    <x:row r="324">
      <x:c r="A324" s="25" t="str">
        <x:v>LP</x:v>
      </x:c>
      <x:c r="B324" s="32" t="n">
        <x:v>11</x:v>
      </x:c>
      <x:c r="C324" s="35" t="n">
        <x:v>0.049999999999999906</x:v>
      </x:c>
      <x:c r="D324" s="32" t="n">
        <x:v>43</x:v>
      </x:c>
      <x:c r="E324" s="32" t="n">
        <x:v>54</x:v>
      </x:c>
      <x:c r="F324" s="35" t="n">
        <x:v>0.0150000000000001</x:v>
      </x:c>
      <x:c r="G324" s="35" t="n">
        <x:v>0.065</x:v>
      </x:c>
      <x:c r="H324" s="50" t="n">
        <x:v>3.106492981728692e-11</x:v>
      </x:c>
      <x:c r="I324" s="50" t="n">
        <x:v>1.1503165422272059e-10</x:v>
      </x:c>
      <x:c r="J324" s="47" t="n">
        <x:v>0.5685469884652328</x:v>
      </x:c>
      <x:c r="K324" s="47" t="n">
        <x:v>11.37514764133095</x:v>
      </x:c>
      <x:c r="L324" s="47" t="n">
        <x:v>0.9999903536460053</x:v>
      </x:c>
      <x:c r="M324" s="35" t="n">
        <x:v>87.91094687567457</x:v>
      </x:c>
      <x:c r="N324" s="98" t="n">
        <x:v>2.8615937862461447e-7</x:v>
      </x:c>
      <x:c r="O324" s="26" t="str">
        <x:v>NO</x:v>
      </x:c>
      <x:c r="P324" s="27" t="str">
        <x:v>NO</x:v>
      </x:c>
    </x:row>
    <x:row r="325">
      <x:c r="A325" s="25" t="str">
        <x:v>LP</x:v>
      </x:c>
      <x:c r="B325" s="32" t="n">
        <x:v>11</x:v>
      </x:c>
      <x:c r="C325" s="35" t="n">
        <x:v>0.049999999999999906</x:v>
      </x:c>
      <x:c r="D325" s="32" t="n">
        <x:v>44</x:v>
      </x:c>
      <x:c r="E325" s="32" t="n">
        <x:v>55</x:v>
      </x:c>
      <x:c r="F325" s="35" t="n">
        <x:v>0.0200000000000001</x:v>
      </x:c>
      <x:c r="G325" s="35" t="n">
        <x:v>0.07</x:v>
      </x:c>
      <x:c r="H325" s="50" t="n">
        <x:v>3.535429495798751e-11</x:v>
      </x:c>
      <x:c r="I325" s="50" t="n">
        <x:v>1.312805831898021e-10</x:v>
      </x:c>
      <x:c r="J325" s="47" t="n">
        <x:v>0.5697583164385769</x:v>
      </x:c>
      <x:c r="K325" s="47" t="n">
        <x:v>11.398904139150778</x:v>
      </x:c>
      <x:c r="L325" s="47" t="n">
        <x:v>0.9999927626542895</x:v>
      </x:c>
      <x:c r="M325" s="35" t="n">
        <x:v>87.72773134966467</x:v>
      </x:c>
      <x:c r="N325" s="98" t="n">
        <x:v>3.265811516396558e-7</x:v>
      </x:c>
      <x:c r="O325" s="26" t="str">
        <x:v>NO</x:v>
      </x:c>
      <x:c r="P325" s="27" t="str">
        <x:v>NO</x:v>
      </x:c>
    </x:row>
    <x:row r="326">
      <x:c r="A326" s="25" t="str">
        <x:v>LP</x:v>
      </x:c>
      <x:c r="B326" s="32" t="n">
        <x:v>11</x:v>
      </x:c>
      <x:c r="C326" s="35" t="n">
        <x:v>0.049999999999999996</x:v>
      </x:c>
      <x:c r="D326" s="32" t="n">
        <x:v>45</x:v>
      </x:c>
      <x:c r="E326" s="32" t="n">
        <x:v>56</x:v>
      </x:c>
      <x:c r="F326" s="35" t="n">
        <x:v>0.0250000000000001</x:v>
      </x:c>
      <x:c r="G326" s="35" t="n">
        <x:v>0.0750000000000001</x:v>
      </x:c>
      <x:c r="H326" s="50" t="n">
        <x:v>4.0255296840700295e-11</x:v>
      </x:c>
      <x:c r="I326" s="50" t="n">
        <x:v>1.5105804807905818e-10</x:v>
      </x:c>
      <x:c r="J326" s="47" t="n">
        <x:v>0.5743208351335802</x:v>
      </x:c>
      <x:c r="K326" s="47" t="n">
        <x:v>11.451419837736305</x:v>
      </x:c>
      <x:c r="L326" s="47" t="n">
        <x:v>0.99995907771503</x:v>
      </x:c>
      <x:c r="M326" s="35" t="n">
        <x:v>87.32541590211036</x:v>
      </x:c>
      <x:c r="N326" s="98" t="n">
        <x:v>3.7578071415765543e-7</x:v>
      </x:c>
      <x:c r="O326" s="26" t="str">
        <x:v>NO</x:v>
      </x:c>
      <x:c r="P326" s="27" t="str">
        <x:v>NO</x:v>
      </x:c>
    </x:row>
    <x:row r="327">
      <x:c r="A327" s="25" t="str">
        <x:v>LP</x:v>
      </x:c>
      <x:c r="B327" s="32" t="n">
        <x:v>11</x:v>
      </x:c>
      <x:c r="C327" s="35" t="n">
        <x:v>0.05</x:v>
      </x:c>
      <x:c r="D327" s="32" t="n">
        <x:v>46</x:v>
      </x:c>
      <x:c r="E327" s="32" t="n">
        <x:v>57</x:v>
      </x:c>
      <x:c r="F327" s="35" t="n">
        <x:v>0.0300000000000001</x:v>
      </x:c>
      <x:c r="G327" s="35" t="n">
        <x:v>0.0800000000000001</x:v>
      </x:c>
      <x:c r="H327" s="50" t="n">
        <x:v>4.5855034789212085e-11</x:v>
      </x:c>
      <x:c r="I327" s="50" t="n">
        <x:v>1.7243119146362487e-10</x:v>
      </x:c>
      <x:c r="J327" s="47" t="n">
        <x:v>0.575228801822945</x:v>
      </x:c>
      <x:c r="K327" s="47" t="n">
        <x:v>11.494741409506396</x:v>
      </x:c>
      <x:c r="L327" s="47" t="n">
        <x:v>0.9999501658893735</x:v>
      </x:c>
      <x:c r="M327" s="35" t="n">
        <x:v>86.99630242860259</x:v>
      </x:c>
      <x:c r="N327" s="98" t="n">
        <x:v>4.289497785470151e-7</x:v>
      </x:c>
      <x:c r="O327" s="26" t="str">
        <x:v>NO</x:v>
      </x:c>
      <x:c r="P327" s="27" t="str">
        <x:v>NO</x:v>
      </x:c>
    </x:row>
    <x:row r="328">
      <x:c r="A328" s="25" t="str">
        <x:v>LP</x:v>
      </x:c>
      <x:c r="B328" s="32" t="n">
        <x:v>11</x:v>
      </x:c>
      <x:c r="C328" s="35" t="n">
        <x:v>0.05</x:v>
      </x:c>
      <x:c r="D328" s="32" t="n">
        <x:v>47</x:v>
      </x:c>
      <x:c r="E328" s="32" t="n">
        <x:v>58</x:v>
      </x:c>
      <x:c r="F328" s="35" t="n">
        <x:v>0.0350000000000001</x:v>
      </x:c>
      <x:c r="G328" s="35" t="n">
        <x:v>0.0850000000000001</x:v>
      </x:c>
      <x:c r="H328" s="50" t="n">
        <x:v>5.2252985954002747e-11</x:v>
      </x:c>
      <x:c r="I328" s="50" t="n">
        <x:v>1.9684298301248878e-10</x:v>
      </x:c>
      <x:c r="J328" s="47" t="n">
        <x:v>0.5760088249354816</x:v>
      </x:c>
      <x:c r="K328" s="47" t="n">
        <x:v>11.529175182952356</x:v>
      </x:c>
      <x:c r="L328" s="47" t="n">
        <x:v>0.9999544643428792</x:v>
      </x:c>
      <x:c r="M328" s="35" t="n">
        <x:v>86.73647369663118</x:v>
      </x:c>
      <x:c r="N328" s="98" t="n">
        <x:v>4.896779593937505e-7</x:v>
      </x:c>
      <x:c r="O328" s="26" t="str">
        <x:v>NO</x:v>
      </x:c>
      <x:c r="P328" s="27" t="str">
        <x:v>NO</x:v>
      </x:c>
    </x:row>
    <x:row r="329">
      <x:c r="A329" s="25" t="str">
        <x:v>LP</x:v>
      </x:c>
      <x:c r="B329" s="32" t="n">
        <x:v>11</x:v>
      </x:c>
      <x:c r="C329" s="35" t="n">
        <x:v>0.049999999999999996</x:v>
      </x:c>
      <x:c r="D329" s="32" t="n">
        <x:v>48</x:v>
      </x:c>
      <x:c r="E329" s="32" t="n">
        <x:v>59</x:v>
      </x:c>
      <x:c r="F329" s="35" t="n">
        <x:v>0.0400000000000001</x:v>
      </x:c>
      <x:c r="G329" s="35" t="n">
        <x:v>0.0900000000000001</x:v>
      </x:c>
      <x:c r="H329" s="50" t="n">
        <x:v>5.956275878741194e-11</x:v>
      </x:c>
      <x:c r="I329" s="50" t="n">
        <x:v>2.2472416984666888e-10</x:v>
      </x:c>
      <x:c r="J329" s="47" t="n">
        <x:v>0.5766749798728679</x:v>
      </x:c>
      <x:c r="K329" s="47" t="n">
        <x:v>11.55499229804884</x:v>
      </x:c>
      <x:c r="L329" s="47" t="n">
        <x:v>0.9999636383275377</x:v>
      </x:c>
      <x:c r="M329" s="35" t="n">
        <x:v>86.54267992622191</x:v>
      </x:c>
      <x:c r="N329" s="98" t="n">
        <x:v>5.590368080836782e-7</x:v>
      </x:c>
      <x:c r="O329" s="26" t="str">
        <x:v>NO</x:v>
      </x:c>
      <x:c r="P329" s="27" t="str">
        <x:v>NO</x:v>
      </x:c>
    </x:row>
    <x:row r="330">
      <x:c r="A330" s="25" t="str">
        <x:v>LP</x:v>
      </x:c>
      <x:c r="B330" s="32" t="n">
        <x:v>11</x:v>
      </x:c>
      <x:c r="C330" s="35" t="n">
        <x:v>0.049999999999999996</x:v>
      </x:c>
      <x:c r="D330" s="32" t="n">
        <x:v>49</x:v>
      </x:c>
      <x:c r="E330" s="32" t="n">
        <x:v>60</x:v>
      </x:c>
      <x:c r="F330" s="35" t="n">
        <x:v>0.0450000000000001</x:v>
      </x:c>
      <x:c r="G330" s="35" t="n">
        <x:v>0.0950000000000001</x:v>
      </x:c>
      <x:c r="H330" s="50" t="n">
        <x:v>6.791409370813255e-11</x:v>
      </x:c>
      <x:c r="I330" s="50" t="n">
        <x:v>2.5656628572766e-10</x:v>
      </x:c>
      <x:c r="J330" s="47" t="n">
        <x:v>0.5772396774718747</x:v>
      </x:c>
      <x:c r="K330" s="47" t="n">
        <x:v>11.572432124748726</x:v>
      </x:c>
      <x:c r="L330" s="47" t="n">
        <x:v>0.9999721734855453</x:v>
      </x:c>
      <x:c r="M330" s="35" t="n">
        <x:v>86.41225882512688</x:v>
      </x:c>
      <x:c r="N330" s="98" t="n">
        <x:v>6.382490923559288e-7</x:v>
      </x:c>
      <x:c r="O330" s="26" t="str">
        <x:v>NO</x:v>
      </x:c>
      <x:c r="P330" s="27" t="str">
        <x:v>NO</x:v>
      </x:c>
    </x:row>
    <x:row r="331">
      <x:c r="A331" s="25" t="str">
        <x:v>LP</x:v>
      </x:c>
      <x:c r="B331" s="32" t="n">
        <x:v>11</x:v>
      </x:c>
      <x:c r="C331" s="35" t="n">
        <x:v>0.0500000000000001</x:v>
      </x:c>
      <x:c r="D331" s="32" t="n">
        <x:v>50</x:v>
      </x:c>
      <x:c r="E331" s="32" t="n">
        <x:v>61</x:v>
      </x:c>
      <x:c r="F331" s="35" t="n">
        <x:v>0.05</x:v>
      </x:c>
      <x:c r="G331" s="35" t="n">
        <x:v>0.1000000000000001</x:v>
      </x:c>
      <x:c r="H331" s="50" t="n">
        <x:v>7.745514553794716e-11</x:v>
      </x:c>
      <x:c r="I331" s="50" t="n">
        <x:v>2.929301697023655e-10</x:v>
      </x:c>
      <x:c r="J331" s="47" t="n">
        <x:v>0.577713828879661</x:v>
      </x:c>
      <x:c r="K331" s="47" t="n">
        <x:v>11.58170545441811</x:v>
      </x:c>
      <x:c r="L331" s="47" t="n">
        <x:v>0.9999770812575447</x:v>
      </x:c>
      <x:c r="M331" s="35" t="n">
        <x:v>86.34306958812589</x:v>
      </x:c>
      <x:c r="N331" s="98" t="n">
        <x:v>7.287099877754783e-7</x:v>
      </x:c>
      <x:c r="O331" s="26" t="str">
        <x:v>NO</x:v>
      </x:c>
      <x:c r="P331" s="27" t="str">
        <x:v>NO</x:v>
      </x:c>
    </x:row>
    <x:row r="332">
      <x:c r="A332" s="25" t="str">
        <x:v>LP</x:v>
      </x:c>
      <x:c r="B332" s="32" t="n">
        <x:v>11</x:v>
      </x:c>
      <x:c r="C332" s="35" t="n">
        <x:v>0.05000000000000009</x:v>
      </x:c>
      <x:c r="D332" s="32" t="n">
        <x:v>51</x:v>
      </x:c>
      <x:c r="E332" s="32" t="n">
        <x:v>62</x:v>
      </x:c>
      <x:c r="F332" s="35" t="n">
        <x:v>0.055</x:v>
      </x:c>
      <x:c r="G332" s="35" t="n">
        <x:v>0.1050000000000001</x:v>
      </x:c>
      <x:c r="H332" s="50" t="n">
        <x:v>8.835508707411416e-11</x:v>
      </x:c>
      <x:c r="I332" s="50" t="n">
        <x:v>3.3445566569647457e-10</x:v>
      </x:c>
      <x:c r="J332" s="47" t="n">
        <x:v>0.5781069981074385</x:v>
      </x:c>
      <x:c r="K332" s="47" t="n">
        <x:v>11.582997448820905</x:v>
      </x:c>
      <x:c r="L332" s="47" t="n">
        <x:v>0.9999776960147039</x:v>
      </x:c>
      <x:c r="M332" s="35" t="n">
        <x:v>86.33343868186688</x:v>
      </x:c>
      <x:c r="N332" s="98" t="n">
        <x:v>8.320112070011521e-7</x:v>
      </x:c>
      <x:c r="O332" s="26" t="str">
        <x:v>NO</x:v>
      </x:c>
      <x:c r="P332" s="27" t="str">
        <x:v>NO</x:v>
      </x:c>
    </x:row>
    <x:row r="333">
      <x:c r="A333" s="25" t="str">
        <x:v>LP</x:v>
      </x:c>
      <x:c r="B333" s="32" t="n">
        <x:v>11</x:v>
      </x:c>
      <x:c r="C333" s="35" t="n">
        <x:v>0.0500000000000001</x:v>
      </x:c>
      <x:c r="D333" s="32" t="n">
        <x:v>52</x:v>
      </x:c>
      <x:c r="E333" s="32" t="n">
        <x:v>63</x:v>
      </x:c>
      <x:c r="F333" s="35" t="n">
        <x:v>0.06</x:v>
      </x:c>
      <x:c r="G333" s="35" t="n">
        <x:v>0.1100000000000001</x:v>
      </x:c>
      <x:c r="H333" s="50" t="n">
        <x:v>1.008070785903204e-10</x:v>
      </x:c>
      <x:c r="I333" s="50" t="n">
        <x:v>3.8187266400736416e-10</x:v>
      </x:c>
      <x:c r="J333" s="47" t="n">
        <x:v>0.5784275419448921</x:v>
      </x:c>
      <x:c r="K333" s="47" t="n">
        <x:v>11.57647034215256</x:v>
      </x:c>
      <x:c r="L333" s="47" t="n">
        <x:v>0.9999755485903082</x:v>
      </x:c>
      <x:c r="M333" s="35" t="n">
        <x:v>86.38211565737552</x:v>
      </x:c>
      <x:c r="N333" s="98" t="n">
        <x:v>9.499684672402951e-7</x:v>
      </x:c>
      <x:c r="O333" s="26" t="str">
        <x:v>NO</x:v>
      </x:c>
      <x:c r="P333" s="27" t="str">
        <x:v>NO</x:v>
      </x:c>
    </x:row>
    <x:row r="334">
      <x:c r="A334" s="25" t="str">
        <x:v>LP</x:v>
      </x:c>
      <x:c r="B334" s="32" t="n">
        <x:v>11</x:v>
      </x:c>
      <x:c r="C334" s="35" t="n">
        <x:v>0.0500000000000001</x:v>
      </x:c>
      <x:c r="D334" s="32" t="n">
        <x:v>53</x:v>
      </x:c>
      <x:c r="E334" s="32" t="n">
        <x:v>64</x:v>
      </x:c>
      <x:c r="F334" s="35" t="n">
        <x:v>0.065</x:v>
      </x:c>
      <x:c r="G334" s="35" t="n">
        <x:v>0.1150000000000001</x:v>
      </x:c>
      <x:c r="H334" s="50" t="n">
        <x:v>1.1503165422272059e-10</x:v>
      </x:c>
      <x:c r="I334" s="50" t="n">
        <x:v>4.3601366699345075e-10</x:v>
      </x:c>
      <x:c r="J334" s="47" t="n">
        <x:v>0.578682737341099</x:v>
      </x:c>
      <x:c r="K334" s="47" t="n">
        <x:v>11.56226589946917</x:v>
      </x:c>
      <x:c r="L334" s="47" t="n">
        <x:v>0.999974305569543</x:v>
      </x:c>
      <x:c r="M334" s="35" t="n">
        <x:v>86.4882375733904</x:v>
      </x:c>
      <x:c r="N334" s="98" t="n">
        <x:v>0.0000010846527493824519</x:v>
      </x:c>
      <x:c r="O334" s="26" t="str">
        <x:v>NO</x:v>
      </x:c>
      <x:c r="P334" s="27" t="str">
        <x:v>NO</x:v>
      </x:c>
    </x:row>
    <x:row r="335">
      <x:c r="A335" s="25" t="str">
        <x:v>LP</x:v>
      </x:c>
      <x:c r="B335" s="32" t="n">
        <x:v>11</x:v>
      </x:c>
      <x:c r="C335" s="35" t="n">
        <x:v>0.0500000000000001</x:v>
      </x:c>
      <x:c r="D335" s="32" t="n">
        <x:v>54</x:v>
      </x:c>
      <x:c r="E335" s="32" t="n">
        <x:v>65</x:v>
      </x:c>
      <x:c r="F335" s="35" t="n">
        <x:v>0.07</x:v>
      </x:c>
      <x:c r="G335" s="35" t="n">
        <x:v>0.1200000000000001</x:v>
      </x:c>
      <x:c r="H335" s="50" t="n">
        <x:v>1.312805831898021e-10</x:v>
      </x:c>
      <x:c r="I335" s="50" t="n">
        <x:v>4.978280853064774e-10</x:v>
      </x:c>
      <x:c r="J335" s="47" t="n">
        <x:v>0.5788788966566649</x:v>
      </x:c>
      <x:c r="K335" s="47" t="n">
        <x:v>11.5405076403089</x:v>
      </x:c>
      <x:c r="L335" s="47" t="n">
        <x:v>0.9999797674364933</x:v>
      </x:c>
      <x:c r="M335" s="35" t="n">
        <x:v>86.65130089314107</x:v>
      </x:c>
      <x:c r="N335" s="98" t="n">
        <x:v>0.0000012384258621314808</x:v>
      </x:c>
      <x:c r="O335" s="26" t="str">
        <x:v>NO</x:v>
      </x:c>
      <x:c r="P335" s="27" t="str">
        <x:v>NO</x:v>
      </x:c>
    </x:row>
    <x:row r="336">
      <x:c r="A336" s="25" t="str">
        <x:v>LP</x:v>
      </x:c>
      <x:c r="B336" s="32" t="n">
        <x:v>11</x:v>
      </x:c>
      <x:c r="C336" s="35" t="n">
        <x:v>0.05000000000000002</x:v>
      </x:c>
      <x:c r="D336" s="32" t="n">
        <x:v>55</x:v>
      </x:c>
      <x:c r="E336" s="32" t="n">
        <x:v>66</x:v>
      </x:c>
      <x:c r="F336" s="35" t="n">
        <x:v>0.0750000000000001</x:v>
      </x:c>
      <x:c r="G336" s="35" t="n">
        <x:v>0.1250000000000001</x:v>
      </x:c>
      <x:c r="H336" s="50" t="n">
        <x:v>1.5105804807905818e-10</x:v>
      </x:c>
      <x:c r="I336" s="50" t="n">
        <x:v>5.683984980839916e-10</x:v>
      </x:c>
      <x:c r="J336" s="47" t="n">
        <x:v>0.5755090531014471</x:v>
      </x:c>
      <x:c r="K336" s="47" t="n">
        <x:v>11.51130283986481</x:v>
      </x:c>
      <x:c r="L336" s="47" t="n">
        <x:v>0.9999999217933894</x:v>
      </x:c>
      <x:c r="M336" s="35" t="n">
        <x:v>86.87113994924177</x:v>
      </x:c>
      <x:c r="N336" s="98" t="n">
        <x:v>0.000001413980891798326</x:v>
      </x:c>
      <x:c r="O336" s="26" t="str">
        <x:v>NO</x:v>
      </x:c>
      <x:c r="P336" s="27" t="str">
        <x:v>NO</x:v>
      </x:c>
    </x:row>
    <x:row r="337">
      <x:c r="A337" s="25" t="str">
        <x:v>LP</x:v>
      </x:c>
      <x:c r="B337" s="32" t="n">
        <x:v>11</x:v>
      </x:c>
      <x:c r="C337" s="35" t="n">
        <x:v>0.04999999999999999</x:v>
      </x:c>
      <x:c r="D337" s="32" t="n">
        <x:v>56</x:v>
      </x:c>
      <x:c r="E337" s="32" t="n">
        <x:v>67</x:v>
      </x:c>
      <x:c r="F337" s="35" t="n">
        <x:v>0.0800000000000001</x:v>
      </x:c>
      <x:c r="G337" s="35" t="n">
        <x:v>0.1300000000000001</x:v>
      </x:c>
      <x:c r="H337" s="50" t="n">
        <x:v>1.7243119146362487e-10</x:v>
      </x:c>
      <x:c r="I337" s="50" t="n">
        <x:v>6.48959140958066e-10</x:v>
      </x:c>
      <x:c r="J337" s="47" t="n">
        <x:v>0.5756015250015629</x:v>
      </x:c>
      <x:c r="K337" s="47" t="n">
        <x:v>11.513061612619216</x:v>
      </x:c>
      <x:c r="L337" s="47" t="n">
        <x:v>0.9999999683961414</x:v>
      </x:c>
      <x:c r="M337" s="35" t="n">
        <x:v>86.85786923123227</x:v>
      </x:c>
      <x:c r="N337" s="98" t="n">
        <x:v>0.0000016143881941379913</x:v>
      </x:c>
      <x:c r="O337" s="26" t="str">
        <x:v>NO</x:v>
      </x:c>
      <x:c r="P337" s="27" t="str">
        <x:v>NO</x:v>
      </x:c>
    </x:row>
    <x:row r="338">
      <x:c r="A338" s="25" t="str">
        <x:v>LP</x:v>
      </x:c>
      <x:c r="B338" s="32" t="n">
        <x:v>11</x:v>
      </x:c>
      <x:c r="C338" s="35" t="n">
        <x:v>0.04999999999999999</x:v>
      </x:c>
      <x:c r="D338" s="32" t="n">
        <x:v>57</x:v>
      </x:c>
      <x:c r="E338" s="32" t="n">
        <x:v>68</x:v>
      </x:c>
      <x:c r="F338" s="35" t="n">
        <x:v>0.0850000000000001</x:v>
      </x:c>
      <x:c r="G338" s="35" t="n">
        <x:v>0.1350000000000001</x:v>
      </x:c>
      <x:c r="H338" s="50" t="n">
        <x:v>1.9684298301248878e-10</x:v>
      </x:c>
      <x:c r="I338" s="50" t="n">
        <x:v>7.409169199265799e-10</x:v>
      </x:c>
      <x:c r="J338" s="47" t="n">
        <x:v>0.5756495748188435</x:v>
      </x:c>
      <x:c r="K338" s="47" t="n">
        <x:v>11.513945967694111</x:v>
      </x:c>
      <x:c r="L338" s="47" t="n">
        <x:v>0.9999999899961898</x:v>
      </x:c>
      <x:c r="M338" s="35" t="n">
        <x:v>86.85119791301828</x:v>
      </x:c>
      <x:c r="N338" s="98" t="n">
        <x:v>0.0000018431476696679191</x:v>
      </x:c>
      <x:c r="O338" s="26" t="str">
        <x:v>NO</x:v>
      </x:c>
      <x:c r="P338" s="27" t="str">
        <x:v>NO</x:v>
      </x:c>
    </x:row>
    <x:row r="339">
      <x:c r="A339" s="25" t="str">
        <x:v>LP</x:v>
      </x:c>
      <x:c r="B339" s="32" t="n">
        <x:v>11</x:v>
      </x:c>
      <x:c r="C339" s="35" t="n">
        <x:v>0.050000000000000114</x:v>
      </x:c>
      <x:c r="D339" s="32" t="n">
        <x:v>58</x:v>
      </x:c>
      <x:c r="E339" s="32" t="n">
        <x:v>69</x:v>
      </x:c>
      <x:c r="F339" s="35" t="n">
        <x:v>0.0900000000000001</x:v>
      </x:c>
      <x:c r="G339" s="35" t="n">
        <x:v>0.1400000000000002</x:v>
      </x:c>
      <x:c r="H339" s="50" t="n">
        <x:v>2.2472416984666888e-10</x:v>
      </x:c>
      <x:c r="I339" s="50" t="n">
        <x:v>8.458752874830023e-10</x:v>
      </x:c>
      <x:c r="J339" s="47" t="n">
        <x:v>0.5756565523170938</x:v>
      </x:c>
      <x:c r="K339" s="47" t="n">
        <x:v>11.514021397456947</x:v>
      </x:c>
      <x:c r="L339" s="47" t="n">
        <x:v>0.9999999917074338</x:v>
      </x:c>
      <x:c r="M339" s="35" t="n">
        <x:v>86.85062894019511</x:v>
      </x:c>
      <x:c r="N339" s="98" t="n">
        <x:v>0.00000210424815930573</x:v>
      </x:c>
      <x:c r="O339" s="26" t="str">
        <x:v>NO</x:v>
      </x:c>
      <x:c r="P339" s="27" t="str">
        <x:v>NO</x:v>
      </x:c>
    </x:row>
    <x:row r="340">
      <x:c r="A340" s="25" t="str">
        <x:v>LP</x:v>
      </x:c>
      <x:c r="B340" s="32" t="n">
        <x:v>11</x:v>
      </x:c>
      <x:c r="C340" s="35" t="n">
        <x:v>0.050000000000000114</x:v>
      </x:c>
      <x:c r="D340" s="32" t="n">
        <x:v>59</x:v>
      </x:c>
      <x:c r="E340" s="32" t="n">
        <x:v>70</x:v>
      </x:c>
      <x:c r="F340" s="35" t="n">
        <x:v>0.0950000000000001</x:v>
      </x:c>
      <x:c r="G340" s="35" t="n">
        <x:v>0.1450000000000002</x:v>
      </x:c>
      <x:c r="H340" s="50" t="n">
        <x:v>2.5656628572766e-10</x:v>
      </x:c>
      <x:c r="I340" s="50" t="n">
        <x:v>9.656613603731478e-10</x:v>
      </x:c>
      <x:c r="J340" s="47" t="n">
        <x:v>0.5756252670317021</x:v>
      </x:c>
      <x:c r="K340" s="47" t="n">
        <x:v>11.51334276757921</x:v>
      </x:c>
      <x:c r="L340" s="47" t="n">
        <x:v>0.9999999772888796</x:v>
      </x:c>
      <x:c r="M340" s="35" t="n">
        <x:v>86.85574816863196</x:v>
      </x:c>
      <x:c r="N340" s="98" t="n">
        <x:v>0.0000024022349040652123</x:v>
      </x:c>
      <x:c r="O340" s="26" t="str">
        <x:v>NO</x:v>
      </x:c>
      <x:c r="P340" s="27" t="str">
        <x:v>NO</x:v>
      </x:c>
    </x:row>
    <x:row r="341">
      <x:c r="A341" s="25" t="str">
        <x:v>LP</x:v>
      </x:c>
      <x:c r="B341" s="32" t="n">
        <x:v>11</x:v>
      </x:c>
      <x:c r="C341" s="35" t="n">
        <x:v>0.050000000000000086</x:v>
      </x:c>
      <x:c r="D341" s="32" t="n">
        <x:v>60</x:v>
      </x:c>
      <x:c r="E341" s="32" t="n">
        <x:v>71</x:v>
      </x:c>
      <x:c r="F341" s="35" t="n">
        <x:v>0.1000000000000001</x:v>
      </x:c>
      <x:c r="G341" s="35" t="n">
        <x:v>0.1500000000000002</x:v>
      </x:c>
      <x:c r="H341" s="50" t="n">
        <x:v>2.929301697023655e-10</x:v>
      </x:c>
      <x:c r="I341" s="50" t="n">
        <x:v>1.102356706418941e-9</x:v>
      </x:c>
      <x:c r="J341" s="47" t="n">
        <x:v>0.5755580453694424</x:v>
      </x:c>
      <x:c r="K341" s="47" t="n">
        <x:v>11.511955440896205</x:v>
      </x:c>
      <x:c r="L341" s="47" t="n">
        <x:v>0.9999999494415652</x:v>
      </x:c>
      <x:c r="M341" s="35" t="n">
        <x:v>86.86621531277835</x:v>
      </x:c>
      <x:c r="N341" s="98" t="n">
        <x:v>0.000002742286132135048</x:v>
      </x:c>
      <x:c r="O341" s="26" t="str">
        <x:v>NO</x:v>
      </x:c>
      <x:c r="P341" s="27" t="str">
        <x:v>NO</x:v>
      </x:c>
    </x:row>
    <x:row r="342">
      <x:c r="A342" s="25" t="str">
        <x:v>LP</x:v>
      </x:c>
      <x:c r="B342" s="32" t="n">
        <x:v>11</x:v>
      </x:c>
      <x:c r="C342" s="35" t="n">
        <x:v>0.0500000000000001</x:v>
      </x:c>
      <x:c r="D342" s="32" t="n">
        <x:v>61</x:v>
      </x:c>
      <x:c r="E342" s="32" t="n">
        <x:v>72</x:v>
      </x:c>
      <x:c r="F342" s="35" t="n">
        <x:v>0.1050000000000001</x:v>
      </x:c>
      <x:c r="G342" s="35" t="n">
        <x:v>0.1550000000000002</x:v>
      </x:c>
      <x:c r="H342" s="50" t="n">
        <x:v>3.3445566569647457e-10</x:v>
      </x:c>
      <x:c r="I342" s="50" t="n">
        <x:v>1.258332281556775e-9</x:v>
      </x:c>
      <x:c r="J342" s="47" t="n">
        <x:v>0.5754567809186071</x:v>
      </x:c>
      <x:c r="K342" s="47" t="n">
        <x:v>11.509896266755646</x:v>
      </x:c>
      <x:c r="L342" s="47" t="n">
        <x:v>0.9999999100350367</x:v>
      </x:c>
      <x:c r="M342" s="35" t="n">
        <x:v>86.8817560839647</x:v>
      </x:c>
      <x:c r="N342" s="98" t="n">
        <x:v>0.000003130299970270773</x:v>
      </x:c>
      <x:c r="O342" s="26" t="str">
        <x:v>NO</x:v>
      </x:c>
      <x:c r="P342" s="27" t="str">
        <x:v>NO</x:v>
      </x:c>
    </x:row>
    <x:row r="343">
      <x:c r="A343" s="25" t="str">
        <x:v>LP</x:v>
      </x:c>
      <x:c r="B343" s="32" t="n">
        <x:v>11</x:v>
      </x:c>
      <x:c r="C343" s="35" t="n">
        <x:v>0.0500000000000001</x:v>
      </x:c>
      <x:c r="D343" s="32" t="n">
        <x:v>62</x:v>
      </x:c>
      <x:c r="E343" s="32" t="n">
        <x:v>73</x:v>
      </x:c>
      <x:c r="F343" s="35" t="n">
        <x:v>0.1100000000000001</x:v>
      </x:c>
      <x:c r="G343" s="35" t="n">
        <x:v>0.1600000000000002</x:v>
      </x:c>
      <x:c r="H343" s="50" t="n">
        <x:v>3.8187266400736416e-10</x:v>
      </x:c>
      <x:c r="I343" s="50" t="n">
        <x:v>1.436288058139643e-9</x:v>
      </x:c>
      <x:c r="J343" s="47" t="n">
        <x:v>0.5753229786689058</x:v>
      </x:c>
      <x:c r="K343" s="47" t="n">
        <x:v>11.50719444986983</x:v>
      </x:c>
      <x:c r="L343" s="47" t="n">
        <x:v>0.999999860279234</x:v>
      </x:c>
      <x:c r="M343" s="35" t="n">
        <x:v>86.90215537387674</x:v>
      </x:c>
      <x:c r="N343" s="98" t="n">
        <x:v>0.000003572993025445111</x:v>
      </x:c>
      <x:c r="O343" s="26" t="str">
        <x:v>NO</x:v>
      </x:c>
      <x:c r="P343" s="27" t="str">
        <x:v>NO</x:v>
      </x:c>
    </x:row>
    <x:row r="344">
      <x:c r="A344" s="25" t="str">
        <x:v>LP</x:v>
      </x:c>
      <x:c r="B344" s="32" t="n">
        <x:v>11</x:v>
      </x:c>
      <x:c r="C344" s="35" t="n">
        <x:v>0.0500000000000001</x:v>
      </x:c>
      <x:c r="D344" s="32" t="n">
        <x:v>63</x:v>
      </x:c>
      <x:c r="E344" s="32" t="n">
        <x:v>74</x:v>
      </x:c>
      <x:c r="F344" s="35" t="n">
        <x:v>0.1150000000000001</x:v>
      </x:c>
      <x:c r="G344" s="35" t="n">
        <x:v>0.1650000000000002</x:v>
      </x:c>
      <x:c r="H344" s="50" t="n">
        <x:v>4.3601366699345075e-10</x:v>
      </x:c>
      <x:c r="I344" s="50" t="n">
        <x:v>1.639297952254774e-9</x:v>
      </x:c>
      <x:c r="J344" s="47" t="n">
        <x:v>0.5751577937900496</x:v>
      </x:c>
      <x:c r="K344" s="47" t="n">
        <x:v>11.503872311639707</x:v>
      </x:c>
      <x:c r="L344" s="47" t="n">
        <x:v>0.9999998008540611</x:v>
      </x:c>
      <x:c r="M344" s="35" t="n">
        <x:v>86.92725135589276</x:v>
      </x:c>
      <x:c r="N344" s="98" t="n">
        <x:v>0.000004078012148634946</x:v>
      </x:c>
      <x:c r="O344" s="26" t="str">
        <x:v>NO</x:v>
      </x:c>
      <x:c r="P344" s="27" t="str">
        <x:v>NO</x:v>
      </x:c>
    </x:row>
    <x:row r="345">
      <x:c r="A345" s="25" t="str">
        <x:v>LP</x:v>
      </x:c>
      <x:c r="B345" s="32" t="n">
        <x:v>11</x:v>
      </x:c>
      <x:c r="C345" s="35" t="n">
        <x:v>0.0500000000000001</x:v>
      </x:c>
      <x:c r="D345" s="32" t="n">
        <x:v>64</x:v>
      </x:c>
      <x:c r="E345" s="32" t="n">
        <x:v>75</x:v>
      </x:c>
      <x:c r="F345" s="35" t="n">
        <x:v>0.1200000000000001</x:v>
      </x:c>
      <x:c r="G345" s="35" t="n">
        <x:v>0.1700000000000002</x:v>
      </x:c>
      <x:c r="H345" s="50" t="n">
        <x:v>4.978280853064774e-10</x:v>
      </x:c>
      <x:c r="I345" s="50" t="n">
        <x:v>1.870860731940521e-9</x:v>
      </x:c>
      <x:c r="J345" s="47" t="n">
        <x:v>0.5749620655673642</x:v>
      </x:c>
      <x:c r="K345" s="47" t="n">
        <x:v>11.499945955875852</x:v>
      </x:c>
      <x:c r="L345" s="47" t="n">
        <x:v>0.9999997320061207</x:v>
      </x:c>
      <x:c r="M345" s="35" t="n">
        <x:v>86.9569303922732</x:v>
      </x:c>
      <x:c r="N345" s="98" t="n">
        <x:v>0.000004654061077038288</x:v>
      </x:c>
      <x:c r="O345" s="26" t="str">
        <x:v>NO</x:v>
      </x:c>
      <x:c r="P345" s="27" t="str">
        <x:v>NO</x:v>
      </x:c>
    </x:row>
    <x:row r="346">
      <x:c r="A346" s="25" t="str">
        <x:v>LP</x:v>
      </x:c>
      <x:c r="B346" s="32" t="n">
        <x:v>11</x:v>
      </x:c>
      <x:c r="C346" s="35" t="n">
        <x:v>0.0500000000000001</x:v>
      </x:c>
      <x:c r="D346" s="32" t="n">
        <x:v>65</x:v>
      </x:c>
      <x:c r="E346" s="32" t="n">
        <x:v>76</x:v>
      </x:c>
      <x:c r="F346" s="35" t="n">
        <x:v>0.1250000000000001</x:v>
      </x:c>
      <x:c r="G346" s="35" t="n">
        <x:v>0.1750000000000002</x:v>
      </x:c>
      <x:c r="H346" s="50" t="n">
        <x:v>5.683984980839916e-10</x:v>
      </x:c>
      <x:c r="I346" s="50" t="n">
        <x:v>2.134957670422552e-9</x:v>
      </x:c>
      <x:c r="J346" s="47" t="n">
        <x:v>0.574736347043519</x:v>
      </x:c>
      <x:c r="K346" s="47" t="n">
        <x:v>11.495425849824167</x:v>
      </x:c>
      <x:c r="L346" s="47" t="n">
        <x:v>0.9999996536199218</x:v>
      </x:c>
      <x:c r="M346" s="35" t="n">
        <x:v>86.99112264860513</x:v>
      </x:c>
      <x:c r="N346" s="98" t="n">
        <x:v>0.000005311043855590332</x:v>
      </x:c>
      <x:c r="O346" s="26" t="str">
        <x:v>NO</x:v>
      </x:c>
      <x:c r="P346" s="27" t="str">
        <x:v>NO</x:v>
      </x:c>
    </x:row>
    <x:row r="347">
      <x:c r="A347" s="25" t="str">
        <x:v>LP</x:v>
      </x:c>
      <x:c r="B347" s="32" t="n">
        <x:v>11</x:v>
      </x:c>
      <x:c r="C347" s="35" t="n">
        <x:v>0.0500000000000001</x:v>
      </x:c>
      <x:c r="D347" s="32" t="n">
        <x:v>66</x:v>
      </x:c>
      <x:c r="E347" s="32" t="n">
        <x:v>77</x:v>
      </x:c>
      <x:c r="F347" s="35" t="n">
        <x:v>0.1300000000000001</x:v>
      </x:c>
      <x:c r="G347" s="35" t="n">
        <x:v>0.1800000000000002</x:v>
      </x:c>
      <x:c r="H347" s="50" t="n">
        <x:v>6.48959140958066e-10</x:v>
      </x:c>
      <x:c r="I347" s="50" t="n">
        <x:v>2.436117799521789e-9</x:v>
      </x:c>
      <x:c r="J347" s="47" t="n">
        <x:v>0.5744809308685426</x:v>
      </x:c>
      <x:c r="K347" s="47" t="n">
        <x:v>11.490317330438469</x:v>
      </x:c>
      <x:c r="L347" s="47" t="n">
        <x:v>0.9999995652691939</x:v>
      </x:c>
      <x:c r="M347" s="35" t="n">
        <x:v>87.02979832862808</x:v>
      </x:c>
      <x:c r="N347" s="98" t="n">
        <x:v>0.000006060227165105187</x:v>
      </x:c>
      <x:c r="O347" s="26" t="str">
        <x:v>NO</x:v>
      </x:c>
      <x:c r="P347" s="27" t="str">
        <x:v>NO</x:v>
      </x:c>
    </x:row>
    <x:row r="348">
      <x:c r="A348" s="25" t="str">
        <x:v>LP</x:v>
      </x:c>
      <x:c r="B348" s="32" t="n">
        <x:v>11</x:v>
      </x:c>
      <x:c r="C348" s="35" t="n">
        <x:v>0.0500000000000001</x:v>
      </x:c>
      <x:c r="D348" s="32" t="n">
        <x:v>67</x:v>
      </x:c>
      <x:c r="E348" s="32" t="n">
        <x:v>78</x:v>
      </x:c>
      <x:c r="F348" s="35" t="n">
        <x:v>0.1350000000000001</x:v>
      </x:c>
      <x:c r="G348" s="35" t="n">
        <x:v>0.1850000000000002</x:v>
      </x:c>
      <x:c r="H348" s="50" t="n">
        <x:v>7.409169199265799e-10</x:v>
      </x:c>
      <x:c r="I348" s="50" t="n">
        <x:v>2.77949171892227e-9</x:v>
      </x:c>
      <x:c r="J348" s="47" t="n">
        <x:v>0.5741958718130782</x:v>
      </x:c>
      <x:c r="K348" s="47" t="n">
        <x:v>11.484621044930059</x:v>
      </x:c>
      <x:c r="L348" s="47" t="n">
        <x:v>0.9999994662526407</x:v>
      </x:c>
      <x:c r="M348" s="35" t="n">
        <x:v>87.07296445288065</x:v>
      </x:c>
      <x:c r="N348" s="98" t="n">
        <x:v>0.000006914423934468279</x:v>
      </x:c>
      <x:c r="O348" s="26" t="str">
        <x:v>NO</x:v>
      </x:c>
      <x:c r="P348" s="27" t="str">
        <x:v>NO</x:v>
      </x:c>
    </x:row>
    <x:row r="349">
      <x:c r="A349" s="25" t="str">
        <x:v>LP</x:v>
      </x:c>
      <x:c r="B349" s="32" t="n">
        <x:v>11</x:v>
      </x:c>
      <x:c r="C349" s="35" t="n">
        <x:v>0.04999999999999999</x:v>
      </x:c>
      <x:c r="D349" s="32" t="n">
        <x:v>68</x:v>
      </x:c>
      <x:c r="E349" s="32" t="n">
        <x:v>79</x:v>
      </x:c>
      <x:c r="F349" s="35" t="n">
        <x:v>0.1400000000000002</x:v>
      </x:c>
      <x:c r="G349" s="35" t="n">
        <x:v>0.1900000000000002</x:v>
      </x:c>
      <x:c r="H349" s="50" t="n">
        <x:v>8.458752874830023e-10</x:v>
      </x:c>
      <x:c r="I349" s="50" t="n">
        <x:v>3.170935027767185e-9</x:v>
      </x:c>
      <x:c r="J349" s="47" t="n">
        <x:v>0.5738810063624218</x:v>
      </x:c>
      <x:c r="K349" s="47" t="n">
        <x:v>11.478333333816439</x:v>
      </x:c>
      <x:c r="L349" s="47" t="n">
        <x:v>0.9999993556174704</x:v>
      </x:c>
      <x:c r="M349" s="35" t="n">
        <x:v>87.12066211336531</x:v>
      </x:c>
      <x:c r="N349" s="98" t="n">
        <x:v>0.000007888200889887382</x:v>
      </x:c>
      <x:c r="O349" s="26" t="str">
        <x:v>NO</x:v>
      </x:c>
      <x:c r="P349" s="27" t="str">
        <x:v>NO</x:v>
      </x:c>
    </x:row>
    <x:row r="350">
      <x:c r="A350" s="25" t="str">
        <x:v>LP</x:v>
      </x:c>
      <x:c r="B350" s="32" t="n">
        <x:v>11</x:v>
      </x:c>
      <x:c r="C350" s="35" t="n">
        <x:v>0.04999999999999999</x:v>
      </x:c>
      <x:c r="D350" s="32" t="n">
        <x:v>69</x:v>
      </x:c>
      <x:c r="E350" s="32" t="n">
        <x:v>80</x:v>
      </x:c>
      <x:c r="F350" s="35" t="n">
        <x:v>0.1450000000000002</x:v>
      </x:c>
      <x:c r="G350" s="35" t="n">
        <x:v>0.1950000000000002</x:v>
      </x:c>
      <x:c r="H350" s="50" t="n">
        <x:v>9.656613603731478e-10</x:v>
      </x:c>
      <x:c r="I350" s="50" t="n">
        <x:v>3.617102566781934e-9</x:v>
      </x:c>
      <x:c r="J350" s="47" t="n">
        <x:v>0.5735359697676348</x:v>
      </x:c>
      <x:c r="K350" s="47" t="n">
        <x:v>11.471446563920582</x:v>
      </x:c>
      <x:c r="L350" s="47" t="n">
        <x:v>0.9999992321732729</x:v>
      </x:c>
      <x:c r="M350" s="35" t="n">
        <x:v>87.17296414430852</x:v>
      </x:c>
      <x:c r="N350" s="98" t="n">
        <x:v>0.000008998112997034287</x:v>
      </x:c>
      <x:c r="O350" s="26" t="str">
        <x:v>NO</x:v>
      </x:c>
      <x:c r="P350" s="27" t="str">
        <x:v>NO</x:v>
      </x:c>
    </x:row>
    <x:row r="351">
      <x:c r="A351" s="25" t="str">
        <x:v>LP</x:v>
      </x:c>
      <x:c r="B351" s="32" t="n">
        <x:v>11</x:v>
      </x:c>
      <x:c r="C351" s="35" t="n">
        <x:v>0.05000000000000002</x:v>
      </x:c>
      <x:c r="D351" s="32" t="n">
        <x:v>70</x:v>
      </x:c>
      <x:c r="E351" s="32" t="n">
        <x:v>81</x:v>
      </x:c>
      <x:c r="F351" s="35" t="n">
        <x:v>0.1500000000000002</x:v>
      </x:c>
      <x:c r="G351" s="35" t="n">
        <x:v>0.2000000000000002</x:v>
      </x:c>
      <x:c r="H351" s="50" t="n">
        <x:v>1.102356706418941e-9</x:v>
      </x:c>
      <x:c r="I351" s="50" t="n">
        <x:v>4.125554792534778e-9</x:v>
      </x:c>
      <x:c r="J351" s="47" t="n">
        <x:v>0.5731602108989247</x:v>
      </x:c>
      <x:c r="K351" s="47" t="n">
        <x:v>11.463949418116647</x:v>
      </x:c>
      <x:c r="L351" s="47" t="n">
        <x:v>0.9999990944982307</x:v>
      </x:c>
      <x:c r="M351" s="35" t="n">
        <x:v>87.22997315564612</x:v>
      </x:c>
      <x:c r="N351" s="98" t="n">
        <x:v>0.000010262968083791771</x:v>
      </x:c>
      <x:c r="O351" s="26" t="str">
        <x:v>NO</x:v>
      </x:c>
      <x:c r="P351" s="27" t="str">
        <x:v>NO</x:v>
      </x:c>
    </x:row>
    <x:row r="352">
      <x:c r="A352" s="25" t="str">
        <x:v>LP</x:v>
      </x:c>
      <x:c r="B352" s="32" t="n">
        <x:v>11</x:v>
      </x:c>
      <x:c r="C352" s="35" t="n">
        <x:v>0.05000000000000002</x:v>
      </x:c>
      <x:c r="D352" s="32" t="n">
        <x:v>71</x:v>
      </x:c>
      <x:c r="E352" s="32" t="n">
        <x:v>82</x:v>
      </x:c>
      <x:c r="F352" s="35" t="n">
        <x:v>0.1550000000000002</x:v>
      </x:c>
      <x:c r="G352" s="35" t="n">
        <x:v>0.2050000000000002</x:v>
      </x:c>
      <x:c r="H352" s="50" t="n">
        <x:v>1.258332281556775e-9</x:v>
      </x:c>
      <x:c r="I352" s="50" t="n">
        <x:v>4.7048777512138814e-9</x:v>
      </x:c>
      <x:c r="J352" s="47" t="n">
        <x:v>0.5727530052157661</x:v>
      </x:c>
      <x:c r="K352" s="47" t="n">
        <x:v>11.45582714802541</x:v>
      </x:c>
      <x:c r="L352" s="47" t="n">
        <x:v>0.9999989409392136</x:v>
      </x:c>
      <x:c r="M352" s="35" t="n">
        <x:v>87.2918198815845</x:v>
      </x:c>
      <x:c r="N352" s="98" t="n">
        <x:v>0.00001170412529394203</x:v>
      </x:c>
      <x:c r="O352" s="26" t="str">
        <x:v>NO</x:v>
      </x:c>
      <x:c r="P352" s="27" t="str">
        <x:v>NO</x:v>
      </x:c>
    </x:row>
    <x:row r="353">
      <x:c r="A353" s="25" t="str">
        <x:v>LP</x:v>
      </x:c>
      <x:c r="B353" s="32" t="n">
        <x:v>11</x:v>
      </x:c>
      <x:c r="C353" s="35" t="n">
        <x:v>0.04999999999999999</x:v>
      </x:c>
      <x:c r="D353" s="32" t="n">
        <x:v>72</x:v>
      </x:c>
      <x:c r="E353" s="32" t="n">
        <x:v>83</x:v>
      </x:c>
      <x:c r="F353" s="35" t="n">
        <x:v>0.1600000000000002</x:v>
      </x:c>
      <x:c r="G353" s="35" t="n">
        <x:v>0.2100000000000002</x:v>
      </x:c>
      <x:c r="H353" s="50" t="n">
        <x:v>1.436288058139643e-9</x:v>
      </x:c>
      <x:c r="I353" s="50" t="n">
        <x:v>5.3648182780588584e-9</x:v>
      </x:c>
      <x:c r="J353" s="47" t="n">
        <x:v>0.5723134661424023</x:v>
      </x:c>
      <x:c r="K353" s="47" t="n">
        <x:v>11.447061795337484</x:v>
      </x:c>
      <x:c r="L353" s="47" t="n">
        <x:v>0.9999987696069752</x:v>
      </x:c>
      <x:c r="M353" s="35" t="n">
        <x:v>87.35866180152108</x:v>
      </x:c>
      <x:c r="N353" s="98" t="n">
        <x:v>0.000013345831417071561</x:v>
      </x:c>
      <x:c r="O353" s="26" t="str">
        <x:v>NO</x:v>
      </x:c>
      <x:c r="P353" s="27" t="str">
        <x:v>NO</x:v>
      </x:c>
    </x:row>
    <x:row r="354">
      <x:c r="A354" s="25" t="str">
        <x:v>LP</x:v>
      </x:c>
      <x:c r="B354" s="32" t="n">
        <x:v>11</x:v>
      </x:c>
      <x:c r="C354" s="35" t="n">
        <x:v>0.04999999999999999</x:v>
      </x:c>
      <x:c r="D354" s="32" t="n">
        <x:v>73</x:v>
      </x:c>
      <x:c r="E354" s="32" t="n">
        <x:v>84</x:v>
      </x:c>
      <x:c r="F354" s="35" t="n">
        <x:v>0.1650000000000002</x:v>
      </x:c>
      <x:c r="G354" s="35" t="n">
        <x:v>0.2150000000000002</x:v>
      </x:c>
      <x:c r="H354" s="50" t="n">
        <x:v>1.639297952254774e-9</x:v>
      </x:c>
      <x:c r="I354" s="50" t="n">
        <x:v>6.116436220906963e-9</x:v>
      </x:c>
      <x:c r="J354" s="47" t="n">
        <x:v>0.5718405551142389</x:v>
      </x:c>
      <x:c r="K354" s="47" t="n">
        <x:v>11.437632387009092</x:v>
      </x:c>
      <x:c r="L354" s="47" t="n">
        <x:v>0.999998578367434</x:v>
      </x:c>
      <x:c r="M354" s="35" t="n">
        <x:v>87.43068199462364</x:v>
      </x:c>
      <x:c r="N354" s="98" t="n">
        <x:v>0.000015215599568645636</x:v>
      </x:c>
      <x:c r="O354" s="26" t="str">
        <x:v>NO</x:v>
      </x:c>
      <x:c r="P354" s="27" t="str">
        <x:v>NO</x:v>
      </x:c>
    </x:row>
    <x:row r="355">
      <x:c r="A355" s="25" t="str">
        <x:v>LP</x:v>
      </x:c>
      <x:c r="B355" s="32" t="n">
        <x:v>11</x:v>
      </x:c>
      <x:c r="C355" s="35" t="n">
        <x:v>0.04999999999999999</x:v>
      </x:c>
      <x:c r="D355" s="32" t="n">
        <x:v>74</x:v>
      </x:c>
      <x:c r="E355" s="32" t="n">
        <x:v>85</x:v>
      </x:c>
      <x:c r="F355" s="35" t="n">
        <x:v>0.1700000000000002</x:v>
      </x:c>
      <x:c r="G355" s="35" t="n">
        <x:v>0.2200000000000002</x:v>
      </x:c>
      <x:c r="H355" s="50" t="n">
        <x:v>1.870860731940521e-9</x:v>
      </x:c>
      <x:c r="I355" s="50" t="n">
        <x:v>6.972275672665353e-9</x:v>
      </x:c>
      <x:c r="J355" s="47" t="n">
        <x:v>0.5713330905423515</x:v>
      </x:c>
      <x:c r="K355" s="47" t="n">
        <x:v>11.427515109187281</x:v>
      </x:c>
      <x:c r="L355" s="47" t="n">
        <x:v>0.9999983648298563</x:v>
      </x:c>
      <x:c r="M355" s="35" t="n">
        <x:v>87.50808819285993</x:v>
      </x:c>
      <x:c r="N355" s="98" t="n">
        <x:v>0.000017344635157783836</x:v>
      </x:c>
      <x:c r="O355" s="26" t="str">
        <x:v>NO</x:v>
      </x:c>
      <x:c r="P355" s="27" t="str">
        <x:v>NO</x:v>
      </x:c>
    </x:row>
    <x:row r="356">
      <x:c r="A356" s="25" t="str">
        <x:v>LP</x:v>
      </x:c>
      <x:c r="B356" s="32" t="n">
        <x:v>11</x:v>
      </x:c>
      <x:c r="C356" s="35" t="n">
        <x:v>0.04999999999999999</x:v>
      </x:c>
      <x:c r="D356" s="32" t="n">
        <x:v>75</x:v>
      </x:c>
      <x:c r="E356" s="32" t="n">
        <x:v>86</x:v>
      </x:c>
      <x:c r="F356" s="35" t="n">
        <x:v>0.1750000000000002</x:v>
      </x:c>
      <x:c r="G356" s="35" t="n">
        <x:v>0.2250000000000002</x:v>
      </x:c>
      <x:c r="H356" s="50" t="n">
        <x:v>2.134957670422552e-9</x:v>
      </x:c>
      <x:c r="I356" s="50" t="n">
        <x:v>7.946557398246181e-9</x:v>
      </x:c>
      <x:c r="J356" s="47" t="n">
        <x:v>0.5707897559263575</x:v>
      </x:c>
      <x:c r="K356" s="47" t="n">
        <x:v>11.416683464407894</x:v>
      </x:c>
      <x:c r="L356" s="47" t="n">
        <x:v>0.9999981263326483</x:v>
      </x:c>
      <x:c r="M356" s="35" t="n">
        <x:v>87.59111200004381</x:v>
      </x:c>
      <x:c r="N356" s="98" t="n">
        <x:v>0.000019768314579603883</x:v>
      </x:c>
      <x:c r="O356" s="26" t="str">
        <x:v>NO</x:v>
      </x:c>
      <x:c r="P356" s="27" t="str">
        <x:v>NO</x:v>
      </x:c>
    </x:row>
    <x:row r="357">
      <x:c r="A357" s="25" t="str">
        <x:v>LP</x:v>
      </x:c>
      <x:c r="B357" s="32" t="n">
        <x:v>11</x:v>
      </x:c>
      <x:c r="C357" s="35" t="n">
        <x:v>0.05000000000000002</x:v>
      </x:c>
      <x:c r="D357" s="32" t="n">
        <x:v>76</x:v>
      </x:c>
      <x:c r="E357" s="32" t="n">
        <x:v>87</x:v>
      </x:c>
      <x:c r="F357" s="35" t="n">
        <x:v>0.1800000000000002</x:v>
      </x:c>
      <x:c r="G357" s="35" t="n">
        <x:v>0.2300000000000002</x:v>
      </x:c>
      <x:c r="H357" s="50" t="n">
        <x:v>2.436117799521789e-9</x:v>
      </x:c>
      <x:c r="I357" s="50" t="n">
        <x:v>9.055394856811717e-9</x:v>
      </x:c>
      <x:c r="J357" s="47" t="n">
        <x:v>0.5702091073326354</x:v>
      </x:c>
      <x:c r="K357" s="47" t="n">
        <x:v>11.405108416347664</x:v>
      </x:c>
      <x:c r="L357" s="47" t="n">
        <x:v>0.9999978599274093</x:v>
      </x:c>
      <x:c r="M357" s="35" t="n">
        <x:v>87.68000824671132</x:v>
      </x:c>
      <x:c r="N357" s="98" t="n">
        <x:v>0.000022526722604619815</x:v>
      </x:c>
      <x:c r="O357" s="26" t="str">
        <x:v>NO</x:v>
      </x:c>
      <x:c r="P357" s="27" t="str">
        <x:v>NO</x:v>
      </x:c>
    </x:row>
    <x:row r="358">
      <x:c r="A358" s="25" t="str">
        <x:v>LP</x:v>
      </x:c>
      <x:c r="B358" s="32" t="n">
        <x:v>11</x:v>
      </x:c>
      <x:c r="C358" s="35" t="n">
        <x:v>0.05000000000000002</x:v>
      </x:c>
      <x:c r="D358" s="32" t="n">
        <x:v>77</x:v>
      </x:c>
      <x:c r="E358" s="32" t="n">
        <x:v>88</x:v>
      </x:c>
      <x:c r="F358" s="35" t="n">
        <x:v>0.1850000000000002</x:v>
      </x:c>
      <x:c r="G358" s="35" t="n">
        <x:v>0.2350000000000002</x:v>
      </x:c>
      <x:c r="H358" s="50" t="n">
        <x:v>2.77949171892227e-9</x:v>
      </x:c>
      <x:c r="I358" s="50" t="n">
        <x:v>1.031703645006383e-8</x:v>
      </x:c>
      <x:c r="J358" s="47" t="n">
        <x:v>0.5695895804443127</x:v>
      </x:c>
      <x:c r="K358" s="47" t="n">
        <x:v>11.392758526200002</x:v>
      </x:c>
      <x:c r="L358" s="47" t="n">
        <x:v>0.9999975623618786</x:v>
      </x:c>
      <x:c r="M358" s="35" t="n">
        <x:v>87.7750544523781</x:v>
      </x:c>
      <x:c r="N358" s="98" t="n">
        <x:v>0.00002566525500956096</x:v>
      </x:c>
      <x:c r="O358" s="26" t="str">
        <x:v>NO</x:v>
      </x:c>
      <x:c r="P358" s="27" t="str">
        <x:v>NO</x:v>
      </x:c>
    </x:row>
    <x:row r="359">
      <x:c r="A359" s="25" t="str">
        <x:v>LP</x:v>
      </x:c>
      <x:c r="B359" s="32" t="n">
        <x:v>11</x:v>
      </x:c>
      <x:c r="C359" s="35" t="n">
        <x:v>0.05000000000000002</x:v>
      </x:c>
      <x:c r="D359" s="32" t="n">
        <x:v>78</x:v>
      </x:c>
      <x:c r="E359" s="32" t="n">
        <x:v>89</x:v>
      </x:c>
      <x:c r="F359" s="35" t="n">
        <x:v>0.1900000000000002</x:v>
      </x:c>
      <x:c r="G359" s="35" t="n">
        <x:v>0.2400000000000002</x:v>
      </x:c>
      <x:c r="H359" s="50" t="n">
        <x:v>3.170935027767185e-9</x:v>
      </x:c>
      <x:c r="I359" s="50" t="n">
        <x:v>1.1752136871608331e-8</x:v>
      </x:c>
      <x:c r="J359" s="47" t="n">
        <x:v>0.5689294973798731</x:v>
      </x:c>
      <x:c r="K359" s="47" t="n">
        <x:v>11.37960008457322</x:v>
      </x:c>
      <x:c r="L359" s="47" t="n">
        <x:v>0.9999972300624292</x:v>
      </x:c>
      <x:c r="M359" s="35" t="n">
        <x:v>87.87655036802676</x:v>
      </x:c>
      <x:c r="N359" s="98" t="n">
        <x:v>0.00002923529360170339</x:v>
      </x:c>
      <x:c r="O359" s="26" t="str">
        <x:v>NO</x:v>
      </x:c>
      <x:c r="P359" s="27" t="str">
        <x:v>NO</x:v>
      </x:c>
    </x:row>
    <x:row r="360">
      <x:c r="A360" s="25" t="str">
        <x:v>LP</x:v>
      </x:c>
      <x:c r="B360" s="32" t="n">
        <x:v>11</x:v>
      </x:c>
      <x:c r="C360" s="35" t="n">
        <x:v>0.04999999999999999</x:v>
      </x:c>
      <x:c r="D360" s="32" t="n">
        <x:v>79</x:v>
      </x:c>
      <x:c r="E360" s="32" t="n">
        <x:v>90</x:v>
      </x:c>
      <x:c r="F360" s="35" t="n">
        <x:v>0.1950000000000002</x:v>
      </x:c>
      <x:c r="G360" s="35" t="n">
        <x:v>0.2450000000000002</x:v>
      </x:c>
      <x:c r="H360" s="50" t="n">
        <x:v>3.617102566781934e-9</x:v>
      </x:c>
      <x:c r="I360" s="50" t="n">
        <x:v>1.3384060690676641e-8</x:v>
      </x:c>
      <x:c r="J360" s="47" t="n">
        <x:v>0.5682270734711805</x:v>
      </x:c>
      <x:c r="K360" s="47" t="n">
        <x:v>11.365597242683693</x:v>
      </x:c>
      <x:c r="L360" s="47" t="n">
        <x:v>0.9999968591168139</x:v>
      </x:c>
      <x:c r="M360" s="35" t="n">
        <x:v>87.98481757249704</x:v>
      </x:c>
      <x:c r="N360" s="98" t="n">
        <x:v>0.00003329496143124815</x:v>
      </x:c>
      <x:c r="O360" s="26" t="str">
        <x:v>NO</x:v>
      </x:c>
      <x:c r="P360" s="27" t="str">
        <x:v>NO</x:v>
      </x:c>
    </x:row>
    <x:row r="361">
      <x:c r="A361" s="25" t="str">
        <x:v>LP</x:v>
      </x:c>
      <x:c r="B361" s="32" t="n">
        <x:v>11</x:v>
      </x:c>
      <x:c r="C361" s="35" t="n">
        <x:v>0.05000000000000002</x:v>
      </x:c>
      <x:c r="D361" s="32" t="n">
        <x:v>80</x:v>
      </x:c>
      <x:c r="E361" s="32" t="n">
        <x:v>91</x:v>
      </x:c>
      <x:c r="F361" s="35" t="n">
        <x:v>0.2000000000000002</x:v>
      </x:c>
      <x:c r="G361" s="35" t="n">
        <x:v>0.2500000000000002</x:v>
      </x:c>
      <x:c r="H361" s="50" t="n">
        <x:v>4.125554792534778e-9</x:v>
      </x:c>
      <x:c r="I361" s="50" t="n">
        <x:v>1.523922157501657e-8</x:v>
      </x:c>
      <x:c r="J361" s="47" t="n">
        <x:v>0.5674804241858347</x:v>
      </x:c>
      <x:c r="K361" s="47" t="n">
        <x:v>11.350712146515058</x:v>
      </x:c>
      <x:c r="L361" s="47" t="n">
        <x:v>0.9999964452579474</x:v>
      </x:c>
      <x:c r="M361" s="35" t="n">
        <x:v>88.1001990969372</x:v>
      </x:c>
      <x:c r="N361" s="98" t="n">
        <x:v>0.00003790996666175234</x:v>
      </x:c>
      <x:c r="O361" s="26" t="str">
        <x:v>NO</x:v>
      </x:c>
      <x:c r="P361" s="27" t="str">
        <x:v>NO</x:v>
      </x:c>
    </x:row>
    <x:row r="362">
      <x:c r="A362" s="25" t="str">
        <x:v>LP</x:v>
      </x:c>
      <x:c r="B362" s="32" t="n">
        <x:v>11</x:v>
      </x:c>
      <x:c r="C362" s="35" t="n">
        <x:v>0.05000000000000002</x:v>
      </x:c>
      <x:c r="D362" s="32" t="n">
        <x:v>81</x:v>
      </x:c>
      <x:c r="E362" s="32" t="n">
        <x:v>92</x:v>
      </x:c>
      <x:c r="F362" s="35" t="n">
        <x:v>0.2050000000000002</x:v>
      </x:c>
      <x:c r="G362" s="35" t="n">
        <x:v>0.2550000000000002</x:v>
      </x:c>
      <x:c r="H362" s="50" t="n">
        <x:v>4.7048777512138814e-9</x:v>
      </x:c>
      <x:c r="I362" s="50" t="n">
        <x:v>1.7347460841589792e-8</x:v>
      </x:c>
      <x:c r="J362" s="47" t="n">
        <x:v>0.566687572374236</x:v>
      </x:c>
      <x:c r="K362" s="47" t="n">
        <x:v>11.334905077534216</x:v>
      </x:c>
      <x:c r="L362" s="47" t="n">
        <x:v>0.9999959838496182</x:v>
      </x:c>
      <x:c r="M362" s="35" t="n">
        <x:v>88.2230590516369</x:v>
      </x:c>
      <x:c r="N362" s="98" t="n">
        <x:v>0.00004315454427468078</x:v>
      </x:c>
      <x:c r="O362" s="26" t="str">
        <x:v>NO</x:v>
      </x:c>
      <x:c r="P362" s="27" t="str">
        <x:v>NO</x:v>
      </x:c>
    </x:row>
    <x:row r="363">
      <x:c r="A363" s="25" t="str">
        <x:v>LP</x:v>
      </x:c>
      <x:c r="B363" s="32" t="n">
        <x:v>11</x:v>
      </x:c>
      <x:c r="C363" s="35" t="n">
        <x:v>0.04999999999999999</x:v>
      </x:c>
      <x:c r="D363" s="32" t="n">
        <x:v>82</x:v>
      </x:c>
      <x:c r="E363" s="32" t="n">
        <x:v>93</x:v>
      </x:c>
      <x:c r="F363" s="35" t="n">
        <x:v>0.2100000000000002</x:v>
      </x:c>
      <x:c r="G363" s="35" t="n">
        <x:v>0.2600000000000002</x:v>
      </x:c>
      <x:c r="H363" s="50" t="n">
        <x:v>5.3648182780588584e-9</x:v>
      </x:c>
      <x:c r="I363" s="50" t="n">
        <x:v>1.974246931861928e-8</x:v>
      </x:c>
      <x:c r="J363" s="47" t="n">
        <x:v>0.5658464560186474</x:v>
      </x:c>
      <x:c r="K363" s="47" t="n">
        <x:v>11.318134603498411</x:v>
      </x:c>
      <x:c r="L363" s="47" t="n">
        <x:v>0.9999954698751542</x:v>
      </x:c>
      <x:c r="M363" s="35" t="n">
        <x:v>88.35378222935272</x:v>
      </x:c>
      <x:c r="N363" s="98" t="n">
        <x:v>0.00004911250551777029</x:v>
      </x:c>
      <x:c r="O363" s="26" t="str">
        <x:v>NO</x:v>
      </x:c>
      <x:c r="P363" s="27" t="str">
        <x:v>NO</x:v>
      </x:c>
    </x:row>
    <x:row r="364">
      <x:c r="A364" s="25" t="str">
        <x:v>LP</x:v>
      </x:c>
      <x:c r="B364" s="32" t="n">
        <x:v>11</x:v>
      </x:c>
      <x:c r="C364" s="35" t="n">
        <x:v>0.04999999999999999</x:v>
      </x:c>
      <x:c r="D364" s="32" t="n">
        <x:v>83</x:v>
      </x:c>
      <x:c r="E364" s="32" t="n">
        <x:v>94</x:v>
      </x:c>
      <x:c r="F364" s="35" t="n">
        <x:v>0.2150000000000002</x:v>
      </x:c>
      <x:c r="G364" s="35" t="n">
        <x:v>0.2650000000000002</x:v>
      </x:c>
      <x:c r="H364" s="50" t="n">
        <x:v>6.116436220906963e-9</x:v>
      </x:c>
      <x:c r="I364" s="50" t="n">
        <x:v>2.2462256806987223e-8</x:v>
      </x:c>
      <x:c r="J364" s="47" t="n">
        <x:v>0.5649549366578182</x:v>
      </x:c>
      <x:c r="K364" s="47" t="n">
        <x:v>11.300357742827284</x:v>
      </x:c>
      <x:c r="L364" s="47" t="n">
        <x:v>0.9999948979302146</x:v>
      </x:c>
      <x:c r="M364" s="35" t="n">
        <x:v>88.49277365884576</x:v>
      </x:c>
      <x:c r="N364" s="98" t="n">
        <x:v>0.00005587840576428388</x:v>
      </x:c>
      <x:c r="O364" s="26" t="str">
        <x:v>NO</x:v>
      </x:c>
      <x:c r="P364" s="27" t="str">
        <x:v>NO</x:v>
      </x:c>
    </x:row>
    <x:row r="365">
      <x:c r="A365" s="25" t="str">
        <x:v>LP</x:v>
      </x:c>
      <x:c r="B365" s="32" t="n">
        <x:v>11</x:v>
      </x:c>
      <x:c r="C365" s="35" t="n">
        <x:v>0.04999999999999999</x:v>
      </x:c>
      <x:c r="D365" s="32" t="n">
        <x:v>84</x:v>
      </x:c>
      <x:c r="E365" s="32" t="n">
        <x:v>95</x:v>
      </x:c>
      <x:c r="F365" s="35" t="n">
        <x:v>0.2200000000000002</x:v>
      </x:c>
      <x:c r="G365" s="35" t="n">
        <x:v>0.2700000000000002</x:v>
      </x:c>
      <x:c r="H365" s="50" t="n">
        <x:v>6.972275672665353e-9</x:v>
      </x:c>
      <x:c r="I365" s="50" t="n">
        <x:v>2.554967374128647e-8</x:v>
      </x:c>
      <x:c r="J365" s="47" t="n">
        <x:v>0.5640108086572084</x:v>
      </x:c>
      <x:c r="K365" s="47" t="n">
        <x:v>11.281530145958094</x:v>
      </x:c>
      <x:c r="L365" s="47" t="n">
        <x:v>0.9999942622210553</x:v>
      </x:c>
      <x:c r="M365" s="35" t="n">
        <x:v>88.64045808167933</x:v>
      </x:c>
      <x:c r="N365" s="98" t="n">
        <x:v>0.0000635588422271343</x:v>
      </x:c>
      <x:c r="O365" s="26" t="str">
        <x:v>NO</x:v>
      </x:c>
      <x:c r="P365" s="27" t="str">
        <x:v>NO</x:v>
      </x:c>
    </x:row>
    <x:row r="366">
      <x:c r="A366" s="25" t="str">
        <x:v>LP</x:v>
      </x:c>
      <x:c r="B366" s="32" t="n">
        <x:v>11</x:v>
      </x:c>
      <x:c r="C366" s="35" t="n">
        <x:v>0.04999999999999999</x:v>
      </x:c>
      <x:c r="D366" s="32" t="n">
        <x:v>85</x:v>
      </x:c>
      <x:c r="E366" s="32" t="n">
        <x:v>96</x:v>
      </x:c>
      <x:c r="F366" s="35" t="n">
        <x:v>0.2250000000000002</x:v>
      </x:c>
      <x:c r="G366" s="35" t="n">
        <x:v>0.2750000000000002</x:v>
      </x:c>
      <x:c r="H366" s="50" t="n">
        <x:v>7.946557398246181e-9</x:v>
      </x:c>
      <x:c r="I366" s="50" t="n">
        <x:v>2.9052989969066852e-8</x:v>
      </x:c>
      <x:c r="J366" s="47" t="n">
        <x:v>0.563011809490555</x:v>
      </x:c>
      <x:c r="K366" s="47" t="n">
        <x:v>11.261606297026848</x:v>
      </x:c>
      <x:c r="L366" s="47" t="n">
        <x:v>0.999993556569789</x:v>
      </x:c>
      <x:c r="M366" s="35" t="n">
        <x:v>88.79727932453187</x:v>
      </x:c>
      <x:c r="N366" s="98" t="n">
        <x:v>0.00007227389376352393</x:v>
      </x:c>
      <x:c r="O366" s="26" t="str">
        <x:v>NO</x:v>
      </x:c>
      <x:c r="P366" s="27" t="str">
        <x:v>NO</x:v>
      </x:c>
    </x:row>
    <x:row r="367">
      <x:c r="A367" s="25" t="str">
        <x:v>LP</x:v>
      </x:c>
      <x:c r="B367" s="32" t="n">
        <x:v>11</x:v>
      </x:c>
      <x:c r="C367" s="35" t="n">
        <x:v>0.04999999999999999</x:v>
      </x:c>
      <x:c r="D367" s="32" t="n">
        <x:v>86</x:v>
      </x:c>
      <x:c r="E367" s="32" t="n">
        <x:v>97</x:v>
      </x:c>
      <x:c r="F367" s="35" t="n">
        <x:v>0.2300000000000002</x:v>
      </x:c>
      <x:c r="G367" s="35" t="n">
        <x:v>0.2800000000000002</x:v>
      </x:c>
      <x:c r="H367" s="50" t="n">
        <x:v>9.055394856811717e-9</x:v>
      </x:c>
      <x:c r="I367" s="50" t="n">
        <x:v>3.3026535889044646e-8</x:v>
      </x:c>
      <x:c r="J367" s="47" t="n">
        <x:v>0.5619556311921858</x:v>
      </x:c>
      <x:c r="K367" s="47" t="n">
        <x:v>11.240539739112847</x:v>
      </x:c>
      <x:c r="L367" s="47" t="n">
        <x:v>0.9999927744283498</x:v>
      </x:c>
      <x:c r="M367" s="35" t="n">
        <x:v>88.96369953841064</x:v>
      </x:c>
      <x:c r="N367" s="98" t="n">
        <x:v>0.00008215871580733862</x:v>
      </x:c>
      <x:c r="O367" s="26" t="str">
        <x:v>NO</x:v>
      </x:c>
      <x:c r="P367" s="27" t="str">
        <x:v>NO</x:v>
      </x:c>
    </x:row>
    <x:row r="368">
      <x:c r="A368" s="25" t="str">
        <x:v>LP</x:v>
      </x:c>
      <x:c r="B368" s="32" t="n">
        <x:v>11</x:v>
      </x:c>
      <x:c r="C368" s="35" t="n">
        <x:v>0.0500000000000001</x:v>
      </x:c>
      <x:c r="D368" s="32" t="n">
        <x:v>87</x:v>
      </x:c>
      <x:c r="E368" s="32" t="n">
        <x:v>98</x:v>
      </x:c>
      <x:c r="F368" s="35" t="n">
        <x:v>0.2350000000000002</x:v>
      </x:c>
      <x:c r="G368" s="35" t="n">
        <x:v>0.2850000000000003</x:v>
      </x:c>
      <x:c r="H368" s="50" t="n">
        <x:v>1.031703645006383e-8</x:v>
      </x:c>
      <x:c r="I368" s="50" t="n">
        <x:v>3.753141151336801e-8</x:v>
      </x:c>
      <x:c r="J368" s="47" t="n">
        <x:v>0.5608399331322005</x:v>
      </x:c>
      <x:c r="K368" s="47" t="n">
        <x:v>11.21828332615119</x:v>
      </x:c>
      <x:c r="L368" s="47" t="n">
        <x:v>0.9999919089030468</x:v>
      </x:c>
      <x:c r="M368" s="35" t="n">
        <x:v>89.14019827515658</x:v>
      </x:c>
      <x:c r="N368" s="98" t="n">
        <x:v>0.00009336530427334128</x:v>
      </x:c>
      <x:c r="O368" s="26" t="str">
        <x:v>NO</x:v>
      </x:c>
      <x:c r="P368" s="27" t="str">
        <x:v>NO</x:v>
      </x:c>
    </x:row>
    <x:row r="369">
      <x:c r="A369" s="25" t="str">
        <x:v>LP</x:v>
      </x:c>
      <x:c r="B369" s="32" t="n">
        <x:v>11</x:v>
      </x:c>
      <x:c r="C369" s="35" t="n">
        <x:v>0.0500000000000001</x:v>
      </x:c>
      <x:c r="D369" s="32" t="n">
        <x:v>88</x:v>
      </x:c>
      <x:c r="E369" s="32" t="n">
        <x:v>99</x:v>
      </x:c>
      <x:c r="F369" s="35" t="n">
        <x:v>0.2400000000000002</x:v>
      </x:c>
      <x:c r="G369" s="35" t="n">
        <x:v>0.2900000000000003</x:v>
      </x:c>
      <x:c r="H369" s="50" t="n">
        <x:v>1.1752136871608331e-8</x:v>
      </x:c>
      <x:c r="I369" s="50" t="n">
        <x:v>4.263626934374696e-8</x:v>
      </x:c>
      <x:c r="J369" s="47" t="n">
        <x:v>0.5596623562550036</x:v>
      </x:c>
      <x:c r="K369" s="47" t="n">
        <x:v>11.194789504409554</x:v>
      </x:c>
      <x:c r="L369" s="47" t="n">
        <x:v>0.9999909527917583</x:v>
      </x:c>
      <x:c r="M369" s="35" t="n">
        <x:v>89.32727137085575</x:v>
      </x:c>
      <x:c r="N369" s="98" t="n">
        <x:v>0.00010606444308499287</x:v>
      </x:c>
      <x:c r="O369" s="26" t="str">
        <x:v>NO</x:v>
      </x:c>
      <x:c r="P369" s="27" t="str">
        <x:v>NO</x:v>
      </x:c>
    </x:row>
    <x:row r="370">
      <x:c r="A370" s="25" t="str">
        <x:v>LP</x:v>
      </x:c>
      <x:c r="B370" s="32" t="n">
        <x:v>11</x:v>
      </x:c>
      <x:c r="C370" s="35" t="n">
        <x:v>0.05000000000000013</x:v>
      </x:c>
      <x:c r="D370" s="32" t="n">
        <x:v>89</x:v>
      </x:c>
      <x:c r="E370" s="32" t="n">
        <x:v>100</x:v>
      </x:c>
      <x:c r="F370" s="35" t="n">
        <x:v>0.2450000000000002</x:v>
      </x:c>
      <x:c r="G370" s="35" t="n">
        <x:v>0.2950000000000003</x:v>
      </x:c>
      <x:c r="H370" s="50" t="n">
        <x:v>1.3384060690676641e-8</x:v>
      </x:c>
      <x:c r="I370" s="50" t="n">
        <x:v>4.841817727521244e-8</x:v>
      </x:c>
      <x:c r="J370" s="47" t="n">
        <x:v>0.5584205389074848</x:v>
      </x:c>
      <x:c r="K370" s="47" t="n">
        <x:v>11.170010626159856</x:v>
      </x:c>
      <x:c r="L370" s="47" t="n">
        <x:v>0.9999898986359366</x:v>
      </x:c>
      <x:c r="M370" s="35" t="n">
        <x:v>89.52542960505585</x:v>
      </x:c>
      <x:c r="N370" s="98" t="n">
        <x:v>0.00012044785078361998</x:v>
      </x:c>
      <x:c r="O370" s="26" t="str">
        <x:v>NO</x:v>
      </x:c>
      <x:c r="P370" s="27" t="str">
        <x:v>NO</x:v>
      </x:c>
    </x:row>
    <x:row r="371">
      <x:c r="A371" s="25" t="str">
        <x:v>LP</x:v>
      </x:c>
      <x:c r="B371" s="32" t="n">
        <x:v>11</x:v>
      </x:c>
      <x:c r="C371" s="35" t="n">
        <x:v>0.0500000000000001</x:v>
      </x:c>
      <x:c r="D371" s="32" t="n">
        <x:v>90</x:v>
      </x:c>
      <x:c r="E371" s="32" t="n">
        <x:v>101</x:v>
      </x:c>
      <x:c r="F371" s="35" t="n">
        <x:v>0.2500000000000002</x:v>
      </x:c>
      <x:c r="G371" s="35" t="n">
        <x:v>0.3000000000000003</x:v>
      </x:c>
      <x:c r="H371" s="50" t="n">
        <x:v>1.523922157501657e-8</x:v>
      </x:c>
      <x:c r="I371" s="50" t="n">
        <x:v>5.4963568063869245e-8</x:v>
      </x:c>
      <x:c r="J371" s="47" t="n">
        <x:v>0.5571121343635133</x:v>
      </x:c>
      <x:c r="K371" s="47" t="n">
        <x:v>11.143899297813563</x:v>
      </x:c>
      <x:c r="L371" s="47" t="n">
        <x:v>0.9999887387896718</x:v>
      </x:c>
      <x:c r="M371" s="35" t="n">
        <x:v>89.73519710432059</x:v>
      </x:c>
      <x:c r="N371" s="98" t="n">
        <x:v>0.0001367305424791668</x:v>
      </x:c>
      <x:c r="O371" s="26" t="str">
        <x:v>NO</x:v>
      </x:c>
      <x:c r="P371" s="27" t="str">
        <x:v>NO</x:v>
      </x:c>
    </x:row>
    <x:row r="372">
      <x:c r="A372" s="25" t="str">
        <x:v>LP</x:v>
      </x:c>
      <x:c r="B372" s="32" t="n">
        <x:v>11</x:v>
      </x:c>
      <x:c r="C372" s="35" t="n">
        <x:v>0.0500000000000001</x:v>
      </x:c>
      <x:c r="D372" s="32" t="n">
        <x:v>91</x:v>
      </x:c>
      <x:c r="E372" s="32" t="n">
        <x:v>102</x:v>
      </x:c>
      <x:c r="F372" s="35" t="n">
        <x:v>0.2550000000000002</x:v>
      </x:c>
      <x:c r="G372" s="35" t="n">
        <x:v>0.3050000000000003</x:v>
      </x:c>
      <x:c r="H372" s="50" t="n">
        <x:v>1.7347460841589792e-8</x:v>
      </x:c>
      <x:c r="I372" s="50" t="n">
        <x:v>6.236928221678175e-8</x:v>
      </x:c>
      <x:c r="J372" s="47" t="n">
        <x:v>0.555734830126922</x:v>
      </x:c>
      <x:c r="K372" s="47" t="n">
        <x:v>11.116408764314475</x:v>
      </x:c>
      <x:c r="L372" s="47" t="n">
        <x:v>0.9999874655080496</x:v>
      </x:c>
      <x:c r="M372" s="35" t="n">
        <x:v>89.95710945878193</x:v>
      </x:c>
      <x:c r="N372" s="98" t="n">
        <x:v>0.00015515342420323382</x:v>
      </x:c>
      <x:c r="O372" s="26" t="str">
        <x:v>NO</x:v>
      </x:c>
      <x:c r="P372" s="27" t="str">
        <x:v>NO</x:v>
      </x:c>
    </x:row>
    <x:row r="373">
      <x:c r="A373" s="25" t="str">
        <x:v>LP</x:v>
      </x:c>
      <x:c r="B373" s="32" t="n">
        <x:v>11</x:v>
      </x:c>
      <x:c r="C373" s="35" t="n">
        <x:v>0.0500000000000001</x:v>
      </x:c>
      <x:c r="D373" s="32" t="n">
        <x:v>92</x:v>
      </x:c>
      <x:c r="E373" s="32" t="n">
        <x:v>103</x:v>
      </x:c>
      <x:c r="F373" s="35" t="n">
        <x:v>0.2600000000000002</x:v>
      </x:c>
      <x:c r="G373" s="35" t="n">
        <x:v>0.3100000000000003</x:v>
      </x:c>
      <x:c r="H373" s="50" t="n">
        <x:v>1.974246931861928e-8</x:v>
      </x:c>
      <x:c r="I373" s="50" t="n">
        <x:v>7.074371148474389e-8</x:v>
      </x:c>
      <x:c r="J373" s="47" t="n">
        <x:v>0.5542863690631048</x:v>
      </x:c>
      <x:c r="K373" s="47" t="n">
        <x:v>11.087493330978882</x:v>
      </x:c>
      <x:c r="L373" s="47" t="n">
        <x:v>0.9999860710569233</x:v>
      </x:c>
      <x:c r="M373" s="35" t="n">
        <x:v>90.19171152112098</x:v>
      </x:c>
      <x:c r="N373" s="98" t="n">
        <x:v>0.00017598613752765457</x:v>
      </x:c>
      <x:c r="O373" s="26" t="str">
        <x:v>NO</x:v>
      </x:c>
      <x:c r="P373" s="27" t="str">
        <x:v>NO</x:v>
      </x:c>
    </x:row>
    <x:row r="374">
      <x:c r="A374" s="25" t="str">
        <x:v>LP</x:v>
      </x:c>
      <x:c r="B374" s="32" t="n">
        <x:v>11</x:v>
      </x:c>
      <x:c r="C374" s="35" t="n">
        <x:v>0.0500000000000001</x:v>
      </x:c>
      <x:c r="D374" s="32" t="n">
        <x:v>93</x:v>
      </x:c>
      <x:c r="E374" s="32" t="n">
        <x:v>104</x:v>
      </x:c>
      <x:c r="F374" s="35" t="n">
        <x:v>0.2650000000000002</x:v>
      </x:c>
      <x:c r="G374" s="35" t="n">
        <x:v>0.3150000000000003</x:v>
      </x:c>
      <x:c r="H374" s="50" t="n">
        <x:v>2.2462256806987223e-8</x:v>
      </x:c>
      <x:c r="I374" s="50" t="n">
        <x:v>8.020805046558592e-8</x:v>
      </x:c>
      <x:c r="J374" s="47" t="n">
        <x:v>0.5527645723709353</x:v>
      </x:c>
      <x:c r="K374" s="47" t="n">
        <x:v>11.057108823220348</x:v>
      </x:c>
      <x:c r="L374" s="47" t="n">
        <x:v>0.9999845478459537</x:v>
      </x:c>
      <x:c r="M374" s="35" t="n">
        <x:v>90.43955485903892</x:v>
      </x:c>
      <x:c r="N374" s="98" t="n">
        <x:v>0.00019953017312508004</x:v>
      </x:c>
      <x:c r="O374" s="26" t="str">
        <x:v>NO</x:v>
      </x:c>
      <x:c r="P374" s="27" t="str">
        <x:v>NO</x:v>
      </x:c>
    </x:row>
    <x:row r="375">
      <x:c r="A375" s="25" t="str">
        <x:v>LP</x:v>
      </x:c>
      <x:c r="B375" s="32" t="n">
        <x:v>11</x:v>
      </x:c>
      <x:c r="C375" s="35" t="n">
        <x:v>0.0500000000000001</x:v>
      </x:c>
      <x:c r="D375" s="32" t="n">
        <x:v>94</x:v>
      </x:c>
      <x:c r="E375" s="32" t="n">
        <x:v>105</x:v>
      </x:c>
      <x:c r="F375" s="35" t="n">
        <x:v>0.2700000000000002</x:v>
      </x:c>
      <x:c r="G375" s="35" t="n">
        <x:v>0.3200000000000003</x:v>
      </x:c>
      <x:c r="H375" s="50" t="n">
        <x:v>2.554967374128647e-8</x:v>
      </x:c>
      <x:c r="I375" s="50" t="n">
        <x:v>9.08976641617378e-8</x:v>
      </x:c>
      <x:c r="J375" s="47" t="n">
        <x:v>0.551167364358105</x:v>
      </x:c>
      <x:c r="K375" s="47" t="n">
        <x:v>11.025213083661203</x:v>
      </x:c>
      <x:c r="L375" s="47" t="n">
        <x:v>0.9999828885863312</x:v>
      </x:c>
      <x:c r="M375" s="35" t="n">
        <x:v>90.70119483513189</x:v>
      </x:c>
      <x:c r="N375" s="98" t="n">
        <x:v>0.0002261222727840607</x:v>
      </x:c>
      <x:c r="O375" s="26" t="str">
        <x:v>NO</x:v>
      </x:c>
      <x:c r="P375" s="27" t="str">
        <x:v>NO</x:v>
      </x:c>
    </x:row>
    <x:row r="376">
      <x:c r="A376" s="25" t="str">
        <x:v>LP</x:v>
      </x:c>
      <x:c r="B376" s="32" t="n">
        <x:v>11</x:v>
      </x:c>
      <x:c r="C376" s="35" t="n">
        <x:v>0.0500000000000001</x:v>
      </x:c>
      <x:c r="D376" s="32" t="n">
        <x:v>95</x:v>
      </x:c>
      <x:c r="E376" s="32" t="n">
        <x:v>106</x:v>
      </x:c>
      <x:c r="F376" s="35" t="n">
        <x:v>0.2750000000000002</x:v>
      </x:c>
      <x:c r="G376" s="35" t="n">
        <x:v>0.3250000000000003</x:v>
      </x:c>
      <x:c r="H376" s="50" t="n">
        <x:v>2.9052989969066852e-8</x:v>
      </x:c>
      <x:c r="I376" s="50" t="n">
        <x:v>1.029635796884623e-7</x:v>
      </x:c>
      <x:c r="J376" s="47" t="n">
        <x:v>0.5494927989266518</x:v>
      </x:c>
      <x:c r="K376" s="47" t="n">
        <x:v>10.99176650501954</x:v>
      </x:c>
      <x:c r="L376" s="47" t="n">
        <x:v>0.9999810864739184</x:v>
      </x:c>
      <x:c r="M376" s="35" t="n">
        <x:v>90.9771872922643</x:v>
      </x:c>
      <x:c r="N376" s="98" t="n">
        <x:v>0.00025613814026849603</x:v>
      </x:c>
      <x:c r="O376" s="26" t="str">
        <x:v>NO</x:v>
      </x:c>
      <x:c r="P376" s="27" t="str">
        <x:v>NO</x:v>
      </x:c>
    </x:row>
    <x:row r="377">
      <x:c r="A377" s="25" t="str">
        <x:v>LP</x:v>
      </x:c>
      <x:c r="B377" s="32" t="n">
        <x:v>11</x:v>
      </x:c>
      <x:c r="C377" s="35" t="n">
        <x:v>0.0500000000000001</x:v>
      </x:c>
      <x:c r="D377" s="32" t="n">
        <x:v>96</x:v>
      </x:c>
      <x:c r="E377" s="32" t="n">
        <x:v>107</x:v>
      </x:c>
      <x:c r="F377" s="35" t="n">
        <x:v>0.2800000000000002</x:v>
      </x:c>
      <x:c r="G377" s="35" t="n">
        <x:v>0.3300000000000003</x:v>
      </x:c>
      <x:c r="H377" s="50" t="n">
        <x:v>3.3026535889044646e-8</x:v>
      </x:c>
      <x:c r="I377" s="50" t="n">
        <x:v>1.165741107072096e-7</x:v>
      </x:c>
      <x:c r="J377" s="47" t="n">
        <x:v>0.5477390876074439</x:v>
      </x:c>
      <x:c r="K377" s="47" t="n">
        <x:v>10.956732595821668</x:v>
      </x:c>
      <x:c r="L377" s="47" t="n">
        <x:v>0.9999791353976218</x:v>
      </x:c>
      <x:c r="M377" s="35" t="n">
        <x:v>91.26808482862386</x:v>
      </x:c>
      <x:c r="N377" s="98" t="n">
        <x:v>0.0002899964823517527</x:v>
      </x:c>
      <x:c r="O377" s="26" t="str">
        <x:v>NO</x:v>
      </x:c>
      <x:c r="P377" s="27" t="str">
        <x:v>NO</x:v>
      </x:c>
    </x:row>
    <x:row r="378">
      <x:c r="A378" s="25" t="str">
        <x:v>LP</x:v>
      </x:c>
      <x:c r="B378" s="32" t="n">
        <x:v>11</x:v>
      </x:c>
      <x:c r="C378" s="35" t="n">
        <x:v>0.04999999999999999</x:v>
      </x:c>
      <x:c r="D378" s="32" t="n">
        <x:v>97</x:v>
      </x:c>
      <x:c r="E378" s="32" t="n">
        <x:v>108</x:v>
      </x:c>
      <x:c r="F378" s="35" t="n">
        <x:v>0.2850000000000003</x:v>
      </x:c>
      <x:c r="G378" s="35" t="n">
        <x:v>0.3350000000000003</x:v>
      </x:c>
      <x:c r="H378" s="50" t="n">
        <x:v>3.753141151336801e-8</x:v>
      </x:c>
      <x:c r="I378" s="50" t="n">
        <x:v>1.319166235729035e-7</x:v>
      </x:c>
      <x:c r="J378" s="47" t="n">
        <x:v>0.5459046289040339</x:v>
      </x:c>
      <x:c r="K378" s="47" t="n">
        <x:v>10.920078574441446</x:v>
      </x:c>
      <x:c r="L378" s="47" t="n">
        <x:v>0.9999770301715639</x:v>
      </x:c>
      <x:c r="M378" s="35" t="n">
        <x:v>91.57443265477137</x:v>
      </x:c>
      <x:c r="N378" s="98" t="n">
        <x:v>0.0003281634023865334</x:v>
      </x:c>
      <x:c r="O378" s="26" t="str">
        <x:v>NO</x:v>
      </x:c>
      <x:c r="P378" s="27" t="str">
        <x:v>NO</x:v>
      </x:c>
    </x:row>
    <x:row r="379">
      <x:c r="A379" s="25" t="str">
        <x:v>LP</x:v>
      </x:c>
      <x:c r="B379" s="32" t="n">
        <x:v>11</x:v>
      </x:c>
      <x:c r="C379" s="35" t="n">
        <x:v>0.04999999999999999</x:v>
      </x:c>
      <x:c r="D379" s="32" t="n">
        <x:v>98</x:v>
      </x:c>
      <x:c r="E379" s="32" t="n">
        <x:v>109</x:v>
      </x:c>
      <x:c r="F379" s="35" t="n">
        <x:v>0.2900000000000003</x:v>
      </x:c>
      <x:c r="G379" s="35" t="n">
        <x:v>0.3400000000000003</x:v>
      </x:c>
      <x:c r="H379" s="50" t="n">
        <x:v>4.263626934374696e-8</x:v>
      </x:c>
      <x:c r="I379" s="50" t="n">
        <x:v>1.491994546466443e-7</x:v>
      </x:c>
      <x:c r="J379" s="47" t="n">
        <x:v>0.5439880386176528</x:v>
      </x:c>
      <x:c r="K379" s="47" t="n">
        <x:v>10.881775985183637</x:v>
      </x:c>
      <x:c r="L379" s="47" t="n">
        <x:v>0.9999747667880482</x:v>
      </x:c>
      <x:c r="M379" s="35" t="n">
        <x:v>91.89676403572136</x:v>
      </x:c>
      <x:c r="N379" s="98" t="n">
        <x:v>0.00037115716992255655</x:v>
      </x:c>
      <x:c r="O379" s="26" t="str">
        <x:v>NO</x:v>
      </x:c>
      <x:c r="P379" s="27" t="str">
        <x:v>NO</x:v>
      </x:c>
    </x:row>
    <x:row r="380">
      <x:c r="A380" s="25" t="str">
        <x:v>LP</x:v>
      </x:c>
      <x:c r="B380" s="32" t="n">
        <x:v>11</x:v>
      </x:c>
      <x:c r="C380" s="35" t="n">
        <x:v>0.04999999999999999</x:v>
      </x:c>
      <x:c r="D380" s="32" t="n">
        <x:v>99</x:v>
      </x:c>
      <x:c r="E380" s="32" t="n">
        <x:v>110</x:v>
      </x:c>
      <x:c r="F380" s="35" t="n">
        <x:v>0.2950000000000003</x:v>
      </x:c>
      <x:c r="G380" s="35" t="n">
        <x:v>0.3450000000000003</x:v>
      </x:c>
      <x:c r="H380" s="50" t="n">
        <x:v>4.841817727521244e-8</x:v>
      </x:c>
      <x:c r="I380" s="50" t="n">
        <x:v>1.686539887478547e-7</x:v>
      </x:c>
      <x:c r="J380" s="47" t="n">
        <x:v>0.5419881807239939</x:v>
      </x:c>
      <x:c r="K380" s="47" t="n">
        <x:v>10.84180132811409</x:v>
      </x:c>
      <x:c r="L380" s="47" t="n">
        <x:v>0.9999723426863861</x:v>
      </x:c>
      <x:c r="M380" s="35" t="n">
        <x:v>92.23559533477892</x:v>
      </x:c>
      <x:c r="N380" s="98" t="n">
        <x:v>0.0004195533911840096</x:v>
      </x:c>
      <x:c r="O380" s="26" t="str">
        <x:v>NO</x:v>
      </x:c>
      <x:c r="P380" s="27" t="str">
        <x:v>NO</x:v>
      </x:c>
    </x:row>
    <x:row r="381">
      <x:c r="A381" s="25" t="str">
        <x:v>LP</x:v>
      </x:c>
      <x:c r="B381" s="32" t="n">
        <x:v>11</x:v>
      </x:c>
      <x:c r="C381" s="35" t="n">
        <x:v>0.04999999999999999</x:v>
      </x:c>
      <x:c r="D381" s="32" t="n">
        <x:v>100</x:v>
      </x:c>
      <x:c r="E381" s="32" t="n">
        <x:v>111</x:v>
      </x:c>
      <x:c r="F381" s="35" t="n">
        <x:v>0.3000000000000003</x:v>
      </x:c>
      <x:c r="G381" s="35" t="n">
        <x:v>0.3500000000000003</x:v>
      </x:c>
      <x:c r="H381" s="50" t="n">
        <x:v>5.4963568063869245e-8</x:v>
      </x:c>
      <x:c r="I381" s="50" t="n">
        <x:v>1.905369055394056e-7</x:v>
      </x:c>
      <x:c r="J381" s="47" t="n">
        <x:v>0.5399041896610246</x:v>
      </x:c>
      <x:c r="K381" s="47" t="n">
        <x:v>10.800136613913654</x:v>
      </x:c>
      <x:c r="L381" s="47" t="n">
        <x:v>0.9999697569416891</x:v>
      </x:c>
      <x:c r="M381" s="35" t="n">
        <x:v>92.5914213632923</x:v>
      </x:c>
      <x:c r="N381" s="98" t="n">
        <x:v>0.00047399059730677</x:v>
      </x:c>
      <x:c r="O381" s="26" t="str">
        <x:v>NO</x:v>
      </x:c>
      <x:c r="P381" s="27" t="str">
        <x:v>NO</x:v>
      </x:c>
    </x:row>
    <x:row r="382">
      <x:c r="A382" s="25" t="str">
        <x:v>LP</x:v>
      </x:c>
      <x:c r="B382" s="32" t="n">
        <x:v>11</x:v>
      </x:c>
      <x:c r="C382" s="35" t="n">
        <x:v>0.04999999999999999</x:v>
      </x:c>
      <x:c r="D382" s="32" t="n">
        <x:v>101</x:v>
      </x:c>
      <x:c r="E382" s="32" t="n">
        <x:v>112</x:v>
      </x:c>
      <x:c r="F382" s="35" t="n">
        <x:v>0.3050000000000003</x:v>
      </x:c>
      <x:c r="G382" s="35" t="n">
        <x:v>0.3550000000000003</x:v>
      </x:c>
      <x:c r="H382" s="50" t="n">
        <x:v>6.236928221678175e-8</x:v>
      </x:c>
      <x:c r="I382" s="50" t="n">
        <x:v>2.15132598123149e-7</x:v>
      </x:c>
      <x:c r="J382" s="47" t="n">
        <x:v>0.5377354762026672</x:v>
      </x:c>
      <x:c r="K382" s="47" t="n">
        <x:v>10.756769703089175</x:v>
      </x:c>
      <x:c r="L382" s="47" t="n">
        <x:v>0.9999670102211099</x:v>
      </x:c>
      <x:c r="M382" s="35" t="n">
        <x:v>92.96471223259672</x:v>
      </x:c>
      <x:c r="N382" s="98" t="n">
        <x:v>0.0005351762609761695</x:v>
      </x:c>
      <x:c r="O382" s="26" t="str">
        <x:v>NO</x:v>
      </x:c>
      <x:c r="P382" s="27" t="str">
        <x:v>NO</x:v>
      </x:c>
    </x:row>
    <x:row r="383">
      <x:c r="A383" s="25" t="str">
        <x:v>LP</x:v>
      </x:c>
      <x:c r="B383" s="32" t="n">
        <x:v>11</x:v>
      </x:c>
      <x:c r="C383" s="35" t="n">
        <x:v>0.050000000000000044</x:v>
      </x:c>
      <x:c r="D383" s="32" t="n">
        <x:v>102</x:v>
      </x:c>
      <x:c r="E383" s="32" t="n">
        <x:v>113</x:v>
      </x:c>
      <x:c r="F383" s="35" t="n">
        <x:v>0.3100000000000003</x:v>
      </x:c>
      <x:c r="G383" s="35" t="n">
        <x:v>0.3600000000000003</x:v>
      </x:c>
      <x:c r="H383" s="50" t="n">
        <x:v>7.074371148474389e-8</x:v>
      </x:c>
      <x:c r="I383" s="50" t="n">
        <x:v>2.427558290030328e-7</x:v>
      </x:c>
      <x:c r="J383" s="47" t="n">
        <x:v>0.5354818260747392</x:v>
      </x:c>
      <x:c r="K383" s="47" t="n">
        <x:v>10.711695314431276</x:v>
      </x:c>
      <x:c r="L383" s="47" t="n">
        <x:v>0.9999641056448514</x:v>
      </x:c>
      <x:c r="M383" s="35" t="n">
        <x:v>93.35590405122475</x:v>
      </x:c>
      <x:c r="N383" s="98" t="n">
        <x:v>0.0006038934035540472</x:v>
      </x:c>
      <x:c r="O383" s="26" t="str">
        <x:v>NO</x:v>
      </x:c>
      <x:c r="P383" s="27" t="str">
        <x:v>NO</x:v>
      </x:c>
    </x:row>
    <x:row r="384">
      <x:c r="A384" s="25" t="str">
        <x:v>LP</x:v>
      </x:c>
      <x:c r="B384" s="32" t="n">
        <x:v>11</x:v>
      </x:c>
      <x:c r="C384" s="35" t="n">
        <x:v>0.050000000000000044</x:v>
      </x:c>
      <x:c r="D384" s="32" t="n">
        <x:v>103</x:v>
      </x:c>
      <x:c r="E384" s="32" t="n">
        <x:v>114</x:v>
      </x:c>
      <x:c r="F384" s="35" t="n">
        <x:v>0.3150000000000003</x:v>
      </x:c>
      <x:c r="G384" s="35" t="n">
        <x:v>0.3650000000000003</x:v>
      </x:c>
      <x:c r="H384" s="50" t="n">
        <x:v>8.020805046558592e-8</x:v>
      </x:c>
      <x:c r="I384" s="50" t="n">
        <x:v>2.737545560534216e-7</x:v>
      </x:c>
      <x:c r="J384" s="47" t="n">
        <x:v>0.5331433952821198</x:v>
      </x:c>
      <x:c r="K384" s="47" t="n">
        <x:v>10.66491563990699</x:v>
      </x:c>
      <x:c r="L384" s="47" t="n">
        <x:v>0.9999610490911324</x:v>
      </x:c>
      <x:c r="M384" s="35" t="n">
        <x:v>93.76539241042896</x:v>
      </x:c>
      <x:c r="N384" s="98" t="n">
        <x:v>0.0006810076251205593</x:v>
      </x:c>
      <x:c r="O384" s="26" t="str">
        <x:v>NO</x:v>
      </x:c>
      <x:c r="P384" s="27" t="str">
        <x:v>NO</x:v>
      </x:c>
    </x:row>
    <x:row r="385">
      <x:c r="A385" s="25" t="str">
        <x:v>LP</x:v>
      </x:c>
      <x:c r="B385" s="32" t="n">
        <x:v>11</x:v>
      </x:c>
      <x:c r="C385" s="35" t="n">
        <x:v>0.04999999999999999</x:v>
      </x:c>
      <x:c r="D385" s="32" t="n">
        <x:v>104</x:v>
      </x:c>
      <x:c r="E385" s="32" t="n">
        <x:v>115</x:v>
      </x:c>
      <x:c r="F385" s="35" t="n">
        <x:v>0.3200000000000003</x:v>
      </x:c>
      <x:c r="G385" s="35" t="n">
        <x:v>0.3700000000000003</x:v>
      </x:c>
      <x:c r="H385" s="50" t="n">
        <x:v>9.08976641617378e-8</x:v>
      </x:c>
      <x:c r="I385" s="50" t="n">
        <x:v>3.085129870941359e-7</x:v>
      </x:c>
      <x:c r="J385" s="47" t="n">
        <x:v>0.5307207276138213</x:v>
      </x:c>
      <x:c r="K385" s="47" t="n">
        <x:v>10.616440834103045</x:v>
      </x:c>
      <x:c r="L385" s="47" t="n">
        <x:v>0.9999578493448923</x:v>
      </x:c>
      <x:c r="M385" s="35" t="n">
        <x:v>94.19352640177807</x:v>
      </x:c>
      <x:c r="N385" s="98" t="n">
        <x:v>0.0007674747032112501</x:v>
      </x:c>
      <x:c r="O385" s="26" t="str">
        <x:v>NO</x:v>
      </x:c>
      <x:c r="P385" s="27" t="str">
        <x:v>NO</x:v>
      </x:c>
    </x:row>
    <x:row r="386">
      <x:c r="A386" s="25" t="str">
        <x:v>LP</x:v>
      </x:c>
      <x:c r="B386" s="32" t="n">
        <x:v>11</x:v>
      </x:c>
      <x:c r="C386" s="35" t="n">
        <x:v>0.04999999999999999</x:v>
      </x:c>
      <x:c r="D386" s="32" t="n">
        <x:v>105</x:v>
      </x:c>
      <x:c r="E386" s="32" t="n">
        <x:v>116</x:v>
      </x:c>
      <x:c r="F386" s="35" t="n">
        <x:v>0.3250000000000003</x:v>
      </x:c>
      <x:c r="G386" s="35" t="n">
        <x:v>0.3750000000000003</x:v>
      </x:c>
      <x:c r="H386" s="50" t="n">
        <x:v>1.029635796884623e-7</x:v>
      </x:c>
      <x:c r="I386" s="50" t="n">
        <x:v>3.474548724799429e-7</x:v>
      </x:c>
      <x:c r="J386" s="47" t="n">
        <x:v>0.528214773240304</x:v>
      </x:c>
      <x:c r="K386" s="47" t="n">
        <x:v>10.5662894161484</x:v>
      </x:c>
      <x:c r="L386" s="47" t="n">
        <x:v>0.9999545181606473</x:v>
      </x:c>
      <x:c r="M386" s="35" t="n">
        <x:v>94.64060282805671</x:v>
      </x:c>
      <x:c r="N386" s="98" t="n">
        <x:v>0.0008643487836526008</x:v>
      </x:c>
      <x:c r="O386" s="26" t="str">
        <x:v>NO</x:v>
      </x:c>
      <x:c r="P386" s="27" t="str">
        <x:v>NO</x:v>
      </x:c>
    </x:row>
    <x:row r="387">
      <x:c r="A387" s="25" t="str">
        <x:v>LP</x:v>
      </x:c>
      <x:c r="B387" s="32" t="n">
        <x:v>11</x:v>
      </x:c>
      <x:c r="C387" s="35" t="n">
        <x:v>0.04999999999999999</x:v>
      </x:c>
      <x:c r="D387" s="32" t="n">
        <x:v>106</x:v>
      </x:c>
      <x:c r="E387" s="32" t="n">
        <x:v>117</x:v>
      </x:c>
      <x:c r="F387" s="35" t="n">
        <x:v>0.3300000000000003</x:v>
      </x:c>
      <x:c r="G387" s="35" t="n">
        <x:v>0.3800000000000003</x:v>
      </x:c>
      <x:c r="H387" s="50" t="n">
        <x:v>1.165741107072096e-7</x:v>
      </x:c>
      <x:c r="I387" s="50" t="n">
        <x:v>3.91047048787814e-7</x:v>
      </x:c>
      <x:c r="J387" s="47" t="n">
        <x:v>0.5256269015410773</x:v>
      </x:c>
      <x:c r="K387" s="47" t="n">
        <x:v>10.514488558606628</x:v>
      </x:c>
      <x:c r="L387" s="47" t="n">
        <x:v>0.99995107021491</x:v>
      </x:c>
      <x:c r="M387" s="35" t="n">
        <x:v>95.10686082600286</x:v>
      </x:c>
      <x:c r="N387" s="98" t="n">
        <x:v>0.0009727911960428693</x:v>
      </x:c>
      <x:c r="O387" s="26" t="str">
        <x:v>NO</x:v>
      </x:c>
      <x:c r="P387" s="27" t="str">
        <x:v>NO</x:v>
      </x:c>
    </x:row>
    <x:row r="388">
      <x:c r="A388" s="25" t="str">
        <x:v>LP</x:v>
      </x:c>
      <x:c r="B388" s="32" t="n">
        <x:v>11</x:v>
      </x:c>
      <x:c r="C388" s="35" t="n">
        <x:v>0.04999999999999999</x:v>
      </x:c>
      <x:c r="D388" s="32" t="n">
        <x:v>107</x:v>
      </x:c>
      <x:c r="E388" s="32" t="n">
        <x:v>118</x:v>
      </x:c>
      <x:c r="F388" s="35" t="n">
        <x:v>0.3350000000000003</x:v>
      </x:c>
      <x:c r="G388" s="35" t="n">
        <x:v>0.3850000000000003</x:v>
      </x:c>
      <x:c r="H388" s="50" t="n">
        <x:v>1.319166235729035e-7</x:v>
      </x:c>
      <x:c r="I388" s="50" t="n">
        <x:v>4.398032494401846e-7</x:v>
      </x:c>
      <x:c r="J388" s="47" t="n">
        <x:v>0.5229589068339262</x:v>
      </x:c>
      <x:c r="K388" s="47" t="n">
        <x:v>10.461074236036268</x:v>
      </x:c>
      <x:c r="L388" s="47" t="n">
        <x:v>0.9999475229228678</x:v>
      </x:c>
      <x:c r="M388" s="35" t="n">
        <x:v>95.59247716216409</x:v>
      </x:c>
      <x:c r="N388" s="98" t="n">
        <x:v>0.0010940799332783253</x:v>
      </x:c>
      <x:c r="O388" s="26" t="str">
        <x:v>NO</x:v>
      </x:c>
      <x:c r="P388" s="27" t="str">
        <x:v>NO</x:v>
      </x:c>
    </x:row>
    <x:row r="389">
      <x:c r="A389" s="25" t="str">
        <x:v>LP</x:v>
      </x:c>
      <x:c r="B389" s="32" t="n">
        <x:v>11</x:v>
      </x:c>
      <x:c r="C389" s="35" t="n">
        <x:v>0.04999999999999999</x:v>
      </x:c>
      <x:c r="D389" s="32" t="n">
        <x:v>108</x:v>
      </x:c>
      <x:c r="E389" s="32" t="n">
        <x:v>119</x:v>
      </x:c>
      <x:c r="F389" s="35" t="n">
        <x:v>0.3400000000000003</x:v>
      </x:c>
      <x:c r="G389" s="35" t="n">
        <x:v>0.3900000000000003</x:v>
      </x:c>
      <x:c r="H389" s="50" t="n">
        <x:v>1.491994546466443e-7</x:v>
      </x:c>
      <x:c r="I389" s="50" t="n">
        <x:v>4.942881983435589e-7</x:v>
      </x:c>
      <x:c r="J389" s="47" t="n">
        <x:v>0.520213005634119</x:v>
      </x:c>
      <x:c r="K389" s="47" t="n">
        <x:v>10.406091204777399</x:v>
      </x:c>
      <x:c r="L389" s="47" t="n">
        <x:v>0.9999438960947604</x:v>
      </x:c>
      <x:c r="M389" s="35" t="n">
        <x:v>96.0975625065542</x:v>
      </x:c>
      <x:c r="N389" s="98" t="n">
        <x:v>0.0012296198351247852</x:v>
      </x:c>
      <x:c r="O389" s="26" t="str">
        <x:v>NO</x:v>
      </x:c>
      <x:c r="P389" s="27" t="str">
        <x:v>NO</x:v>
      </x:c>
    </x:row>
    <x:row r="390">
      <x:c r="A390" s="25" t="str">
        <x:v>LP</x:v>
      </x:c>
      <x:c r="B390" s="32" t="n">
        <x:v>11</x:v>
      </x:c>
      <x:c r="C390" s="35" t="n">
        <x:v>0.0500000000000001</x:v>
      </x:c>
      <x:c r="D390" s="32" t="n">
        <x:v>109</x:v>
      </x:c>
      <x:c r="E390" s="32" t="n">
        <x:v>120</x:v>
      </x:c>
      <x:c r="F390" s="35" t="n">
        <x:v>0.3450000000000003</x:v>
      </x:c>
      <x:c r="G390" s="35" t="n">
        <x:v>0.3950000000000004</x:v>
      </x:c>
      <x:c r="H390" s="50" t="n">
        <x:v>1.686539887478547e-7</x:v>
      </x:c>
      <x:c r="I390" s="50" t="n">
        <x:v>5.551220023358563e-7</x:v>
      </x:c>
      <x:c r="J390" s="47" t="n">
        <x:v>0.5173918240738784</x:v>
      </x:c>
      <x:c r="K390" s="47" t="n">
        <x:v>10.349592785253101</x:v>
      </x:c>
      <x:c r="L390" s="47" t="n">
        <x:v>0.9999402114099704</x:v>
      </x:c>
      <x:c r="M390" s="35" t="n">
        <x:v>96.62215903072797</x:v>
      </x:c>
      <x:c r="N390" s="98" t="n">
        <x:v>0.001380953515123008</x:v>
      </x:c>
      <x:c r="O390" s="26" t="str">
        <x:v>NO</x:v>
      </x:c>
      <x:c r="P390" s="27" t="str">
        <x:v>NO</x:v>
      </x:c>
    </x:row>
    <x:row r="391">
      <x:c r="A391" s="25" t="str">
        <x:v>LP</x:v>
      </x:c>
      <x:c r="B391" s="32" t="n">
        <x:v>11</x:v>
      </x:c>
      <x:c r="C391" s="35" t="n">
        <x:v>0.0500000000000001</x:v>
      </x:c>
      <x:c r="D391" s="32" t="n">
        <x:v>110</x:v>
      </x:c>
      <x:c r="E391" s="32" t="n">
        <x:v>121</x:v>
      </x:c>
      <x:c r="F391" s="35" t="n">
        <x:v>0.3500000000000003</x:v>
      </x:c>
      <x:c r="G391" s="35" t="n">
        <x:v>0.4000000000000004</x:v>
      </x:c>
      <x:c r="H391" s="50" t="n">
        <x:v>1.905369055394056e-7</x:v>
      </x:c>
      <x:c r="I391" s="50" t="n">
        <x:v>6.229848571863765e-7</x:v>
      </x:c>
      <x:c r="J391" s="47" t="n">
        <x:v>0.5144983827722625</x:v>
      </x:c>
      <x:c r="K391" s="47" t="n">
        <x:v>10.29164041891376</x:v>
      </x:c>
      <x:c r="L391" s="47" t="n">
        <x:v>0.9999364916915812</x:v>
      </x:c>
      <x:c r="M391" s="35" t="n">
        <x:v>97.16623971453774</x:v>
      </x:c>
      <x:c r="N391" s="98" t="n">
        <x:v>0.0015497730675056737</x:v>
      </x:c>
      <x:c r="O391" s="26" t="str">
        <x:v>NO</x:v>
      </x:c>
      <x:c r="P391" s="27" t="str">
        <x:v>NO</x:v>
      </x:c>
    </x:row>
    <x:row r="392">
      <x:c r="A392" s="25" t="str">
        <x:v>LP</x:v>
      </x:c>
      <x:c r="B392" s="32" t="n">
        <x:v>11</x:v>
      </x:c>
      <x:c r="C392" s="35" t="n">
        <x:v>0.0500000000000001</x:v>
      </x:c>
      <x:c r="D392" s="32" t="n">
        <x:v>111</x:v>
      </x:c>
      <x:c r="E392" s="32" t="n">
        <x:v>122</x:v>
      </x:c>
      <x:c r="F392" s="35" t="n">
        <x:v>0.3550000000000003</x:v>
      </x:c>
      <x:c r="G392" s="35" t="n">
        <x:v>0.4050000000000004</x:v>
      </x:c>
      <x:c r="H392" s="50" t="n">
        <x:v>2.15132598123149e-7</x:v>
      </x:c>
      <x:c r="I392" s="50" t="n">
        <x:v>6.986220797940975e-7</x:v>
      </x:c>
      <x:c r="J392" s="47" t="n">
        <x:v>0.5115360851377897</x:v>
      </x:c>
      <x:c r="K392" s="47" t="n">
        <x:v>10.232302880316738</x:v>
      </x:c>
      <x:c r="L392" s="47" t="n">
        <x:v>0.9999327601957254</x:v>
      </x:c>
      <x:c r="M392" s="35" t="n">
        <x:v>97.72971067184099</x:v>
      </x:c>
      <x:c r="N392" s="98" t="n">
        <x:v>0.0017379325855841504</x:v>
      </x:c>
      <x:c r="O392" s="26" t="str">
        <x:v>NO</x:v>
      </x:c>
      <x:c r="P392" s="27" t="str">
        <x:v>NO</x:v>
      </x:c>
    </x:row>
    <x:row r="393">
      <x:c r="A393" s="25" t="str">
        <x:v>LP</x:v>
      </x:c>
      <x:c r="B393" s="32" t="n">
        <x:v>11</x:v>
      </x:c>
      <x:c r="C393" s="35" t="n">
        <x:v>0.0500000000000001</x:v>
      </x:c>
      <x:c r="D393" s="32" t="n">
        <x:v>112</x:v>
      </x:c>
      <x:c r="E393" s="32" t="n">
        <x:v>123</x:v>
      </x:c>
      <x:c r="F393" s="35" t="n">
        <x:v>0.3600000000000003</x:v>
      </x:c>
      <x:c r="G393" s="35" t="n">
        <x:v>0.4100000000000004</x:v>
      </x:c>
      <x:c r="H393" s="50" t="n">
        <x:v>2.427558290030328e-7</x:v>
      </x:c>
      <x:c r="I393" s="50" t="n">
        <x:v>7.82849475753335e-7</x:v>
      </x:c>
      <x:c r="J393" s="47" t="n">
        <x:v>0.5085085981845392</x:v>
      </x:c>
      <x:c r="K393" s="47" t="n">
        <x:v>10.171654934807968</x:v>
      </x:c>
      <x:c r="L393" s="47" t="n">
        <x:v>0.9999290405103732</x:v>
      </x:c>
      <x:c r="M393" s="35" t="n">
        <x:v>98.3124188157371</x:v>
      </x:c>
      <x:c r="N393" s="98" t="n">
        <x:v>0.001947461514414456</x:v>
      </x:c>
      <x:c r="O393" s="26" t="str">
        <x:v>NO</x:v>
      </x:c>
      <x:c r="P393" s="27" t="str">
        <x:v>NO</x:v>
      </x:c>
    </x:row>
    <x:row r="394">
      <x:c r="A394" s="25" t="str">
        <x:v>LP</x:v>
      </x:c>
      <x:c r="B394" s="32" t="n">
        <x:v>11</x:v>
      </x:c>
      <x:c r="C394" s="35" t="n">
        <x:v>0.0500000000000001</x:v>
      </x:c>
      <x:c r="D394" s="32" t="n">
        <x:v>113</x:v>
      </x:c>
      <x:c r="E394" s="32" t="n">
        <x:v>124</x:v>
      </x:c>
      <x:c r="F394" s="35" t="n">
        <x:v>0.3650000000000003</x:v>
      </x:c>
      <x:c r="G394" s="35" t="n">
        <x:v>0.4150000000000004</x:v>
      </x:c>
      <x:c r="H394" s="50" t="n">
        <x:v>2.737545560534216e-7</x:v>
      </x:c>
      <x:c r="I394" s="50" t="n">
        <x:v>8.765590462403014e-7</x:v>
      </x:c>
      <x:c r="J394" s="47" t="n">
        <x:v>0.5054198202952627</x:v>
      </x:c>
      <x:c r="K394" s="47" t="n">
        <x:v>10.10977640853131</x:v>
      </x:c>
      <x:c r="L394" s="47" t="n">
        <x:v>0.999925354975225</x:v>
      </x:c>
      <x:c r="M394" s="35" t="n">
        <x:v>98.91415592100857</x:v>
      </x:c>
      <x:c r="N394" s="98" t="n">
        <x:v>0.0021805788475774634</x:v>
      </x:c>
      <x:c r="O394" s="26" t="str">
        <x:v>NO</x:v>
      </x:c>
      <x:c r="P394" s="27" t="str">
        <x:v>NO</x:v>
      </x:c>
    </x:row>
    <x:row r="395">
      <x:c r="A395" s="25" t="str">
        <x:v>LP</x:v>
      </x:c>
      <x:c r="B395" s="32" t="n">
        <x:v>11</x:v>
      </x:c>
      <x:c r="C395" s="35" t="n">
        <x:v>0.0500000000000001</x:v>
      </x:c>
      <x:c r="D395" s="32" t="n">
        <x:v>114</x:v>
      </x:c>
      <x:c r="E395" s="32" t="n">
        <x:v>125</x:v>
      </x:c>
      <x:c r="F395" s="35" t="n">
        <x:v>0.3700000000000003</x:v>
      </x:c>
      <x:c r="G395" s="35" t="n">
        <x:v>0.4200000000000004</x:v>
      </x:c>
      <x:c r="H395" s="50" t="n">
        <x:v>3.085129870941359e-7</x:v>
      </x:c>
      <x:c r="I395" s="50" t="n">
        <x:v>9.807250308368829e-7</x:v>
      </x:c>
      <x:c r="J395" s="47" t="n">
        <x:v>0.5022738091293508</x:v>
      </x:c>
      <x:c r="K395" s="47" t="n">
        <x:v>10.046750687691647</x:v>
      </x:c>
      <x:c r="L395" s="47" t="n">
        <x:v>0.9999217233023806</x:v>
      </x:c>
      <x:c r="M395" s="35" t="n">
        <x:v>99.53466857947494</x:v>
      </x:c>
      <x:c r="N395" s="98" t="n">
        <x:v>0.0024397081596559066</x:v>
      </x:c>
      <x:c r="O395" s="26" t="str">
        <x:v>NO</x:v>
      </x:c>
      <x:c r="P395" s="27" t="str">
        <x:v>NO</x:v>
      </x:c>
    </x:row>
    <x:row r="396">
      <x:c r="A396" s="25" t="str">
        <x:v>LP</x:v>
      </x:c>
      <x:c r="B396" s="32" t="n">
        <x:v>11</x:v>
      </x:c>
      <x:c r="C396" s="35" t="n">
        <x:v>0.0500000000000001</x:v>
      </x:c>
      <x:c r="D396" s="32" t="n">
        <x:v>115</x:v>
      </x:c>
      <x:c r="E396" s="32" t="n">
        <x:v>126</x:v>
      </x:c>
      <x:c r="F396" s="35" t="n">
        <x:v>0.3750000000000003</x:v>
      </x:c>
      <x:c r="G396" s="35" t="n">
        <x:v>0.4250000000000004</x:v>
      </x:c>
      <x:c r="H396" s="50" t="n">
        <x:v>3.474548724799429e-7</x:v>
      </x:c>
      <x:c r="I396" s="50" t="n">
        <x:v>0.000001096410273070978</x:v>
      </x:c>
      <x:c r="J396" s="47" t="n">
        <x:v>0.49907468978963276</x:v>
      </x:c>
      <x:c r="K396" s="47" t="n">
        <x:v>9.98266287005473</x:v>
      </x:c>
      <x:c r="L396" s="47" t="n">
        <x:v>0.999918161150674</x:v>
      </x:c>
      <x:c r="M396" s="35" t="n">
        <x:v>100.17367239754512</x:v>
      </x:c>
      <x:c r="N396" s="98" t="n">
        <x:v>0.002727493441519723</x:v>
      </x:c>
      <x:c r="O396" s="26" t="str">
        <x:v>NO</x:v>
      </x:c>
      <x:c r="P396" s="27" t="str">
        <x:v>NO</x:v>
      </x:c>
    </x:row>
    <x:row r="397">
      <x:c r="A397" s="25" t="str">
        <x:v>LP</x:v>
      </x:c>
      <x:c r="B397" s="32" t="n">
        <x:v>11</x:v>
      </x:c>
      <x:c r="C397" s="35" t="n">
        <x:v>0.0500000000000001</x:v>
      </x:c>
      <x:c r="D397" s="32" t="n">
        <x:v>116</x:v>
      </x:c>
      <x:c r="E397" s="32" t="n">
        <x:v>127</x:v>
      </x:c>
      <x:c r="F397" s="35" t="n">
        <x:v>0.3800000000000003</x:v>
      </x:c>
      <x:c r="G397" s="35" t="n">
        <x:v>0.4300000000000004</x:v>
      </x:c>
      <x:c r="H397" s="50" t="n">
        <x:v>3.91047048787814e-7</x:v>
      </x:c>
      <x:c r="I397" s="50" t="n">
        <x:v>0.000001224772882773201</x:v>
      </x:c>
      <x:c r="J397" s="47" t="n">
        <x:v>0.4958265496110279</x:v>
      </x:c>
      <x:c r="K397" s="47" t="n">
        <x:v>9.917597632267139</x:v>
      </x:c>
      <x:c r="L397" s="47" t="n">
        <x:v>0.9999146786223073</x:v>
      </x:c>
      <x:c r="M397" s="35" t="n">
        <x:v>100.83087024487425</x:v>
      </x:c>
      <x:c r="N397" s="98" t="n">
        <x:v>0.0030468156739889033</x:v>
      </x:c>
      <x:c r="O397" s="26" t="str">
        <x:v>NO</x:v>
      </x:c>
      <x:c r="P397" s="27" t="str">
        <x:v>NO</x:v>
      </x:c>
    </x:row>
    <x:row r="398">
      <x:c r="A398" s="25" t="str">
        <x:v>LP</x:v>
      </x:c>
      <x:c r="B398" s="32" t="n">
        <x:v>11</x:v>
      </x:c>
      <x:c r="C398" s="35" t="n">
        <x:v>0.0500000000000001</x:v>
      </x:c>
      <x:c r="D398" s="32" t="n">
        <x:v>117</x:v>
      </x:c>
      <x:c r="E398" s="32" t="n">
        <x:v>128</x:v>
      </x:c>
      <x:c r="F398" s="35" t="n">
        <x:v>0.3850000000000003</x:v>
      </x:c>
      <x:c r="G398" s="35" t="n">
        <x:v>0.4350000000000004</x:v>
      </x:c>
      <x:c r="H398" s="50" t="n">
        <x:v>4.398032494401846e-7</x:v>
      </x:c>
      <x:c r="I398" s="50" t="n">
        <x:v>0.000001367073153552329</x:v>
      </x:c>
      <x:c r="J398" s="47" t="n">
        <x:v>0.49253332097781843</x:v>
      </x:c>
      <x:c r="K398" s="47" t="n">
        <x:v>9.851636839028993</x:v>
      </x:c>
      <x:c r="L398" s="47" t="n">
        <x:v>0.9999112787407436</x:v>
      </x:c>
      <x:c r="M398" s="35" t="n">
        <x:v>101.50597472679098</x:v>
      </x:c>
      <x:c r="N398" s="98" t="n">
        <x:v>0.0034008100361444527</x:v>
      </x:c>
      <x:c r="O398" s="26" t="str">
        <x:v>NO</x:v>
      </x:c>
      <x:c r="P398" s="27" t="str">
        <x:v>NO</x:v>
      </x:c>
    </x:row>
    <x:row r="399">
      <x:c r="A399" s="25" t="str">
        <x:v>LP</x:v>
      </x:c>
      <x:c r="B399" s="32" t="n">
        <x:v>11</x:v>
      </x:c>
      <x:c r="C399" s="35" t="n">
        <x:v>0.0500000000000001</x:v>
      </x:c>
      <x:c r="D399" s="32" t="n">
        <x:v>118</x:v>
      </x:c>
      <x:c r="E399" s="32" t="n">
        <x:v>129</x:v>
      </x:c>
      <x:c r="F399" s="35" t="n">
        <x:v>0.3900000000000003</x:v>
      </x:c>
      <x:c r="G399" s="35" t="n">
        <x:v>0.4400000000000004</x:v>
      </x:c>
      <x:c r="H399" s="50" t="n">
        <x:v>4.942881983435589e-7</x:v>
      </x:c>
      <x:c r="I399" s="50" t="n">
        <x:v>0.000001524680674616621</x:v>
      </x:c>
      <x:c r="J399" s="47" t="n">
        <x:v>0.489198654292732</x:v>
      </x:c>
      <x:c r="K399" s="47" t="n">
        <x:v>9.784856935092998</x:v>
      </x:c>
      <x:c r="L399" s="47" t="n">
        <x:v>0.9999079559758779</x:v>
      </x:c>
      <x:c r="M399" s="35" t="n">
        <x:v>102.19873490572355</x:v>
      </x:c>
      <x:c r="N399" s="98" t="n">
        <x:v>0.0037928835971053404</x:v>
      </x:c>
      <x:c r="O399" s="26" t="str">
        <x:v>NO</x:v>
      </x:c>
      <x:c r="P399" s="27" t="str">
        <x:v>NO</x:v>
      </x:c>
    </x:row>
    <x:row r="400">
      <x:c r="A400" s="25" t="str">
        <x:v>LP</x:v>
      </x:c>
      <x:c r="B400" s="32" t="n">
        <x:v>11</x:v>
      </x:c>
      <x:c r="C400" s="35" t="n">
        <x:v>0.04999999999999999</x:v>
      </x:c>
      <x:c r="D400" s="32" t="n">
        <x:v>119</x:v>
      </x:c>
      <x:c r="E400" s="32" t="n">
        <x:v>130</x:v>
      </x:c>
      <x:c r="F400" s="35" t="n">
        <x:v>0.3950000000000004</x:v>
      </x:c>
      <x:c r="G400" s="35" t="n">
        <x:v>0.4450000000000004</x:v>
      </x:c>
      <x:c r="H400" s="50" t="n">
        <x:v>5.551220023358563e-7</x:v>
      </x:c>
      <x:c r="I400" s="50" t="n">
        <x:v>0.000001699081553814694</x:v>
      </x:c>
      <x:c r="J400" s="47" t="n">
        <x:v>0.4858257839740405</x:v>
      </x:c>
      <x:c r="K400" s="47" t="n">
        <x:v>9.71732617698067</x:v>
      </x:c>
      <x:c r="L400" s="47" t="n">
        <x:v>0.9999046948843083</x:v>
      </x:c>
      <x:c r="M400" s="35" t="n">
        <x:v>102.90896711575819</x:v>
      </x:c>
      <x:c r="N400" s="98" t="n">
        <x:v>0.00422673328448165</x:v>
      </x:c>
      <x:c r="O400" s="26" t="str">
        <x:v>NO</x:v>
      </x:c>
      <x:c r="P400" s="27" t="str">
        <x:v>NO</x:v>
      </x:c>
    </x:row>
    <x:row r="401">
      <x:c r="A401" s="25" t="str">
        <x:v>LP</x:v>
      </x:c>
      <x:c r="B401" s="32" t="n">
        <x:v>11</x:v>
      </x:c>
      <x:c r="C401" s="35" t="n">
        <x:v>0.04999999999999999</x:v>
      </x:c>
      <x:c r="D401" s="32" t="n">
        <x:v>120</x:v>
      </x:c>
      <x:c r="E401" s="32" t="n">
        <x:v>131</x:v>
      </x:c>
      <x:c r="F401" s="35" t="n">
        <x:v>0.4000000000000004</x:v>
      </x:c>
      <x:c r="G401" s="35" t="n">
        <x:v>0.4500000000000004</x:v>
      </x:c>
      <x:c r="H401" s="50" t="n">
        <x:v>6.229848571863765e-7</x:v>
      </x:c>
      <x:c r="I401" s="50" t="n">
        <x:v>0.000001891885643347979</x:v>
      </x:c>
      <x:c r="J401" s="47" t="n">
        <x:v>0.4824173911095304</x:v>
      </x:c>
      <x:c r="K401" s="47" t="n">
        <x:v>9.649101777464109</x:v>
      </x:c>
      <x:c r="L401" s="47" t="n">
        <x:v>0.9999014689280871</x:v>
      </x:c>
      <x:c r="M401" s="35" t="n">
        <x:v>103.63658950468766</x:v>
      </x:c>
      <x:c r="N401" s="98" t="n">
        <x:v>0.0047063638594736935</x:v>
      </x:c>
      <x:c r="O401" s="26" t="str">
        <x:v>NO</x:v>
      </x:c>
      <x:c r="P401" s="27" t="str">
        <x:v>NO</x:v>
      </x:c>
    </x:row>
    <x:row r="402">
      <x:c r="A402" s="25" t="str">
        <x:v>LP</x:v>
      </x:c>
      <x:c r="B402" s="32" t="n">
        <x:v>11</x:v>
      </x:c>
      <x:c r="C402" s="35" t="n">
        <x:v>0.04999999999999999</x:v>
      </x:c>
      <x:c r="D402" s="32" t="n">
        <x:v>121</x:v>
      </x:c>
      <x:c r="E402" s="32" t="n">
        <x:v>132</x:v>
      </x:c>
      <x:c r="F402" s="35" t="n">
        <x:v>0.4050000000000004</x:v>
      </x:c>
      <x:c r="G402" s="35" t="n">
        <x:v>0.4550000000000004</x:v>
      </x:c>
      <x:c r="H402" s="50" t="n">
        <x:v>6.986220797940975e-7</x:v>
      </x:c>
      <x:c r="I402" s="50" t="n">
        <x:v>0.000002104833631576693</x:v>
      </x:c>
      <x:c r="J402" s="47" t="n">
        <x:v>0.4789754671045543</x:v>
      </x:c>
      <x:c r="K402" s="47" t="n">
        <x:v>9.58022705138048</x:v>
      </x:c>
      <x:c r="L402" s="47" t="n">
        <x:v>0.9998982395243341</x:v>
      </x:c>
      <x:c r="M402" s="35" t="n">
        <x:v>104.38165970773139</x:v>
      </x:c>
      <x:c r="N402" s="98" t="n">
        <x:v>0.005236105558857639</x:v>
      </x:c>
      <x:c r="O402" s="26" t="str">
        <x:v>NO</x:v>
      </x:c>
      <x:c r="P402" s="27" t="str">
        <x:v>NO</x:v>
      </x:c>
    </x:row>
    <x:row r="403">
      <x:c r="A403" s="25" t="str">
        <x:v>LP</x:v>
      </x:c>
      <x:c r="B403" s="32" t="n">
        <x:v>11</x:v>
      </x:c>
      <x:c r="C403" s="35" t="n">
        <x:v>0.04999999999999999</x:v>
      </x:c>
      <x:c r="D403" s="32" t="n">
        <x:v>122</x:v>
      </x:c>
      <x:c r="E403" s="32" t="n">
        <x:v>133</x:v>
      </x:c>
      <x:c r="F403" s="35" t="n">
        <x:v>0.4100000000000004</x:v>
      </x:c>
      <x:c r="G403" s="35" t="n">
        <x:v>0.4600000000000004</x:v>
      </x:c>
      <x:c r="H403" s="50" t="n">
        <x:v>7.82849475753335e-7</x:v>
      </x:c>
      <x:c r="I403" s="50" t="n">
        <x:v>0.000002339803834458113</x:v>
      </x:c>
      <x:c r="J403" s="47" t="n">
        <x:v>0.47550118327779956</x:v>
      </x:c>
      <x:c r="K403" s="47" t="n">
        <x:v>9.510728665161647</x:v>
      </x:c>
      <x:c r="L403" s="47" t="n">
        <x:v>0.9998949553613682</x:v>
      </x:c>
      <x:c r="M403" s="35" t="n">
        <x:v>105.14441481892531</x:v>
      </x:c>
      <x:c r="N403" s="98" t="n">
        <x:v>0.005820630989759127</x:v>
      </x:c>
      <x:c r="O403" s="26" t="str">
        <x:v>NO</x:v>
      </x:c>
      <x:c r="P403" s="27" t="str">
        <x:v>NO</x:v>
      </x:c>
    </x:row>
    <x:row r="404">
      <x:c r="A404" s="25" t="str">
        <x:v>LP</x:v>
      </x:c>
      <x:c r="B404" s="32" t="n">
        <x:v>11</x:v>
      </x:c>
      <x:c r="C404" s="35" t="n">
        <x:v>0.04999999999999999</x:v>
      </x:c>
      <x:c r="D404" s="32" t="n">
        <x:v>123</x:v>
      </x:c>
      <x:c r="E404" s="32" t="n">
        <x:v>134</x:v>
      </x:c>
      <x:c r="F404" s="35" t="n">
        <x:v>0.4150000000000004</x:v>
      </x:c>
      <x:c r="G404" s="35" t="n">
        <x:v>0.4650000000000004</x:v>
      </x:c>
      <x:c r="H404" s="50" t="n">
        <x:v>8.765590462403014e-7</x:v>
      </x:c>
      <x:c r="I404" s="50" t="n">
        <x:v>0.000002598818489486496</x:v>
      </x:c>
      <x:c r="J404" s="47" t="n">
        <x:v>0.4719947718271671</x:v>
      </x:c>
      <x:c r="K404" s="47" t="n">
        <x:v>9.440614103424581</x:v>
      </x:c>
      <x:c r="L404" s="47" t="n">
        <x:v>0.9998915519965512</x:v>
      </x:c>
      <x:c r="M404" s="35" t="n">
        <x:v>105.92531259563403</x:v>
      </x:c>
      <x:c r="N404" s="98" t="n">
        <x:v>0.006464970786821275</x:v>
      </x:c>
      <x:c r="O404" s="26" t="str">
        <x:v>NO</x:v>
      </x:c>
      <x:c r="P404" s="27" t="str">
        <x:v>NO</x:v>
      </x:c>
    </x:row>
    <x:row r="405">
      <x:c r="A405" s="25" t="str">
        <x:v>LP</x:v>
      </x:c>
      <x:c r="B405" s="32" t="n">
        <x:v>11</x:v>
      </x:c>
      <x:c r="C405" s="35" t="n">
        <x:v>0.050000000000000044</x:v>
      </x:c>
      <x:c r="D405" s="32" t="n">
        <x:v>124</x:v>
      </x:c>
      <x:c r="E405" s="32" t="n">
        <x:v>135</x:v>
      </x:c>
      <x:c r="F405" s="35" t="n">
        <x:v>0.4200000000000004</x:v>
      </x:c>
      <x:c r="G405" s="35" t="n">
        <x:v>0.4700000000000004</x:v>
      </x:c>
      <x:c r="H405" s="50" t="n">
        <x:v>9.807250308368829e-7</x:v>
      </x:c>
      <x:c r="I405" s="50" t="n">
        <x:v>0.000002884049324936066</x:v>
      </x:c>
      <x:c r="J405" s="47" t="n">
        <x:v>0.46845542385753536</x:v>
      </x:c>
      <x:c r="K405" s="47" t="n">
        <x:v>9.36986947289464</x:v>
      </x:c>
      <x:c r="L405" s="47" t="n">
        <x:v>0.9998879517299608</x:v>
      </x:c>
      <x:c r="M405" s="35" t="n">
        <x:v>106.72507262697965</x:v>
      </x:c>
      <x:c r="N405" s="98" t="n">
        <x:v>0.007174527466574794</x:v>
      </x:c>
      <x:c r="O405" s="26" t="str">
        <x:v>NO</x:v>
      </x:c>
      <x:c r="P405" s="27" t="str">
        <x:v>NO</x:v>
      </x:c>
    </x:row>
    <x:row r="406">
      <x:c r="A406" s="25" t="str">
        <x:v>LP</x:v>
      </x:c>
      <x:c r="B406" s="32" t="n">
        <x:v>11</x:v>
      </x:c>
      <x:c r="C406" s="35" t="n">
        <x:v>0.050000000000000044</x:v>
      </x:c>
      <x:c r="D406" s="32" t="n">
        <x:v>125</x:v>
      </x:c>
      <x:c r="E406" s="32" t="n">
        <x:v>136</x:v>
      </x:c>
      <x:c r="F406" s="35" t="n">
        <x:v>0.4250000000000004</x:v>
      </x:c>
      <x:c r="G406" s="35" t="n">
        <x:v>0.4750000000000004</x:v>
      </x:c>
      <x:c r="H406" s="50" t="n">
        <x:v>0.000001096410273070978</x:v>
      </x:c>
      <x:c r="I406" s="50" t="n">
        <x:v>0.000003197822149427569</x:v>
      </x:c>
      <x:c r="J406" s="47" t="n">
        <x:v>0.464881210182976</x:v>
      </x:c>
      <x:c r="K406" s="47" t="n">
        <x:v>9.29845776569372</x:v>
      </x:c>
      <x:c r="L406" s="47" t="n">
        <x:v>0.9998840637301746</x:v>
      </x:c>
      <x:c r="M406" s="35" t="n">
        <x:v>107.54471603769166</x:v>
      </x:c>
      <x:c r="N406" s="98" t="n">
        <x:v>0.007955086844708505</x:v>
      </x:c>
      <x:c r="O406" s="26" t="str">
        <x:v>NO</x:v>
      </x:c>
      <x:c r="P406" s="27" t="str">
        <x:v>NO</x:v>
      </x:c>
    </x:row>
    <x:row r="407">
      <x:c r="A407" s="25" t="str">
        <x:v>LP</x:v>
      </x:c>
      <x:c r="B407" s="32" t="n">
        <x:v>11</x:v>
      </x:c>
      <x:c r="C407" s="35" t="n">
        <x:v>0.050000000000000044</x:v>
      </x:c>
      <x:c r="D407" s="32" t="n">
        <x:v>126</x:v>
      </x:c>
      <x:c r="E407" s="32" t="n">
        <x:v>137</x:v>
      </x:c>
      <x:c r="F407" s="35" t="n">
        <x:v>0.4300000000000004</x:v>
      </x:c>
      <x:c r="G407" s="35" t="n">
        <x:v>0.4800000000000004</x:v>
      </x:c>
      <x:c r="H407" s="50" t="n">
        <x:v>0.000001224772882773201</x:v>
      </x:c>
      <x:c r="I407" s="50" t="n">
        <x:v>0.000003542620183286753</x:v>
      </x:c>
      <x:c r="J407" s="47" t="n">
        <x:v>0.46126903034805355</x:v>
      </x:c>
      <x:c r="K407" s="47" t="n">
        <x:v>9.226317699675713</x:v>
      </x:c>
      <x:c r="L407" s="47" t="n">
        <x:v>0.9998797843779075</x:v>
      </x:c>
      <x:c r="M407" s="35" t="n">
        <x:v>108.38560220348234</x:v>
      </x:c>
      <x:c r="N407" s="98" t="n">
        <x:v>0.00881282632334885</x:v>
      </x:c>
      <x:c r="O407" s="26" t="str">
        <x:v>NO</x:v>
      </x:c>
      <x:c r="P407" s="27" t="str">
        <x:v>NO</x:v>
      </x:c>
    </x:row>
    <x:row r="408">
      <x:c r="A408" s="25" t="str">
        <x:v>LP</x:v>
      </x:c>
      <x:c r="B408" s="32" t="n">
        <x:v>11</x:v>
      </x:c>
      <x:c r="C408" s="35" t="n">
        <x:v>0.04999999999999999</x:v>
      </x:c>
      <x:c r="D408" s="32" t="n">
        <x:v>127</x:v>
      </x:c>
      <x:c r="E408" s="32" t="n">
        <x:v>138</x:v>
      </x:c>
      <x:c r="F408" s="35" t="n">
        <x:v>0.4350000000000004</x:v>
      </x:c>
      <x:c r="G408" s="35" t="n">
        <x:v>0.4850000000000004</x:v>
      </x:c>
      <x:c r="H408" s="50" t="n">
        <x:v>0.000001367073153552329</x:v>
      </x:c>
      <x:c r="I408" s="50" t="n">
        <x:v>0.000003921085835950356</x:v>
      </x:c>
      <x:c r="J408" s="47" t="n">
        <x:v>0.4576145947313188</x:v>
      </x:c>
      <x:c r="K408" s="47" t="n">
        <x:v>9.153363242363982</x:v>
      </x:c>
      <x:c r="L408" s="47" t="n">
        <x:v>0.9998749977932831</x:v>
      </x:c>
      <x:c r="M408" s="35" t="n">
        <x:v>109.2494609382219</x:v>
      </x:c>
      <x:c r="N408" s="98" t="n">
        <x:v>0.009754319312637571</x:v>
      </x:c>
      <x:c r="O408" s="26" t="str">
        <x:v>NO</x:v>
      </x:c>
      <x:c r="P408" s="27" t="str">
        <x:v>YES</x:v>
      </x:c>
    </x:row>
    <x:row r="409">
      <x:c r="A409" s="25" t="str">
        <x:v>LP</x:v>
      </x:c>
      <x:c r="B409" s="32" t="n">
        <x:v>21</x:v>
      </x:c>
      <x:c r="C409" s="35" t="n">
        <x:v>0.10000000000000012</x:v>
      </x:c>
      <x:c r="D409" s="32" t="n">
        <x:v>0</x:v>
      </x:c>
      <x:c r="E409" s="32" t="n">
        <x:v>21</x:v>
      </x:c>
      <x:c r="F409" s="35" t="n">
        <x:v>-0.2</x:v>
      </x:c>
      <x:c r="G409" s="35" t="n">
        <x:v>-0.0999999999999999</x:v>
      </x:c>
      <x:c r="H409" s="50" t="n">
        <x:v>1.114393572961754e-12</x:v>
      </x:c>
      <x:c r="I409" s="50" t="n">
        <x:v>2.404177765986292e-12</x:v>
      </x:c>
      <x:c r="J409" s="47" t="n">
        <x:v>0.33392797772939353</x:v>
      </x:c>
      <x:c r="K409" s="47" t="n">
        <x:v>3.261613509377752</x:v>
      </x:c>
      <x:c r="L409" s="47" t="n">
        <x:v>0.9414028191595389</x:v>
      </x:c>
      <x:c r="M409" s="35" t="n">
        <x:v>306.59671880951316</x:v>
      </x:c>
      <x:c r="N409" s="98" t="n">
        <x:v>5.9807712952272256e-9</x:v>
      </x:c>
      <x:c r="O409" s="26" t="str">
        <x:v>YES</x:v>
      </x:c>
      <x:c r="P409" s="27" t="str">
        <x:v>NO</x:v>
      </x:c>
    </x:row>
    <x:row r="410">
      <x:c r="A410" s="25" t="str">
        <x:v>LP</x:v>
      </x:c>
      <x:c r="B410" s="32" t="n">
        <x:v>21</x:v>
      </x:c>
      <x:c r="C410" s="35" t="n">
        <x:v>0.1000000000000001</x:v>
      </x:c>
      <x:c r="D410" s="32" t="n">
        <x:v>1</x:v>
      </x:c>
      <x:c r="E410" s="32" t="n">
        <x:v>22</x:v>
      </x:c>
      <x:c r="F410" s="35" t="n">
        <x:v>-0.195</x:v>
      </x:c>
      <x:c r="G410" s="35" t="n">
        <x:v>-0.0949999999999999</x:v>
      </x:c>
      <x:c r="H410" s="50" t="n">
        <x:v>1.124728504302294e-12</x:v>
      </x:c>
      <x:c r="I410" s="50" t="n">
        <x:v>2.60340067369274e-12</x:v>
      </x:c>
      <x:c r="J410" s="47" t="n">
        <x:v>0.3644933111724509</x:v>
      </x:c>
      <x:c r="K410" s="47" t="n">
        <x:v>3.567347168511083</x:v>
      </x:c>
      <x:c r="L410" s="47" t="n">
        <x:v>0.9464315735224709</x:v>
      </x:c>
      <x:c r="M410" s="35" t="n">
        <x:v>280.32034808021604</x:v>
      </x:c>
      <x:c r="N410" s="98" t="n">
        <x:v>6.476369692575195e-9</x:v>
      </x:c>
      <x:c r="O410" s="26" t="str">
        <x:v>NO</x:v>
      </x:c>
      <x:c r="P410" s="27" t="str">
        <x:v>NO</x:v>
      </x:c>
    </x:row>
    <x:row r="411">
      <x:c r="A411" s="25" t="str">
        <x:v>LP</x:v>
      </x:c>
      <x:c r="B411" s="32" t="n">
        <x:v>21</x:v>
      </x:c>
      <x:c r="C411" s="35" t="n">
        <x:v>0.1000000000000001</x:v>
      </x:c>
      <x:c r="D411" s="32" t="n">
        <x:v>2</x:v>
      </x:c>
      <x:c r="E411" s="32" t="n">
        <x:v>23</x:v>
      </x:c>
      <x:c r="F411" s="35" t="n">
        <x:v>-0.19</x:v>
      </x:c>
      <x:c r="G411" s="35" t="n">
        <x:v>-0.0899999999999999</x:v>
      </x:c>
      <x:c r="H411" s="50" t="n">
        <x:v>1.139010516579071e-12</x:v>
      </x:c>
      <x:c r="I411" s="50" t="n">
        <x:v>2.831086383090201e-12</x:v>
      </x:c>
      <x:c r="J411" s="47" t="n">
        <x:v>0.39542538693644325</x:v>
      </x:c>
      <x:c r="K411" s="47" t="n">
        <x:v>3.883397398822457</x:v>
      </x:c>
      <x:c r="L411" s="47" t="n">
        <x:v>0.950885752466189</x:v>
      </x:c>
      <x:c r="M411" s="35" t="n">
        <x:v>257.50648138746374</x:v>
      </x:c>
      <x:c r="N411" s="98" t="n">
        <x:v>7.042773797281297e-9</x:v>
      </x:c>
      <x:c r="O411" s="26" t="str">
        <x:v>NO</x:v>
      </x:c>
      <x:c r="P411" s="27" t="str">
        <x:v>NO</x:v>
      </x:c>
    </x:row>
    <x:row r="412">
      <x:c r="A412" s="28" t="str">
        <x:v>LP</x:v>
      </x:c>
      <x:c r="B412" s="33" t="n">
        <x:v>21</x:v>
      </x:c>
      <x:c r="C412" s="36" t="n">
        <x:v>0.1000000000000001</x:v>
      </x:c>
      <x:c r="D412" s="33" t="n">
        <x:v>3</x:v>
      </x:c>
      <x:c r="E412" s="33" t="n">
        <x:v>24</x:v>
      </x:c>
      <x:c r="F412" s="36" t="n">
        <x:v>-0.185</x:v>
      </x:c>
      <x:c r="G412" s="36" t="n">
        <x:v>-0.0849999999999999</x:v>
      </x:c>
      <x:c r="H412" s="51" t="n">
        <x:v>1.155990295001871e-12</x:v>
      </x:c>
      <x:c r="I412" s="51" t="n">
        <x:v>3.091300073124645e-12</x:v>
      </x:c>
      <x:c r="J412" s="48" t="n">
        <x:v>0.42718697613794454</x:v>
      </x:c>
      <x:c r="K412" s="48" t="n">
        <x:v>4.210163309155113</x:v>
      </x:c>
      <x:c r="L412" s="48" t="n">
        <x:v>0.9551098569426673</x:v>
      </x:c>
      <x:c r="M412" s="36" t="n">
        <x:v>237.5204776084275</x:v>
      </x:c>
      <x:c r="N412" s="99" t="n">
        <x:v>7.69009638299064e-9</x:v>
      </x:c>
      <x:c r="O412" s="29" t="str">
        <x:v>NO</x:v>
      </x:c>
      <x:c r="P412" s="30" t="str">
        <x:v>NO</x:v>
      </x:c>
    </x:row>
    <x:row r="413">
      <x:c r="A413" t="str">
        <x:v>LP</x:v>
      </x:c>
      <x:c r="B413" t="n">
        <x:v>21</x:v>
      </x:c>
      <x:c r="C413" t="n">
        <x:v>0.10000000000000009</x:v>
      </x:c>
      <x:c r="D413" t="n">
        <x:v>4</x:v>
      </x:c>
      <x:c r="E413" t="n">
        <x:v>25</x:v>
      </x:c>
      <x:c r="F413" t="n">
        <x:v>-0.18</x:v>
      </x:c>
      <x:c r="G413" t="n">
        <x:v>-0.0799999999999999</x:v>
      </x:c>
      <x:c r="H413" t="n">
        <x:v>1.175859685930556e-12</x:v>
      </x:c>
      <x:c r="I413" t="n">
        <x:v>3.388687288649685e-12</x:v>
      </x:c>
      <x:c r="J413" t="n">
        <x:v>0.45967599263104475</x:v>
      </x:c>
      <x:c r="K413" t="n">
        <x:v>4.546274897004166</x:v>
      </x:c>
      <x:c r="L413" t="n">
        <x:v>0.9591512431420611</x:v>
      </x:c>
      <x:c r="M413" t="n">
        <x:v>219.96030214956085</x:v>
      </x:c>
      <x:c r="N413" t="n">
        <x:v>8.429893975058486e-9</x:v>
      </x:c>
      <x:c r="O413" t="str">
        <x:v>NO</x:v>
      </x:c>
      <x:c r="P413" t="str">
        <x:v>NO</x:v>
      </x:c>
    </x:row>
    <x:row r="414">
      <x:c r="A414" t="str">
        <x:v>LP</x:v>
      </x:c>
      <x:c r="B414" t="n">
        <x:v>21</x:v>
      </x:c>
      <x:c r="C414" t="n">
        <x:v>0.10000000000000009</x:v>
      </x:c>
      <x:c r="D414" t="n">
        <x:v>5</x:v>
      </x:c>
      <x:c r="E414" t="n">
        <x:v>26</x:v>
      </x:c>
      <x:c r="F414" t="n">
        <x:v>-0.175</x:v>
      </x:c>
      <x:c r="G414" t="n">
        <x:v>-0.0749999999999999</x:v>
      </x:c>
      <x:c r="H414" t="n">
        <x:v>1.198891947305063e-12</x:v>
      </x:c>
      <x:c r="I414" t="n">
        <x:v>3.728556725636688e-12</x:v>
      </x:c>
      <x:c r="J414" t="n">
        <x:v>0.49276071161460955</x:v>
      </x:c>
      <x:c r="K414" t="n">
        <x:v>4.8900305753499245</x:v>
      </x:c>
      <x:c r="L414" t="n">
        <x:v>0.9630258974263975</x:v>
      </x:c>
      <x:c r="M414" t="n">
        <x:v>204.4976988571163</x:v>
      </x:c>
      <x:c r="N414" t="n">
        <x:v>9.275372791814373e-9</x:v>
      </x:c>
      <x:c r="O414" t="str">
        <x:v>NO</x:v>
      </x:c>
      <x:c r="P414" t="str">
        <x:v>NO</x:v>
      </x:c>
    </x:row>
    <x:row r="415">
      <x:c r="A415" t="str">
        <x:v>LP</x:v>
      </x:c>
      <x:c r="B415" t="n">
        <x:v>21</x:v>
      </x:c>
      <x:c r="C415" t="n">
        <x:v>0.10000000000000012</x:v>
      </x:c>
      <x:c r="D415" t="n">
        <x:v>6</x:v>
      </x:c>
      <x:c r="E415" t="n">
        <x:v>27</x:v>
      </x:c>
      <x:c r="F415" t="n">
        <x:v>-0.17</x:v>
      </x:c>
      <x:c r="G415" t="n">
        <x:v>-0.0699999999999999</x:v>
      </x:c>
      <x:c r="H415" t="n">
        <x:v>1.225439278370611e-12</x:v>
      </x:c>
      <x:c r="I415" t="n">
        <x:v>4.116974817444895e-12</x:v>
      </x:c>
      <x:c r="J415" t="n">
        <x:v>0.5262864140944661</x:v>
      </x:c>
      <x:c r="K415" t="n">
        <x:v>5.239463985680817</x:v>
      </x:c>
      <x:c r="L415" t="n">
        <x:v>0.966731812607876</x:v>
      </x:c>
      <x:c r="M415" t="n">
        <x:v>190.8592181820408</x:v>
      </x:c>
      <x:c r="N415" t="n">
        <x:v>1.0241624042823866e-8</x:v>
      </x:c>
      <x:c r="O415" t="str">
        <x:v>NO</x:v>
      </x:c>
      <x:c r="P415" t="str">
        <x:v>NO</x:v>
      </x:c>
    </x:row>
    <x:row r="416">
      <x:c r="A416" t="str">
        <x:v>LP</x:v>
      </x:c>
      <x:c r="B416" t="n">
        <x:v>21</x:v>
      </x:c>
      <x:c r="C416" t="n">
        <x:v>0.10000000000000021</x:v>
      </x:c>
      <x:c r="D416" t="n">
        <x:v>7</x:v>
      </x:c>
      <x:c r="E416" t="n">
        <x:v>28</x:v>
      </x:c>
      <x:c r="F416" t="n">
        <x:v>-0.165</x:v>
      </x:c>
      <x:c r="G416" t="n">
        <x:v>-0.0649999999999998</x:v>
      </x:c>
      <x:c r="H416" t="n">
        <x:v>1.255933406559433e-12</x:v>
      </x:c>
      <x:c r="I416" t="n">
        <x:v>4.56087379943123e-12</x:v>
      </x:c>
      <x:c r="J416" t="n">
        <x:v>0.5600814429790457</x:v>
      </x:c>
      <x:c r="K416" t="n">
        <x:v>5.592411569299689</x:v>
      </x:c>
      <x:c r="L416" t="n">
        <x:v>0.9702576389067035</x:v>
      </x:c>
      <x:c r="M416" t="n">
        <x:v>178.81373493496744</x:v>
      </x:c>
      <x:c r="N416" t="n">
        <x:v>1.1345892756645585e-8</x:v>
      </x:c>
      <x:c r="O416" t="str">
        <x:v>NO</x:v>
      </x:c>
      <x:c r="P416" t="str">
        <x:v>NO</x:v>
      </x:c>
    </x:row>
    <x:row r="417">
      <x:c r="A417" t="str">
        <x:v>LP</x:v>
      </x:c>
      <x:c r="B417" t="n">
        <x:v>21</x:v>
      </x:c>
      <x:c r="C417" t="n">
        <x:v>0.1000000000000002</x:v>
      </x:c>
      <x:c r="D417" t="n">
        <x:v>8</x:v>
      </x:c>
      <x:c r="E417" t="n">
        <x:v>29</x:v>
      </x:c>
      <x:c r="F417" t="n">
        <x:v>-0.16</x:v>
      </x:c>
      <x:c r="G417" t="n">
        <x:v>-0.0599999999999998</x:v>
      </x:c>
      <x:c r="H417" t="n">
        <x:v>1.290888916606739e-12</x:v>
      </x:c>
      <x:c r="I417" t="n">
        <x:v>5.068175167828729e-12</x:v>
      </x:c>
      <x:c r="J417" t="n">
        <x:v>0.5939627446642266</x:v>
      </x:c>
      <x:c r="K417" t="n">
        <x:v>5.946580537277217</x:v>
      </x:c>
      <x:c r="L417" t="n">
        <x:v>0.9735883239016804</x:v>
      </x:c>
      <x:c r="M417" t="n">
        <x:v>168.16387060283114</x:v>
      </x:c>
      <x:c r="N417" t="n">
        <x:v>1.2607884904258916e-8</x:v>
      </x:c>
      <x:c r="O417" t="str">
        <x:v>NO</x:v>
      </x:c>
      <x:c r="P417" t="str">
        <x:v>NO</x:v>
      </x:c>
    </x:row>
    <x:row r="418">
      <x:c r="A418" t="str">
        <x:v>LP</x:v>
      </x:c>
      <x:c r="B418" t="n">
        <x:v>21</x:v>
      </x:c>
      <x:c r="C418" t="n">
        <x:v>0.10000000000000009</x:v>
      </x:c>
      <x:c r="D418" t="n">
        <x:v>9</x:v>
      </x:c>
      <x:c r="E418" t="n">
        <x:v>30</x:v>
      </x:c>
      <x:c r="F418" t="n">
        <x:v>-0.155</x:v>
      </x:c>
      <x:c r="G418" t="n">
        <x:v>-0.0549999999999999</x:v>
      </x:c>
      <x:c r="H418" t="n">
        <x:v>1.330909109242401e-12</x:v>
      </x:c>
      <x:c r="I418" t="n">
        <x:v>5.647930720840611e-12</x:v>
      </x:c>
      <x:c r="J418" t="n">
        <x:v>0.6277409633475415</x:v>
      </x:c>
      <x:c r="K418" t="n">
        <x:v>6.299616334805493</x:v>
      </x:c>
      <x:c r="L418" t="n">
        <x:v>0.9767087720727572</x:v>
      </x:c>
      <x:c r="M418" t="n">
        <x:v>158.73982586447084</x:v>
      </x:c>
      <x:c r="N418" t="n">
        <x:v>1.405011826102552e-8</x:v>
      </x:c>
      <x:c r="O418" t="str">
        <x:v>NO</x:v>
      </x:c>
      <x:c r="P418" t="str">
        <x:v>NO</x:v>
      </x:c>
    </x:row>
    <x:row r="419">
      <x:c r="A419" t="str">
        <x:v>LP</x:v>
      </x:c>
      <x:c r="B419" t="n">
        <x:v>21</x:v>
      </x:c>
      <x:c r="C419" t="n">
        <x:v>0.10000000000000009</x:v>
      </x:c>
      <x:c r="D419" t="n">
        <x:v>10</x:v>
      </x:c>
      <x:c r="E419" t="n">
        <x:v>31</x:v>
      </x:c>
      <x:c r="F419" t="n">
        <x:v>-0.15</x:v>
      </x:c>
      <x:c r="G419" t="n">
        <x:v>-0.0499999999999999</x:v>
      </x:c>
      <x:c r="H419" t="n">
        <x:v>1.376694269019026e-12</x:v>
      </x:c>
      <x:c r="I419" t="n">
        <x:v>6.310483680331215e-12</x:v>
      </x:c>
      <x:c r="J419" t="n">
        <x:v>0.6612251434240459</x:v>
      </x:c>
      <x:c r="K419" t="n">
        <x:v>6.649168278380768</x:v>
      </x:c>
      <x:c r="L419" t="n">
        <x:v>0.9796061601049394</x:v>
      </x:c>
      <x:c r="M419" t="n">
        <x:v>150.39474985938</x:v>
      </x:c>
      <x:c r="N419" t="n">
        <x:v>1.5698323222302017e-8</x:v>
      </x:c>
      <x:c r="O419" t="str">
        <x:v>NO</x:v>
      </x:c>
      <x:c r="P419" t="str">
        <x:v>NO</x:v>
      </x:c>
    </x:row>
    <x:row r="420">
      <x:c r="A420" t="str">
        <x:v>LP</x:v>
      </x:c>
      <x:c r="B420" t="n">
        <x:v>21</x:v>
      </x:c>
      <x:c r="C420" t="n">
        <x:v>0.10000000000000009</x:v>
      </x:c>
      <x:c r="D420" t="n">
        <x:v>11</x:v>
      </x:c>
      <x:c r="E420" t="n">
        <x:v>32</x:v>
      </x:c>
      <x:c r="F420" t="n">
        <x:v>-0.145</x:v>
      </x:c>
      <x:c r="G420" t="n">
        <x:v>-0.0449999999999999</x:v>
      </x:c>
      <x:c r="H420" t="n">
        <x:v>1.429052304852317e-12</x:v>
      </x:c>
      <x:c r="I420" t="n">
        <x:v>7.067652746641881e-12</x:v>
      </x:c>
      <x:c r="J420" t="n">
        <x:v>0.6942270785406333</x:v>
      </x:c>
      <x:c r="K420" t="n">
        <x:v>6.992951775085786</x:v>
      </x:c>
      <x:c r="L420" t="n">
        <x:v>0.9822713108900216</x:v>
      </x:c>
      <x:c r="M420" t="n">
        <x:v>143.0011291601868</x:v>
      </x:c>
      <x:c r="N420" t="n">
        <x:v>1.7581900668817115e-8</x:v>
      </x:c>
      <x:c r="O420" t="str">
        <x:v>NO</x:v>
      </x:c>
      <x:c r="P420" t="str">
        <x:v>NO</x:v>
      </x:c>
    </x:row>
    <x:row r="421">
      <x:c r="A421" t="str">
        <x:v>LP</x:v>
      </x:c>
      <x:c r="B421" t="n">
        <x:v>21</x:v>
      </x:c>
      <x:c r="C421" t="n">
        <x:v>0.10000000000000012</x:v>
      </x:c>
      <x:c r="D421" t="n">
        <x:v>12</x:v>
      </x:c>
      <x:c r="E421" t="n">
        <x:v>33</x:v>
      </x:c>
      <x:c r="F421" t="n">
        <x:v>-0.14</x:v>
      </x:c>
      <x:c r="G421" t="n">
        <x:v>-0.0399999999999999</x:v>
      </x:c>
      <x:c r="H421" t="n">
        <x:v>1.488911804458349e-12</x:v>
      </x:c>
      <x:c r="I421" t="n">
        <x:v>7.932942342892279e-12</x:v>
      </x:c>
      <x:c r="J421" t="n">
        <x:v>0.7265653246950077</x:v>
      </x:c>
      <x:c r="K421" t="n">
        <x:v>7.3288054196136825</x:v>
      </x:c>
      <x:c r="L421" t="n">
        <x:v>0.9846993898902012</x:v>
      </x:c>
      <x:c r="M421" t="n">
        <x:v>136.44788512514666</x:v>
      </x:c>
      <x:c r="N421" t="n">
        <x:v>1.973444498252351e-8</x:v>
      </x:c>
      <x:c r="O421" t="str">
        <x:v>NO</x:v>
      </x:c>
      <x:c r="P421" t="str">
        <x:v>NO</x:v>
      </x:c>
    </x:row>
    <x:row r="422">
      <x:c r="A422" t="str">
        <x:v>LP</x:v>
      </x:c>
      <x:c r="B422" t="n">
        <x:v>21</x:v>
      </x:c>
      <x:c r="C422" t="n">
        <x:v>0.10000000000000012</x:v>
      </x:c>
      <x:c r="D422" t="n">
        <x:v>13</x:v>
      </x:c>
      <x:c r="E422" t="n">
        <x:v>34</x:v>
      </x:c>
      <x:c r="F422" t="n">
        <x:v>-0.135</x:v>
      </x:c>
      <x:c r="G422" t="n">
        <x:v>-0.0349999999999999</x:v>
      </x:c>
      <x:c r="H422" t="n">
        <x:v>1.557337616727506e-12</x:v>
      </x:c>
      <x:c r="I422" t="n">
        <x:v>8.921782765968998e-12</x:v>
      </x:c>
      <x:c r="J422" t="n">
        <x:v>0.7580688706218801</x:v>
      </x:c>
      <x:c r="K422" t="n">
        <x:v>7.654741304728208</x:v>
      </x:c>
      <x:c r="L422" t="n">
        <x:v>0.9868901045958696</x:v>
      </x:c>
      <x:c r="M422" t="n">
        <x:v>130.6379876459465</x:v>
      </x:c>
      <x:c r="N422" t="n">
        <x:v>2.2194341460050166e-8</x:v>
      </x:c>
      <x:c r="O422" t="str">
        <x:v>NO</x:v>
      </x:c>
      <x:c r="P422" t="str">
        <x:v>NO</x:v>
      </x:c>
    </x:row>
    <x:row r="423">
      <x:c r="A423" t="str">
        <x:v>LP</x:v>
      </x:c>
      <x:c r="B423" t="n">
        <x:v>21</x:v>
      </x:c>
      <x:c r="C423" t="n">
        <x:v>0.09999999999999999</x:v>
      </x:c>
      <x:c r="D423" t="n">
        <x:v>14</x:v>
      </x:c>
      <x:c r="E423" t="n">
        <x:v>35</x:v>
      </x:c>
      <x:c r="F423" t="n">
        <x:v>-0.1299999999999999</x:v>
      </x:c>
      <x:c r="G423" t="n">
        <x:v>-0.0299999999999999</x:v>
      </x:c>
      <x:c r="H423" t="n">
        <x:v>1.635549146188096e-12</x:v>
      </x:c>
      <x:c r="I423" t="n">
        <x:v>1.005180448712331e-11</x:v>
      </x:c>
      <x:c r="J423" t="n">
        <x:v>0.788580434088658</x:v>
      </x:c>
      <x:c r="K423" t="n">
        <x:v>7.96898706500859</x:v>
      </x:c>
      <x:c r="L423" t="n">
        <x:v>0.9888475388803991</x:v>
      </x:c>
      <x:c r="M423" t="n">
        <x:v>125.48646293968129</x:v>
      </x:c>
      <x:c r="N423" t="n">
        <x:v>2.5005448678692294e-8</x:v>
      </x:c>
      <x:c r="O423" t="str">
        <x:v>NO</x:v>
      </x:c>
      <x:c r="P423" t="str">
        <x:v>NO</x:v>
      </x:c>
    </x:row>
    <x:row r="424">
      <x:c r="A424" t="str">
        <x:v>LP</x:v>
      </x:c>
      <x:c r="B424" t="n">
        <x:v>21</x:v>
      </x:c>
      <x:c r="C424" t="n">
        <x:v>0.1</x:v>
      </x:c>
      <x:c r="D424" t="n">
        <x:v>15</x:v>
      </x:c>
      <x:c r="E424" t="n">
        <x:v>36</x:v>
      </x:c>
      <x:c r="F424" t="n">
        <x:v>-0.1249999999999999</x:v>
      </x:c>
      <x:c r="G424" t="n">
        <x:v>-0.0249999999999999</x:v>
      </x:c>
      <x:c r="H424" t="n">
        <x:v>1.724941612654433e-12</x:v>
      </x:c>
      <x:c r="I424" t="n">
        <x:v>1.134315144431181e-11</x:v>
      </x:c>
      <x:c r="J424" t="n">
        <x:v>0.8179593311838627</x:v>
      </x:c>
      <x:c r="K424" t="n">
        <x:v>8.270018485200557</x:v>
      </x:c>
      <x:c r="L424" t="n">
        <x:v>0.9905797252381545</x:v>
      </x:c>
      <x:c r="M424" t="n">
        <x:v>120.91871400161071</x:v>
      </x:c>
      <x:c r="N424" t="n">
        <x:v>2.8217877860510144e-8</x:v>
      </x:c>
      <x:c r="O424" t="str">
        <x:v>NO</x:v>
      </x:c>
      <x:c r="P424" t="str">
        <x:v>NO</x:v>
      </x:c>
    </x:row>
    <x:row r="425">
      <x:c r="A425" t="str">
        <x:v>LP</x:v>
      </x:c>
      <x:c r="B425" t="n">
        <x:v>21</x:v>
      </x:c>
      <x:c r="C425" t="n">
        <x:v>0.1</x:v>
      </x:c>
      <x:c r="D425" t="n">
        <x:v>16</x:v>
      </x:c>
      <x:c r="E425" t="n">
        <x:v>37</x:v>
      </x:c>
      <x:c r="F425" t="n">
        <x:v>-0.1199999999999999</x:v>
      </x:c>
      <x:c r="G425" t="n">
        <x:v>-0.0199999999999999</x:v>
      </x:c>
      <x:c r="H425" t="n">
        <x:v>1.827110598673053e-12</x:v>
      </x:c>
      <x:c r="I425" t="n">
        <x:v>1.281883885238538e-11</x:v>
      </x:c>
      <x:c r="J425" t="n">
        <x:v>0.8460838511225752</x:v>
      </x:c>
      <x:c r="K425" t="n">
        <x:v>8.556581918450442</x:v>
      </x:c>
      <x:c r="L425" t="n">
        <x:v>0.9920980402874147</x:v>
      </x:c>
      <x:c r="M425" t="n">
        <x:v>116.86909674103785</x:v>
      </x:c>
      <x:c r="N425" t="n">
        <x:v>3.1888882981595265e-8</x:v>
      </x:c>
      <x:c r="O425" t="str">
        <x:v>NO</x:v>
      </x:c>
      <x:c r="P425" t="str">
        <x:v>NO</x:v>
      </x:c>
    </x:row>
    <x:row r="426">
      <x:c r="A426" t="str">
        <x:v>LP</x:v>
      </x:c>
      <x:c r="B426" t="n">
        <x:v>21</x:v>
      </x:c>
      <x:c r="C426" t="n">
        <x:v>0.09999999999999999</x:v>
      </x:c>
      <x:c r="D426" t="n">
        <x:v>17</x:v>
      </x:c>
      <x:c r="E426" t="n">
        <x:v>38</x:v>
      </x:c>
      <x:c r="F426" t="n">
        <x:v>-0.1149999999999999</x:v>
      </x:c>
      <x:c r="G426" t="n">
        <x:v>-0.0149999999999999</x:v>
      </x:c>
      <x:c r="H426" t="n">
        <x:v>1.943880279456145e-12</x:v>
      </x:c>
      <x:c r="I426" t="n">
        <x:v>1.4505161836316829e-11</x:v>
      </x:c>
      <x:c r="J426" t="n">
        <x:v>0.8728530647593971</x:v>
      </x:c>
      <x:c r="K426" t="n">
        <x:v>8.827706242987794</x:v>
      </x:c>
      <x:c r="L426" t="n">
        <x:v>0.9934164968298748</x:v>
      </x:c>
      <x:c r="M426" t="n">
        <x:v>113.27970964080738</x:v>
      </x:c>
      <x:c r="N426" t="n">
        <x:v>3.608387731165956e-8</x:v>
      </x:c>
      <x:c r="O426" t="str">
        <x:v>NO</x:v>
      </x:c>
      <x:c r="P426" t="str">
        <x:v>NO</x:v>
      </x:c>
    </x:row>
    <x:row r="427">
      <x:c r="A427" t="str">
        <x:v>LP</x:v>
      </x:c>
      <x:c r="B427" t="n">
        <x:v>21</x:v>
      </x:c>
      <x:c r="C427" t="n">
        <x:v>0.1</x:v>
      </x:c>
      <x:c r="D427" t="n">
        <x:v>18</x:v>
      </x:c>
      <x:c r="E427" t="n">
        <x:v>39</x:v>
      </x:c>
      <x:c r="F427" t="n">
        <x:v>-0.1099999999999999</x:v>
      </x:c>
      <x:c r="G427" t="n">
        <x:v>-0.0099999999999999</x:v>
      </x:c>
      <x:c r="H427" t="n">
        <x:v>2.077335806080723e-12</x:v>
      </x:c>
      <x:c r="I427" t="n">
        <x:v>1.643216208159562e-11</x:v>
      </x:c>
      <x:c r="J427" t="n">
        <x:v>0.8981880031106648</x:v>
      </x:c>
      <x:c r="K427" t="n">
        <x:v>9.082704598475544</x:v>
      </x:c>
      <x:c r="L427" t="n">
        <x:v>0.9945509956664189</x:v>
      </x:c>
      <x:c r="M427" t="n">
        <x:v>110.099364033907</x:v>
      </x:c>
      <x:c r="N427" t="n">
        <x:v>4.08775942804758e-8</x:v>
      </x:c>
      <x:c r="O427" t="str">
        <x:v>NO</x:v>
      </x:c>
      <x:c r="P427" t="str">
        <x:v>NO</x:v>
      </x:c>
    </x:row>
    <x:row r="428">
      <x:c r="A428" t="str">
        <x:v>LP</x:v>
      </x:c>
      <x:c r="B428" t="n">
        <x:v>21</x:v>
      </x:c>
      <x:c r="C428" t="n">
        <x:v>0.1</x:v>
      </x:c>
      <x:c r="D428" t="n">
        <x:v>19</x:v>
      </x:c>
      <x:c r="E428" t="n">
        <x:v>40</x:v>
      </x:c>
      <x:c r="F428" t="n">
        <x:v>-0.1049999999999999</x:v>
      </x:c>
      <x:c r="G428" t="n">
        <x:v>-0.0049999999999999</x:v>
      </x:c>
      <x:c r="H428" t="n">
        <x:v>2.229860394880488e-12</x:v>
      </x:c>
      <x:c r="I428" t="n">
        <x:v>1.8634160708620268e-11</x:v>
      </x:c>
      <x:c r="J428" t="n">
        <x:v>0.9220321627262393</x:v>
      </x:c>
      <x:c r="K428" t="n">
        <x:v>9.32116664067469</x:v>
      </x:c>
      <x:c r="L428" t="n">
        <x:v>0.9955185903266801</x:v>
      </x:c>
      <x:c r="M428" t="n">
        <x:v>107.28270811470199</x:v>
      </x:c>
      <x:c r="N428" t="n">
        <x:v>4.635541308695497e-8</x:v>
      </x:c>
      <x:c r="O428" t="str">
        <x:v>NO</x:v>
      </x:c>
      <x:c r="P428" t="str">
        <x:v>NO</x:v>
      </x:c>
    </x:row>
    <x:row r="429">
      <x:c r="A429" t="str">
        <x:v>LP</x:v>
      </x:c>
      <x:c r="B429" t="n">
        <x:v>21</x:v>
      </x:c>
      <x:c r="C429" t="n">
        <x:v>0.09999999999999999</x:v>
      </x:c>
      <x:c r="D429" t="n">
        <x:v>20</x:v>
      </x:c>
      <x:c r="E429" t="n">
        <x:v>41</x:v>
      </x:c>
      <x:c r="F429" t="n">
        <x:v>-0.0999999999999999</x:v>
      </x:c>
      <x:c r="G429" t="n">
        <x:v>9.887923813067799e-17</x:v>
      </x:c>
      <x:c r="H429" t="n">
        <x:v>2.404177765986292e-12</x:v>
      </x:c>
      <x:c r="I429" t="n">
        <x:v>2.115036673217059e-11</x:v>
      </x:c>
      <x:c r="J429" t="n">
        <x:v>0.9443513256833462</x:v>
      </x:c>
      <x:c r="K429" t="n">
        <x:v>9.542942491253802</x:v>
      </x:c>
      <x:c r="L429" t="n">
        <x:v>0.9963368070911304</x:v>
      </x:c>
      <x:c r="M429" t="n">
        <x:v>104.78948195658829</x:v>
      </x:c>
      <x:c r="N429" t="n">
        <x:v>5.261487233802826e-8</x:v>
      </x:c>
      <x:c r="O429" t="str">
        <x:v>NO</x:v>
      </x:c>
      <x:c r="P429" t="str">
        <x:v>NO</x:v>
      </x:c>
    </x:row>
    <x:row r="430">
      <x:c r="A430" t="str">
        <x:v>LP</x:v>
      </x:c>
      <x:c r="B430" t="n">
        <x:v>21</x:v>
      </x:c>
      <x:c r="C430" t="n">
        <x:v>0.09999999999999991</x:v>
      </x:c>
      <x:c r="D430" t="n">
        <x:v>21</x:v>
      </x:c>
      <x:c r="E430" t="n">
        <x:v>42</x:v>
      </x:c>
      <x:c r="F430" t="n">
        <x:v>-0.0949999999999999</x:v>
      </x:c>
      <x:c r="G430" t="n">
        <x:v>0.005</x:v>
      </x:c>
      <x:c r="H430" t="n">
        <x:v>2.60340067369274e-12</x:v>
      </x:c>
      <x:c r="I430" t="n">
        <x:v>2.4025571782320378e-11</x:v>
      </x:c>
      <x:c r="J430" t="n">
        <x:v>0.965132719300005</x:v>
      </x:c>
      <x:c r="K430" t="n">
        <x:v>9.748119900194865</x:v>
      </x:c>
      <x:c r="L430" t="n">
        <x:v>0.9970230512039411</x:v>
      </x:c>
      <x:c r="M430" t="n">
        <x:v>102.58388389129374</x:v>
      </x:c>
      <x:c r="N430" t="n">
        <x:v>5.976739827646431e-8</x:v>
      </x:c>
      <x:c r="O430" t="str">
        <x:v>NO</x:v>
      </x:c>
      <x:c r="P430" t="str">
        <x:v>NO</x:v>
      </x:c>
    </x:row>
    <x:row r="431">
      <x:c r="A431" t="str">
        <x:v>LP</x:v>
      </x:c>
      <x:c r="B431" t="n">
        <x:v>21</x:v>
      </x:c>
      <x:c r="C431" t="n">
        <x:v>0.1</x:v>
      </x:c>
      <x:c r="D431" t="n">
        <x:v>22</x:v>
      </x:c>
      <x:c r="E431" t="n">
        <x:v>43</x:v>
      </x:c>
      <x:c r="F431" t="n">
        <x:v>-0.0899999999999999</x:v>
      </x:c>
      <x:c r="G431" t="n">
        <x:v>0.0100000000000001</x:v>
      </x:c>
      <x:c r="H431" t="n">
        <x:v>2.831086383090201e-12</x:v>
      </x:c>
      <x:c r="I431" t="n">
        <x:v>2.7310943261342637e-11</x:v>
      </x:c>
      <x:c r="J431" t="n">
        <x:v>0.9843835790865061</x:v>
      </x:c>
      <x:c r="K431" t="n">
        <x:v>9.936996354123947</x:v>
      </x:c>
      <x:c r="L431" t="n">
        <x:v>0.9975941185463836</x:v>
      </x:c>
      <x:c r="M431" t="n">
        <x:v>100.6340310857607</x:v>
      </x:c>
      <x:c r="N431" t="n">
        <x:v>6.794027788373982e-8</x:v>
      </x:c>
      <x:c r="O431" t="str">
        <x:v>NO</x:v>
      </x:c>
      <x:c r="P431" t="str">
        <x:v>NO</x:v>
      </x:c>
    </x:row>
    <x:row r="432">
      <x:c r="A432" t="str">
        <x:v>LP</x:v>
      </x:c>
      <x:c r="B432" t="n">
        <x:v>21</x:v>
      </x:c>
      <x:c r="C432" t="n">
        <x:v>0.09999999999999999</x:v>
      </x:c>
      <x:c r="D432" t="n">
        <x:v>23</x:v>
      </x:c>
      <x:c r="E432" t="n">
        <x:v>44</x:v>
      </x:c>
      <x:c r="F432" t="n">
        <x:v>-0.0849999999999999</x:v>
      </x:c>
      <x:c r="G432" t="n">
        <x:v>0.0150000000000001</x:v>
      </x:c>
      <x:c r="H432" t="n">
        <x:v>3.091300073124645e-12</x:v>
      </x:c>
      <x:c r="I432" t="n">
        <x:v>3.106492981728692e-11</x:v>
      </x:c>
      <x:c r="J432" t="n">
        <x:v>1.002129212617719</x:v>
      </x:c>
      <x:c r="K432" t="n">
        <x:v>10.110047942827999</x:v>
      </x:c>
      <x:c r="L432" t="n">
        <x:v>0.9980658210595541</x:v>
      </x:c>
      <x:c r="M432" t="n">
        <x:v>98.91149929802197</x:v>
      </x:c>
      <x:c r="N432" t="n">
        <x:v>7.727891138834254e-8</x:v>
      </x:c>
      <x:c r="O432" t="str">
        <x:v>NO</x:v>
      </x:c>
      <x:c r="P432" t="str">
        <x:v>NO</x:v>
      </x:c>
    </x:row>
    <x:row r="433">
      <x:c r="A433" t="str">
        <x:v>LP</x:v>
      </x:c>
      <x:c r="B433" t="n">
        <x:v>21</x:v>
      </x:c>
      <x:c r="C433" t="n">
        <x:v>0.1</x:v>
      </x:c>
      <x:c r="D433" t="n">
        <x:v>24</x:v>
      </x:c>
      <x:c r="E433" t="n">
        <x:v>45</x:v>
      </x:c>
      <x:c r="F433" t="n">
        <x:v>-0.0799999999999999</x:v>
      </x:c>
      <x:c r="G433" t="n">
        <x:v>0.0200000000000001</x:v>
      </x:c>
      <x:c r="H433" t="n">
        <x:v>3.388687288649685e-12</x:v>
      </x:c>
      <x:c r="I433" t="n">
        <x:v>3.535429495798751e-11</x:v>
      </x:c>
      <x:c r="J433" t="n">
        <x:v>1.0184106873136134</x:v>
      </x:c>
      <x:c r="K433" t="n">
        <x:v>10.26789674216393</x:v>
      </x:c>
      <x:c r="L433" t="n">
        <x:v>0.9984527246562351</x:v>
      </x:c>
      <x:c r="M433" t="n">
        <x:v>97.39092874722976</x:v>
      </x:c>
      <x:c r="N433" t="n">
        <x:v>8.794938354360188e-8</x:v>
      </x:c>
      <x:c r="O433" t="str">
        <x:v>NO</x:v>
      </x:c>
      <x:c r="P433" t="str">
        <x:v>NO</x:v>
      </x:c>
    </x:row>
    <x:row r="434">
      <x:c r="A434" t="str">
        <x:v>LP</x:v>
      </x:c>
      <x:c r="B434" t="n">
        <x:v>21</x:v>
      </x:c>
      <x:c r="C434" t="n">
        <x:v>0.1</x:v>
      </x:c>
      <x:c r="D434" t="n">
        <x:v>25</x:v>
      </x:c>
      <x:c r="E434" t="n">
        <x:v>46</x:v>
      </x:c>
      <x:c r="F434" t="n">
        <x:v>-0.0749999999999999</x:v>
      </x:c>
      <x:c r="G434" t="n">
        <x:v>0.0250000000000001</x:v>
      </x:c>
      <x:c r="H434" t="n">
        <x:v>3.728556725636688e-12</x:v>
      </x:c>
      <x:c r="I434" t="n">
        <x:v>4.0255296840700295e-11</x:v>
      </x:c>
      <x:c r="J434" t="n">
        <x:v>1.0332822786972606</x:v>
      </x:c>
      <x:c r="K434" t="n">
        <x:v>10.411278303187382</x:v>
      </x:c>
      <x:c r="L434" t="n">
        <x:v>0.9987679908441178</x:v>
      </x:c>
      <x:c r="M434" t="n">
        <x:v>96.04968485895272</x:v>
      </x:c>
      <x:c r="N434" t="n">
        <x:v>1.0014139854044565e-7</x:v>
      </x:c>
      <x:c r="O434" t="str">
        <x:v>NO</x:v>
      </x:c>
      <x:c r="P434" t="str">
        <x:v>NO</x:v>
      </x:c>
    </x:row>
    <x:row r="435">
      <x:c r="A435" t="str">
        <x:v>LP</x:v>
      </x:c>
      <x:c r="B435" t="n">
        <x:v>21</x:v>
      </x:c>
      <x:c r="C435" t="n">
        <x:v>0.09999999999999999</x:v>
      </x:c>
      <x:c r="D435" t="n">
        <x:v>26</x:v>
      </x:c>
      <x:c r="E435" t="n">
        <x:v>47</x:v>
      </x:c>
      <x:c r="F435" t="n">
        <x:v>-0.0699999999999999</x:v>
      </x:c>
      <x:c r="G435" t="n">
        <x:v>0.0300000000000001</x:v>
      </x:c>
      <x:c r="H435" t="n">
        <x:v>4.116974817444895e-12</x:v>
      </x:c>
      <x:c r="I435" t="n">
        <x:v>4.5855034789212085e-11</x:v>
      </x:c>
      <x:c r="J435" t="n">
        <x:v>1.0468088167419918</x:v>
      </x:c>
      <x:c r="K435" t="n">
        <x:v>10.541010584040169</x:v>
      </x:c>
      <x:c r="L435" t="n">
        <x:v>0.9990233081016364</x:v>
      </x:c>
      <x:c r="M435" t="n">
        <x:v>94.86756435991728</x:v>
      </x:c>
      <x:c r="N435" t="n">
        <x:v>1.1407162968103464e-7</x:v>
      </x:c>
      <x:c r="O435" t="str">
        <x:v>NO</x:v>
      </x:c>
      <x:c r="P435" t="str">
        <x:v>NO</x:v>
      </x:c>
    </x:row>
    <x:row r="436">
      <x:c r="A436" t="str">
        <x:v>LP</x:v>
      </x:c>
      <x:c r="B436" t="n">
        <x:v>21</x:v>
      </x:c>
      <x:c r="C436" t="n">
        <x:v>0.0999999999999999</x:v>
      </x:c>
      <x:c r="D436" t="n">
        <x:v>27</x:v>
      </x:c>
      <x:c r="E436" t="n">
        <x:v>48</x:v>
      </x:c>
      <x:c r="F436" t="n">
        <x:v>-0.0649999999999998</x:v>
      </x:c>
      <x:c r="G436" t="n">
        <x:v>0.0350000000000001</x:v>
      </x:c>
      <x:c r="H436" t="n">
        <x:v>4.56087379943123e-12</x:v>
      </x:c>
      <x:c r="I436" t="n">
        <x:v>5.2252985954002747e-11</x:v>
      </x:c>
      <x:c r="J436" t="n">
        <x:v>1.0590630575284887</x:v>
      </x:c>
      <x:c r="K436" t="n">
        <x:v>10.65796535766543</x:v>
      </x:c>
      <x:c r="L436" t="n">
        <x:v>0.9992288961981004</x:v>
      </x:c>
      <x:c r="M436" t="n">
        <x:v>93.82653878498293</x:v>
      </x:c>
      <x:c r="N436" t="n">
        <x:v>1.2998754206322401e-7</x:v>
      </x:c>
      <x:c r="O436" t="str">
        <x:v>NO</x:v>
      </x:c>
      <x:c r="P436" t="str">
        <x:v>NO</x:v>
      </x:c>
    </x:row>
    <x:row r="437">
      <x:c r="A437" t="str">
        <x:v>LP</x:v>
      </x:c>
      <x:c r="B437" t="n">
        <x:v>21</x:v>
      </x:c>
      <x:c r="C437" t="n">
        <x:v>0.0999999999999999</x:v>
      </x:c>
      <x:c r="D437" t="n">
        <x:v>28</x:v>
      </x:c>
      <x:c r="E437" t="n">
        <x:v>49</x:v>
      </x:c>
      <x:c r="F437" t="n">
        <x:v>-0.0599999999999998</x:v>
      </x:c>
      <x:c r="G437" t="n">
        <x:v>0.0400000000000001</x:v>
      </x:c>
      <x:c r="H437" t="n">
        <x:v>5.068175167828729e-12</x:v>
      </x:c>
      <x:c r="I437" t="n">
        <x:v>5.956275878741194e-11</x:v>
      </x:c>
      <x:c r="J437" t="n">
        <x:v>1.0701231882126336</x:v>
      </x:c>
      <x:c r="K437" t="n">
        <x:v>10.76304280945163</x:v>
      </x:c>
      <x:c r="L437" t="n">
        <x:v>0.9993935658649205</x:v>
      </x:c>
      <x:c r="M437" t="n">
        <x:v>92.91052890004713</x:v>
      </x:c>
      <x:c r="N437" t="n">
        <x:v>1.4817175462653692e-7</x:v>
      </x:c>
      <x:c r="O437" t="str">
        <x:v>NO</x:v>
      </x:c>
      <x:c r="P437" t="str">
        <x:v>NO</x:v>
      </x:c>
    </x:row>
    <x:row r="438">
      <x:c r="A438" t="str">
        <x:v>LP</x:v>
      </x:c>
      <x:c r="B438" t="n">
        <x:v>21</x:v>
      </x:c>
      <x:c r="C438" t="n">
        <x:v>0.1</x:v>
      </x:c>
      <x:c r="D438" t="n">
        <x:v>29</x:v>
      </x:c>
      <x:c r="E438" t="n">
        <x:v>50</x:v>
      </x:c>
      <x:c r="F438" t="n">
        <x:v>-0.0549999999999999</x:v>
      </x:c>
      <x:c r="G438" t="n">
        <x:v>0.0450000000000001</x:v>
      </x:c>
      <x:c r="H438" t="n">
        <x:v>5.647930720840611e-12</x:v>
      </x:c>
      <x:c r="I438" t="n">
        <x:v>6.791409370813255e-11</x:v>
      </x:c>
      <x:c r="J438" t="n">
        <x:v>1.0800705486518343</x:v>
      </x:c>
      <x:c r="K438" t="n">
        <x:v>10.85714973434571</x:v>
      </x:c>
      <x:c r="L438" t="n">
        <x:v>0.9995248170632566</x:v>
      </x:c>
      <x:c r="M438" t="n">
        <x:v>92.10520481600999</x:v>
      </x:c>
      <x:c r="N438" t="n">
        <x:v>1.6894701712056637e-7</x:v>
      </x:c>
      <x:c r="O438" t="str">
        <x:v>NO</x:v>
      </x:c>
      <x:c r="P438" t="str">
        <x:v>NO</x:v>
      </x:c>
    </x:row>
    <x:row r="439">
      <x:c r="A439" t="str">
        <x:v>LP</x:v>
      </x:c>
      <x:c r="B439" t="n">
        <x:v>21</x:v>
      </x:c>
      <x:c r="C439" t="n">
        <x:v>0.0999999999999999</x:v>
      </x:c>
      <x:c r="D439" t="n">
        <x:v>30</x:v>
      </x:c>
      <x:c r="E439" t="n">
        <x:v>51</x:v>
      </x:c>
      <x:c r="F439" t="n">
        <x:v>-0.0499999999999999</x:v>
      </x:c>
      <x:c r="G439" t="n">
        <x:v>0.05</x:v>
      </x:c>
      <x:c r="H439" t="n">
        <x:v>6.310483680331215e-12</x:v>
      </x:c>
      <x:c r="I439" t="n">
        <x:v>7.745514553794716e-11</x:v>
      </x:c>
      <x:c r="J439" t="n">
        <x:v>1.0889876263796765</x:v>
      </x:c>
      <x:c r="K439" t="n">
        <x:v>10.941181475105923</x:v>
      </x:c>
      <x:c r="L439" t="n">
        <x:v>0.9996289610419474</x:v>
      </x:c>
      <x:c r="M439" t="n">
        <x:v>91.39780765681148</x:v>
      </x:c>
      <x:c r="N439" t="n">
        <x:v>1.9268188802626286e-7</x:v>
      </x:c>
      <x:c r="O439" t="str">
        <x:v>NO</x:v>
      </x:c>
      <x:c r="P439" t="str">
        <x:v>NO</x:v>
      </x:c>
    </x:row>
    <x:row r="440">
      <x:c r="A440" t="str">
        <x:v>LP</x:v>
      </x:c>
      <x:c r="B440" t="n">
        <x:v>21</x:v>
      </x:c>
      <x:c r="C440" t="n">
        <x:v>0.0999999999999999</x:v>
      </x:c>
      <x:c r="D440" t="n">
        <x:v>31</x:v>
      </x:c>
      <x:c r="E440" t="n">
        <x:v>52</x:v>
      </x:c>
      <x:c r="F440" t="n">
        <x:v>-0.0449999999999999</x:v>
      </x:c>
      <x:c r="G440" t="n">
        <x:v>0.055</x:v>
      </x:c>
      <x:c r="H440" t="n">
        <x:v>7.067652746641881e-12</x:v>
      </x:c>
      <x:c r="I440" t="n">
        <x:v>8.835508707411416e-11</x:v>
      </x:c>
      <x:c r="J440" t="n">
        <x:v>1.0969563559468352</x:v>
      </x:c>
      <x:c r="K440" t="n">
        <x:v>11.016007525746254</x:v>
      </x:c>
      <x:c r="L440" t="n">
        <x:v>0.999711253941631</x:v>
      </x:c>
      <x:c r="M440" t="n">
        <x:v>90.77698954569817</x:v>
      </x:c>
      <x:c r="N440" t="n">
        <x:v>2.1979721135278858e-7</x:v>
      </x:c>
      <x:c r="O440" t="str">
        <x:v>NO</x:v>
      </x:c>
      <x:c r="P440" t="str">
        <x:v>NO</x:v>
      </x:c>
    </x:row>
    <x:row r="441">
      <x:c r="A441" t="str">
        <x:v>LP</x:v>
      </x:c>
      <x:c r="B441" t="n">
        <x:v>21</x:v>
      </x:c>
      <x:c r="C441" t="n">
        <x:v>0.0999999999999999</x:v>
      </x:c>
      <x:c r="D441" t="n">
        <x:v>32</x:v>
      </x:c>
      <x:c r="E441" t="n">
        <x:v>53</x:v>
      </x:c>
      <x:c r="F441" t="n">
        <x:v>-0.0399999999999999</x:v>
      </x:c>
      <x:c r="G441" t="n">
        <x:v>0.06</x:v>
      </x:c>
      <x:c r="H441" t="n">
        <x:v>7.932942342892279e-12</x:v>
      </x:c>
      <x:c r="I441" t="n">
        <x:v>1.008070785903204e-10</x:v>
      </x:c>
      <x:c r="J441" t="n">
        <x:v>1.1040567311633964</x:v>
      </x:c>
      <x:c r="K441" t="n">
        <x:v>11.082460562111052</x:v>
      </x:c>
      <x:c r="L441" t="n">
        <x:v>0.9997760324566675</x:v>
      </x:c>
      <x:c r="M441" t="n">
        <x:v>90.23266939643538</x:v>
      </x:c>
      <x:c r="N441" t="n">
        <x:v>2.5077350373938233e-7</x:v>
      </x:c>
      <x:c r="O441" t="str">
        <x:v>NO</x:v>
      </x:c>
      <x:c r="P441" t="str">
        <x:v>NO</x:v>
      </x:c>
    </x:row>
    <x:row r="442">
      <x:c r="A442" t="str">
        <x:v>LP</x:v>
      </x:c>
      <x:c r="B442" t="n">
        <x:v>21</x:v>
      </x:c>
      <x:c r="C442" t="n">
        <x:v>0.0999999999999999</x:v>
      </x:c>
      <x:c r="D442" t="n">
        <x:v>33</x:v>
      </x:c>
      <x:c r="E442" t="n">
        <x:v>54</x:v>
      </x:c>
      <x:c r="F442" t="n">
        <x:v>-0.0349999999999999</x:v>
      </x:c>
      <x:c r="G442" t="n">
        <x:v>0.065</x:v>
      </x:c>
      <x:c r="H442" t="n">
        <x:v>8.921782765968998e-12</x:v>
      </x:c>
      <x:c r="I442" t="n">
        <x:v>1.1503165422272059e-10</x:v>
      </x:c>
      <x:c r="J442" t="n">
        <x:v>1.110365720728245</x:v>
      </x:c>
      <x:c r="K442" t="n">
        <x:v>11.141328553536253</x:v>
      </x:c>
      <x:c r="L442" t="n">
        <x:v>0.9998268447045241</x:v>
      </x:c>
      <x:c r="M442" t="n">
        <x:v>89.75590255639669</x:v>
      </x:c>
      <x:c r="N442" t="n">
        <x:v>2.8615937862461447e-7</x:v>
      </x:c>
      <x:c r="O442" t="str">
        <x:v>NO</x:v>
      </x:c>
      <x:c r="P442" t="str">
        <x:v>NO</x:v>
      </x:c>
    </x:row>
    <x:row r="443">
      <x:c r="A443" t="str">
        <x:v>LP</x:v>
      </x:c>
      <x:c r="B443" t="n">
        <x:v>21</x:v>
      </x:c>
      <x:c r="C443" t="n">
        <x:v>0.09999999999999991</x:v>
      </x:c>
      <x:c r="D443" t="n">
        <x:v>34</x:v>
      </x:c>
      <x:c r="E443" t="n">
        <x:v>55</x:v>
      </x:c>
      <x:c r="F443" t="n">
        <x:v>-0.0299999999999999</x:v>
      </x:c>
      <x:c r="G443" t="n">
        <x:v>0.07</x:v>
      </x:c>
      <x:c r="H443" t="n">
        <x:v>1.005180448712331e-11</x:v>
      </x:c>
      <x:c r="I443" t="n">
        <x:v>1.312805831898021e-10</x:v>
      </x:c>
      <x:c r="J443" t="n">
        <x:v>1.115956464575623</x:v>
      </x:c>
      <x:c r="K443" t="n">
        <x:v>11.19334954938338</x:v>
      </x:c>
      <x:c r="L443" t="n">
        <x:v>0.9998665717749012</x:v>
      </x:c>
      <x:c r="M443" t="n">
        <x:v>89.33876277053173</x:v>
      </x:c>
      <x:c r="N443" t="n">
        <x:v>3.265811516396558e-7</x:v>
      </x:c>
      <x:c r="O443" t="str">
        <x:v>NO</x:v>
      </x:c>
      <x:c r="P443" t="str">
        <x:v>NO</x:v>
      </x:c>
    </x:row>
    <x:row r="444">
      <x:c r="A444" t="str">
        <x:v>LP</x:v>
      </x:c>
      <x:c r="B444" t="n">
        <x:v>21</x:v>
      </x:c>
      <x:c r="C444" t="n">
        <x:v>0.09999999999999999</x:v>
      </x:c>
      <x:c r="D444" t="n">
        <x:v>35</x:v>
      </x:c>
      <x:c r="E444" t="n">
        <x:v>56</x:v>
      </x:c>
      <x:c r="F444" t="n">
        <x:v>-0.0249999999999999</x:v>
      </x:c>
      <x:c r="G444" t="n">
        <x:v>0.0750000000000001</x:v>
      </x:c>
      <x:c r="H444" t="n">
        <x:v>1.134315144431181e-11</x:v>
      </x:c>
      <x:c r="I444" t="n">
        <x:v>1.5105804807905818e-10</x:v>
      </x:c>
      <x:c r="J444" t="n">
        <x:v>1.1244101381320242</x:v>
      </x:c>
      <x:c r="K444" t="n">
        <x:v>11.248331877803128</x:v>
      </x:c>
      <x:c r="L444" t="n">
        <x:v>0.9998785348858611</x:v>
      </x:c>
      <x:c r="M444" t="n">
        <x:v>88.90207106827528</x:v>
      </x:c>
      <x:c r="N444" t="n">
        <x:v>3.7578071415765543e-7</x:v>
      </x:c>
      <x:c r="O444" t="str">
        <x:v>NO</x:v>
      </x:c>
      <x:c r="P444" t="str">
        <x:v>NO</x:v>
      </x:c>
    </x:row>
    <x:row r="445">
      <x:c r="A445" t="str">
        <x:v>LP</x:v>
      </x:c>
      <x:c r="B445" t="n">
        <x:v>21</x:v>
      </x:c>
      <x:c r="C445" t="n">
        <x:v>0.1</x:v>
      </x:c>
      <x:c r="D445" t="n">
        <x:v>36</x:v>
      </x:c>
      <x:c r="E445" t="n">
        <x:v>57</x:v>
      </x:c>
      <x:c r="F445" t="n">
        <x:v>-0.0199999999999999</x:v>
      </x:c>
      <x:c r="G445" t="n">
        <x:v>0.0800000000000001</x:v>
      </x:c>
      <x:c r="H445" t="n">
        <x:v>1.281883885238538e-11</x:v>
      </x:c>
      <x:c r="I445" t="n">
        <x:v>1.7243119146362487e-10</x:v>
      </x:c>
      <x:c r="J445" t="n">
        <x:v>1.12876714110679</x:v>
      </x:c>
      <x:c r="K445" t="n">
        <x:v>11.296874321553767</x:v>
      </x:c>
      <x:c r="L445" t="n">
        <x:v>0.999892188906771</x:v>
      </x:c>
      <x:c r="M445" t="n">
        <x:v>88.52006064120401</x:v>
      </x:c>
      <x:c r="N445" t="n">
        <x:v>4.289497785470151e-7</x:v>
      </x:c>
      <x:c r="O445" t="str">
        <x:v>NO</x:v>
      </x:c>
      <x:c r="P445" t="str">
        <x:v>NO</x:v>
      </x:c>
    </x:row>
    <x:row r="446">
      <x:c r="A446" t="str">
        <x:v>LP</x:v>
      </x:c>
      <x:c r="B446" t="n">
        <x:v>21</x:v>
      </x:c>
      <x:c r="C446" t="n">
        <x:v>0.1</x:v>
      </x:c>
      <x:c r="D446" t="n">
        <x:v>37</x:v>
      </x:c>
      <x:c r="E446" t="n">
        <x:v>58</x:v>
      </x:c>
      <x:c r="F446" t="n">
        <x:v>-0.0149999999999999</x:v>
      </x:c>
      <x:c r="G446" t="n">
        <x:v>0.0850000000000001</x:v>
      </x:c>
      <x:c r="H446" t="n">
        <x:v>1.4505161836316829e-11</x:v>
      </x:c>
      <x:c r="I446" t="n">
        <x:v>1.9684298301248878e-10</x:v>
      </x:c>
      <x:c r="J446" t="n">
        <x:v>1.1325973591735607</x:v>
      </x:c>
      <x:c r="K446" t="n">
        <x:v>11.339552744922171</x:v>
      </x:c>
      <x:c r="L446" t="n">
        <x:v>0.9999065326806771</x:v>
      </x:c>
      <x:c r="M446" t="n">
        <x:v>88.18689965067608</x:v>
      </x:c>
      <x:c r="N446" t="n">
        <x:v>4.896779593937505e-7</x:v>
      </x:c>
      <x:c r="O446" t="str">
        <x:v>NO</x:v>
      </x:c>
      <x:c r="P446" t="str">
        <x:v>NO</x:v>
      </x:c>
    </x:row>
    <x:row r="447">
      <x:c r="A447" t="str">
        <x:v>LP</x:v>
      </x:c>
      <x:c r="B447" t="n">
        <x:v>21</x:v>
      </x:c>
      <x:c r="C447" t="n">
        <x:v>0.09999999999999999</x:v>
      </x:c>
      <x:c r="D447" t="n">
        <x:v>38</x:v>
      </x:c>
      <x:c r="E447" t="n">
        <x:v>59</x:v>
      </x:c>
      <x:c r="F447" t="n">
        <x:v>-0.0099999999999999</x:v>
      </x:c>
      <x:c r="G447" t="n">
        <x:v>0.0900000000000001</x:v>
      </x:c>
      <x:c r="H447" t="n">
        <x:v>1.643216208159562e-11</x:v>
      </x:c>
      <x:c r="I447" t="n">
        <x:v>2.2472416984666888e-10</x:v>
      </x:c>
      <x:c r="J447" t="n">
        <x:v>1.1359550747594316</x:v>
      </x:c>
      <x:c r="K447" t="n">
        <x:v>11.376890912958212</x:v>
      </x:c>
      <x:c r="L447" t="n">
        <x:v>0.9999208031492505</x:v>
      </x:c>
      <x:c r="M447" t="n">
        <x:v>87.89747635366759</x:v>
      </x:c>
      <x:c r="N447" t="n">
        <x:v>5.590368080836782e-7</x:v>
      </x:c>
      <x:c r="O447" t="str">
        <x:v>NO</x:v>
      </x:c>
      <x:c r="P447" t="str">
        <x:v>NO</x:v>
      </x:c>
    </x:row>
    <x:row r="448">
      <x:c r="A448" t="str">
        <x:v>LP</x:v>
      </x:c>
      <x:c r="B448" t="n">
        <x:v>21</x:v>
      </x:c>
      <x:c r="C448" t="n">
        <x:v>0.1</x:v>
      </x:c>
      <x:c r="D448" t="n">
        <x:v>39</x:v>
      </x:c>
      <x:c r="E448" t="n">
        <x:v>60</x:v>
      </x:c>
      <x:c r="F448" t="n">
        <x:v>-0.0049999999999999</x:v>
      </x:c>
      <x:c r="G448" t="n">
        <x:v>0.0950000000000001</x:v>
      </x:c>
      <x:c r="H448" t="n">
        <x:v>1.8634160708620268e-11</x:v>
      </x:c>
      <x:c r="I448" t="n">
        <x:v>2.5656628572766e-10</x:v>
      </x:c>
      <x:c r="J448" t="n">
        <x:v>1.1388897503155846</x:v>
      </x:c>
      <x:c r="K448" t="n">
        <x:v>11.409362655348955</x:v>
      </x:c>
      <x:c r="L448" t="n">
        <x:v>0.999934429127839</x:v>
      </x:c>
      <x:c r="M448" t="n">
        <x:v>87.64731477188855</x:v>
      </x:c>
      <x:c r="N448" t="n">
        <x:v>6.382490923559288e-7</x:v>
      </x:c>
      <x:c r="O448" t="str">
        <x:v>NO</x:v>
      </x:c>
      <x:c r="P448" t="str">
        <x:v>NO</x:v>
      </x:c>
    </x:row>
    <x:row r="449">
      <x:c r="A449" t="str">
        <x:v>LP</x:v>
      </x:c>
      <x:c r="B449" t="n">
        <x:v>21</x:v>
      </x:c>
      <x:c r="C449" t="n">
        <x:v>0.1</x:v>
      </x:c>
      <x:c r="D449" t="n">
        <x:v>40</x:v>
      </x:c>
      <x:c r="E449" t="n">
        <x:v>61</x:v>
      </x:c>
      <x:c r="F449" t="n">
        <x:v>9.887923813067799e-17</x:v>
      </x:c>
      <x:c r="G449" t="n">
        <x:v>0.1000000000000001</x:v>
      </x:c>
      <x:c r="H449" t="n">
        <x:v>2.115036673217059e-11</x:v>
      </x:c>
      <x:c r="I449" t="n">
        <x:v>2.929301697023655e-10</x:v>
      </x:c>
      <x:c r="J449" t="n">
        <x:v>1.1414462010649835</x:v>
      </x:c>
      <x:c r="K449" t="n">
        <x:v>11.437394573927646</x:v>
      </x:c>
      <x:c r="L449" t="n">
        <x:v>0.9999469957223318</x:v>
      </x:c>
      <x:c r="M449" t="n">
        <x:v>87.43249990514195</x:v>
      </x:c>
      <x:c r="N449" t="n">
        <x:v>7.287099877754783e-7</x:v>
      </x:c>
      <x:c r="O449" t="str">
        <x:v>NO</x:v>
      </x:c>
      <x:c r="P449" t="str">
        <x:v>NO</x:v>
      </x:c>
    </x:row>
    <x:row r="450">
      <x:c r="A450" t="str">
        <x:v>LP</x:v>
      </x:c>
      <x:c r="B450" t="n">
        <x:v>21</x:v>
      </x:c>
      <x:c r="C450" t="n">
        <x:v>0.10000000000000009</x:v>
      </x:c>
      <x:c r="D450" t="n">
        <x:v>41</x:v>
      </x:c>
      <x:c r="E450" t="n">
        <x:v>62</x:v>
      </x:c>
      <x:c r="F450" t="n">
        <x:v>0.005</x:v>
      </x:c>
      <x:c r="G450" t="n">
        <x:v>0.1050000000000001</x:v>
      </x:c>
      <x:c r="H450" t="n">
        <x:v>2.4025571782320378e-11</x:v>
      </x:c>
      <x:c r="I450" t="n">
        <x:v>3.3445566569647457e-10</x:v>
      </x:c>
      <x:c r="J450" t="n">
        <x:v>1.1436648251251604</x:v>
      </x:c>
      <x:c r="K450" t="n">
        <x:v>11.461369088476284</x:v>
      </x:c>
      <x:c r="L450" t="n">
        <x:v>0.9999582167232436</x:v>
      </x:c>
      <x:c r="M450" t="n">
        <x:v>87.24961148013632</x:v>
      </x:c>
      <x:c r="N450" t="n">
        <x:v>8.320112070011521e-7</x:v>
      </x:c>
      <x:c r="O450" t="str">
        <x:v>NO</x:v>
      </x:c>
      <x:c r="P450" t="str">
        <x:v>NO</x:v>
      </x:c>
    </x:row>
    <x:row r="451">
      <x:c r="A451" t="str">
        <x:v>LP</x:v>
      </x:c>
      <x:c r="B451" t="n">
        <x:v>21</x:v>
      </x:c>
      <x:c r="C451" t="n">
        <x:v>0.09999999999999999</x:v>
      </x:c>
      <x:c r="D451" t="n">
        <x:v>42</x:v>
      </x:c>
      <x:c r="E451" t="n">
        <x:v>63</x:v>
      </x:c>
      <x:c r="F451" t="n">
        <x:v>0.0100000000000001</x:v>
      </x:c>
      <x:c r="G451" t="n">
        <x:v>0.1100000000000001</x:v>
      </x:c>
      <x:c r="H451" t="n">
        <x:v>2.7310943261342637e-11</x:v>
      </x:c>
      <x:c r="I451" t="n">
        <x:v>3.8187266400736416e-10</x:v>
      </x:c>
      <x:c r="J451" t="n">
        <x:v>1.1455818709294885</x:v>
      </x:c>
      <x:c r="K451" t="n">
        <x:v>11.481627657982793</x:v>
      </x:c>
      <x:c r="L451" t="n">
        <x:v>0.9999679130762975</x:v>
      </x:c>
      <x:c r="M451" t="n">
        <x:v>87.09566533493475</x:v>
      </x:c>
      <x:c r="N451" t="n">
        <x:v>9.499684672402951e-7</x:v>
      </x:c>
      <x:c r="O451" t="str">
        <x:v>NO</x:v>
      </x:c>
      <x:c r="P451" t="str">
        <x:v>NO</x:v>
      </x:c>
    </x:row>
    <x:row r="452">
      <x:c r="A452" t="str">
        <x:v>LP</x:v>
      </x:c>
      <x:c r="B452" t="n">
        <x:v>21</x:v>
      </x:c>
      <x:c r="C452" t="n">
        <x:v>0.1</x:v>
      </x:c>
      <x:c r="D452" t="n">
        <x:v>43</x:v>
      </x:c>
      <x:c r="E452" t="n">
        <x:v>64</x:v>
      </x:c>
      <x:c r="F452" t="n">
        <x:v>0.0150000000000001</x:v>
      </x:c>
      <x:c r="G452" t="n">
        <x:v>0.1150000000000001</x:v>
      </x:c>
      <x:c r="H452" t="n">
        <x:v>3.106492981728692e-11</x:v>
      </x:c>
      <x:c r="I452" t="n">
        <x:v>4.3601366699345075e-10</x:v>
      </x:c>
      <x:c r="J452" t="n">
        <x:v>1.1472297258063318</x:v>
      </x:c>
      <x:c r="K452" t="n">
        <x:v>11.498474051820356</x:v>
      </x:c>
      <x:c r="L452" t="n">
        <x:v>0.9999759960626532</x:v>
      </x:c>
      <x:c r="M452" t="n">
        <x:v>86.9680616308985</x:v>
      </x:c>
      <x:c r="N452" t="n">
        <x:v>0.0000010846527493824519</x:v>
      </x:c>
      <x:c r="O452" t="str">
        <x:v>NO</x:v>
      </x:c>
      <x:c r="P452" t="str">
        <x:v>NO</x:v>
      </x:c>
    </x:row>
    <x:row r="453">
      <x:c r="A453" t="str">
        <x:v>LP</x:v>
      </x:c>
      <x:c r="B453" t="n">
        <x:v>21</x:v>
      </x:c>
      <x:c r="C453" t="n">
        <x:v>0.1</x:v>
      </x:c>
      <x:c r="D453" t="n">
        <x:v>44</x:v>
      </x:c>
      <x:c r="E453" t="n">
        <x:v>65</x:v>
      </x:c>
      <x:c r="F453" t="n">
        <x:v>0.0200000000000001</x:v>
      </x:c>
      <x:c r="G453" t="n">
        <x:v>0.1200000000000001</x:v>
      </x:c>
      <x:c r="H453" t="n">
        <x:v>3.535429495798751e-11</x:v>
      </x:c>
      <x:c r="I453" t="n">
        <x:v>4.978280853064774e-10</x:v>
      </x:c>
      <x:c r="J453" t="n">
        <x:v>1.1486372130952418</x:v>
      </x:c>
      <x:c r="K453" t="n">
        <x:v>11.512177577072244</x:v>
      </x:c>
      <x:c r="L453" t="n">
        <x:v>0.9999824541939049</x:v>
      </x:c>
      <x:c r="M453" t="n">
        <x:v>86.86453916343412</x:v>
      </x:c>
      <x:c r="N453" t="n">
        <x:v>0.0000012384258621314808</x:v>
      </x:c>
      <x:c r="O453" t="str">
        <x:v>NO</x:v>
      </x:c>
      <x:c r="P453" t="str">
        <x:v>NO</x:v>
      </x:c>
    </x:row>
    <x:row r="454">
      <x:c r="A454" t="str">
        <x:v>LP</x:v>
      </x:c>
      <x:c r="B454" t="n">
        <x:v>21</x:v>
      </x:c>
      <x:c r="C454" t="n">
        <x:v>0.1</x:v>
      </x:c>
      <x:c r="D454" t="n">
        <x:v>45</x:v>
      </x:c>
      <x:c r="E454" t="n">
        <x:v>66</x:v>
      </x:c>
      <x:c r="F454" t="n">
        <x:v>0.0250000000000001</x:v>
      </x:c>
      <x:c r="G454" t="n">
        <x:v>0.1250000000000001</x:v>
      </x:c>
      <x:c r="H454" t="n">
        <x:v>4.0255296840700295e-11</x:v>
      </x:c>
      <x:c r="I454" t="n">
        <x:v>5.683984980839916e-10</x:v>
      </x:c>
      <x:c r="J454" t="n">
        <x:v>1.1498298882350273</x:v>
      </x:c>
      <x:c r="K454" t="n">
        <x:v>11.522976194550719</x:v>
      </x:c>
      <x:c r="L454" t="n">
        <x:v>0.9999873430864437</x:v>
      </x:c>
      <x:c r="M454" t="n">
        <x:v>86.78313511338379</x:v>
      </x:c>
      <x:c r="N454" t="n">
        <x:v>0.000001413980891798326</x:v>
      </x:c>
      <x:c r="O454" t="str">
        <x:v>NO</x:v>
      </x:c>
      <x:c r="P454" t="str">
        <x:v>NO</x:v>
      </x:c>
    </x:row>
    <x:row r="455">
      <x:c r="A455" t="str">
        <x:v>LP</x:v>
      </x:c>
      <x:c r="B455" t="n">
        <x:v>21</x:v>
      </x:c>
      <x:c r="C455" t="n">
        <x:v>0.09999999999999999</x:v>
      </x:c>
      <x:c r="D455" t="n">
        <x:v>46</x:v>
      </x:c>
      <x:c r="E455" t="n">
        <x:v>67</x:v>
      </x:c>
      <x:c r="F455" t="n">
        <x:v>0.0300000000000001</x:v>
      </x:c>
      <x:c r="G455" t="n">
        <x:v>0.1300000000000001</x:v>
      </x:c>
      <x:c r="H455" t="n">
        <x:v>4.5855034789212085e-11</x:v>
      </x:c>
      <x:c r="I455" t="n">
        <x:v>6.48959140958066e-10</x:v>
      </x:c>
      <x:c r="J455" t="n">
        <x:v>1.150830326824508</x:v>
      </x:c>
      <x:c r="K455" t="n">
        <x:v>11.531079477363372</x:v>
      </x:c>
      <x:c r="L455" t="n">
        <x:v>0.999990777761844</x:v>
      </x:c>
      <x:c r="M455" t="n">
        <x:v>86.72214964462755</x:v>
      </x:c>
      <x:c r="N455" t="n">
        <x:v>0.0000016143881941379913</x:v>
      </x:c>
      <x:c r="O455" t="str">
        <x:v>NO</x:v>
      </x:c>
      <x:c r="P455" t="str">
        <x:v>NO</x:v>
      </x:c>
    </x:row>
    <x:row r="456">
      <x:c r="A456" t="str">
        <x:v>LP</x:v>
      </x:c>
      <x:c r="B456" t="n">
        <x:v>21</x:v>
      </x:c>
      <x:c r="C456" t="n">
        <x:v>0.09999999999999999</x:v>
      </x:c>
      <x:c r="D456" t="n">
        <x:v>47</x:v>
      </x:c>
      <x:c r="E456" t="n">
        <x:v>68</x:v>
      </x:c>
      <x:c r="F456" t="n">
        <x:v>0.0350000000000001</x:v>
      </x:c>
      <x:c r="G456" t="n">
        <x:v>0.1350000000000001</x:v>
      </x:c>
      <x:c r="H456" t="n">
        <x:v>5.2252985954002747e-11</x:v>
      </x:c>
      <x:c r="I456" t="n">
        <x:v>7.409169199265799e-10</x:v>
      </x:c>
      <x:c r="J456" t="n">
        <x:v>1.151658399754325</x:v>
      </x:c>
      <x:c r="K456" t="n">
        <x:v>11.53667138273111</x:v>
      </x:c>
      <x:c r="L456" t="n">
        <x:v>0.9999929269492587</x:v>
      </x:c>
      <x:c r="M456" t="n">
        <x:v>86.68011481170119</x:v>
      </x:c>
      <x:c r="N456" t="n">
        <x:v>0.0000018431476696679191</x:v>
      </x:c>
      <x:c r="O456" t="str">
        <x:v>NO</x:v>
      </x:c>
      <x:c r="P456" t="str">
        <x:v>NO</x:v>
      </x:c>
    </x:row>
    <x:row r="457">
      <x:c r="A457" t="str">
        <x:v>LP</x:v>
      </x:c>
      <x:c r="B457" t="n">
        <x:v>21</x:v>
      </x:c>
      <x:c r="C457" t="n">
        <x:v>0.10000000000000012</x:v>
      </x:c>
      <x:c r="D457" t="n">
        <x:v>48</x:v>
      </x:c>
      <x:c r="E457" t="n">
        <x:v>69</x:v>
      </x:c>
      <x:c r="F457" t="n">
        <x:v>0.0400000000000001</x:v>
      </x:c>
      <x:c r="G457" t="n">
        <x:v>0.1400000000000002</x:v>
      </x:c>
      <x:c r="H457" t="n">
        <x:v>5.956275878741194e-11</x:v>
      </x:c>
      <x:c r="I457" t="n">
        <x:v>8.458752874830023e-10</x:v>
      </x:c>
      <x:c r="J457" t="n">
        <x:v>1.1523315321899616</x:v>
      </x:c>
      <x:c r="K457" t="n">
        <x:v>11.539912820803961</x:v>
      </x:c>
      <x:c r="L457" t="n">
        <x:v>0.9999940090594022</x:v>
      </x:c>
      <x:c r="M457" t="n">
        <x:v>86.65576729463821</x:v>
      </x:c>
      <x:c r="N457" t="n">
        <x:v>0.00000210424815930573</x:v>
      </x:c>
      <x:c r="O457" t="str">
        <x:v>NO</x:v>
      </x:c>
      <x:c r="P457" t="str">
        <x:v>NO</x:v>
      </x:c>
    </x:row>
    <x:row r="458">
      <x:c r="A458" t="str">
        <x:v>LP</x:v>
      </x:c>
      <x:c r="B458" t="n">
        <x:v>21</x:v>
      </x:c>
      <x:c r="C458" t="n">
        <x:v>0.10000000000000012</x:v>
      </x:c>
      <x:c r="D458" t="n">
        <x:v>49</x:v>
      </x:c>
      <x:c r="E458" t="n">
        <x:v>70</x:v>
      </x:c>
      <x:c r="F458" t="n">
        <x:v>0.0450000000000001</x:v>
      </x:c>
      <x:c r="G458" t="n">
        <x:v>0.1450000000000002</x:v>
      </x:c>
      <x:c r="H458" t="n">
        <x:v>6.791409370813255e-11</x:v>
      </x:c>
      <x:c r="I458" t="n">
        <x:v>9.656613603731478e-10</x:v>
      </x:c>
      <x:c r="J458" t="n">
        <x:v>1.1528649445035768</x:v>
      </x:c>
      <x:c r="K458" t="n">
        <x:v>11.540944014062742</x:v>
      </x:c>
      <x:c r="L458" t="n">
        <x:v>0.9999942895690928</x:v>
      </x:c>
      <x:c r="M458" t="n">
        <x:v>86.64802452741225</x:v>
      </x:c>
      <x:c r="N458" t="n">
        <x:v>0.0000024022349040652123</x:v>
      </x:c>
      <x:c r="O458" t="str">
        <x:v>NO</x:v>
      </x:c>
      <x:c r="P458" t="str">
        <x:v>NO</x:v>
      </x:c>
    </x:row>
    <x:row r="459">
      <x:c r="A459" t="str">
        <x:v>LP</x:v>
      </x:c>
      <x:c r="B459" t="n">
        <x:v>21</x:v>
      </x:c>
      <x:c r="C459" t="n">
        <x:v>0.10000000000000019</x:v>
      </x:c>
      <x:c r="D459" t="n">
        <x:v>50</x:v>
      </x:c>
      <x:c r="E459" t="n">
        <x:v>71</x:v>
      </x:c>
      <x:c r="F459" t="n">
        <x:v>0.05</x:v>
      </x:c>
      <x:c r="G459" t="n">
        <x:v>0.1500000000000002</x:v>
      </x:c>
      <x:c r="H459" t="n">
        <x:v>7.745514553794716e-11</x:v>
      </x:c>
      <x:c r="I459" t="n">
        <x:v>1.102356706418941e-9</x:v>
      </x:c>
      <x:c r="J459" t="n">
        <x:v>1.1532718742491035</x:v>
      </x:c>
      <x:c r="K459" t="n">
        <x:v>11.539886648122566</x:v>
      </x:c>
      <x:c r="L459" t="n">
        <x:v>0.9999940796083089</x:v>
      </x:c>
      <x:c r="M459" t="n">
        <x:v>86.65596383155902</x:v>
      </x:c>
      <x:c r="N459" t="n">
        <x:v>0.000002742286132135048</x:v>
      </x:c>
      <x:c r="O459" t="str">
        <x:v>NO</x:v>
      </x:c>
      <x:c r="P459" t="str">
        <x:v>NO</x:v>
      </x:c>
    </x:row>
    <x:row r="460">
      <x:c r="A460" t="str">
        <x:v>LP</x:v>
      </x:c>
      <x:c r="B460" t="n">
        <x:v>21</x:v>
      </x:c>
      <x:c r="C460" t="n">
        <x:v>0.1000000000000002</x:v>
      </x:c>
      <x:c r="D460" t="n">
        <x:v>51</x:v>
      </x:c>
      <x:c r="E460" t="n">
        <x:v>72</x:v>
      </x:c>
      <x:c r="F460" t="n">
        <x:v>0.055</x:v>
      </x:c>
      <x:c r="G460" t="n">
        <x:v>0.1550000000000002</x:v>
      </x:c>
      <x:c r="H460" t="n">
        <x:v>8.835508707411416e-11</x:v>
      </x:c>
      <x:c r="I460" t="n">
        <x:v>1.258332281556775e-9</x:v>
      </x:c>
      <x:c r="J460" t="n">
        <x:v>1.1535637790260456</x:v>
      </x:c>
      <x:c r="K460" t="n">
        <x:v>11.536845819898957</x:v>
      </x:c>
      <x:c r="L460" t="n">
        <x:v>0.9999937355834497</x:v>
      </x:c>
      <x:c r="M460" t="n">
        <x:v>86.67880420792156</x:v>
      </x:c>
      <x:c r="N460" t="n">
        <x:v>0.000003130299970270773</x:v>
      </x:c>
      <x:c r="O460" t="str">
        <x:v>NO</x:v>
      </x:c>
      <x:c r="P460" t="str">
        <x:v>NO</x:v>
      </x:c>
    </x:row>
    <x:row r="461">
      <x:c r="A461" t="str">
        <x:v>LP</x:v>
      </x:c>
      <x:c r="B461" t="n">
        <x:v>21</x:v>
      </x:c>
      <x:c r="C461" t="n">
        <x:v>0.1000000000000002</x:v>
      </x:c>
      <x:c r="D461" t="n">
        <x:v>52</x:v>
      </x:c>
      <x:c r="E461" t="n">
        <x:v>73</x:v>
      </x:c>
      <x:c r="F461" t="n">
        <x:v>0.06</x:v>
      </x:c>
      <x:c r="G461" t="n">
        <x:v>0.1600000000000002</x:v>
      </x:c>
      <x:c r="H461" t="n">
        <x:v>1.008070785903204e-10</x:v>
      </x:c>
      <x:c r="I461" t="n">
        <x:v>1.436288058139643e-9</x:v>
      </x:c>
      <x:c r="J461" t="n">
        <x:v>1.153750520613798</x:v>
      </x:c>
      <x:c r="K461" t="n">
        <x:v>11.531911792588</x:v>
      </x:c>
      <x:c r="L461" t="n">
        <x:v>0.9999936597043748</x:v>
      </x:c>
      <x:c r="M461" t="n">
        <x:v>86.71589047730474</x:v>
      </x:c>
      <x:c r="N461" t="n">
        <x:v>0.000003572993025445111</x:v>
      </x:c>
      <x:c r="O461" t="str">
        <x:v>NO</x:v>
      </x:c>
      <x:c r="P461" t="str">
        <x:v>NO</x:v>
      </x:c>
    </x:row>
    <x:row r="462">
      <x:c r="A462" t="str">
        <x:v>LP</x:v>
      </x:c>
      <x:c r="B462" t="n">
        <x:v>21</x:v>
      </x:c>
      <x:c r="C462" t="n">
        <x:v>0.1000000000000002</x:v>
      </x:c>
      <x:c r="D462" t="n">
        <x:v>53</x:v>
      </x:c>
      <x:c r="E462" t="n">
        <x:v>74</x:v>
      </x:c>
      <x:c r="F462" t="n">
        <x:v>0.065</x:v>
      </x:c>
      <x:c r="G462" t="n">
        <x:v>0.1650000000000002</x:v>
      </x:c>
      <x:c r="H462" t="n">
        <x:v>1.1503165422272059e-10</x:v>
      </x:c>
      <x:c r="I462" t="n">
        <x:v>1.639297952254774e-9</x:v>
      </x:c>
      <x:c r="J462" t="n">
        <x:v>1.1538405311311486</x:v>
      </x:c>
      <x:c r="K462" t="n">
        <x:v>11.525161569139481</x:v>
      </x:c>
      <x:c r="L462" t="n">
        <x:v>0.999994301311095</x:v>
      </x:c>
      <x:c r="M462" t="n">
        <x:v>86.7666794952068</x:v>
      </x:c>
      <x:c r="N462" t="n">
        <x:v>0.000004078012148634946</x:v>
      </x:c>
      <x:c r="O462" t="str">
        <x:v>NO</x:v>
      </x:c>
      <x:c r="P462" t="str">
        <x:v>NO</x:v>
      </x:c>
    </x:row>
    <x:row r="463">
      <x:c r="A463" t="str">
        <x:v>LP</x:v>
      </x:c>
      <x:c r="B463" t="n">
        <x:v>21</x:v>
      </x:c>
      <x:c r="C463" t="n">
        <x:v>0.1000000000000002</x:v>
      </x:c>
      <x:c r="D463" t="n">
        <x:v>54</x:v>
      </x:c>
      <x:c r="E463" t="n">
        <x:v>75</x:v>
      </x:c>
      <x:c r="F463" t="n">
        <x:v>0.07</x:v>
      </x:c>
      <x:c r="G463" t="n">
        <x:v>0.1700000000000002</x:v>
      </x:c>
      <x:c r="H463" t="n">
        <x:v>1.312805831898021e-10</x:v>
      </x:c>
      <x:c r="I463" t="n">
        <x:v>1.870860731940521e-9</x:v>
      </x:c>
      <x:c r="J463" t="n">
        <x:v>1.153840962224029</x:v>
      </x:c>
      <x:c r="K463" t="n">
        <x:v>11.516660297171443</x:v>
      </x:c>
      <x:c r="L463" t="n">
        <x:v>0.999996158920156</x:v>
      </x:c>
      <x:c r="M463" t="n">
        <x:v>86.83072819692404</x:v>
      </x:c>
      <x:c r="N463" t="n">
        <x:v>0.000004654061077038288</x:v>
      </x:c>
      <x:c r="O463" t="str">
        <x:v>NO</x:v>
      </x:c>
      <x:c r="P463" t="str">
        <x:v>NO</x:v>
      </x:c>
    </x:row>
    <x:row r="464">
      <x:c r="A464" t="str">
        <x:v>LP</x:v>
      </x:c>
      <x:c r="B464" t="n">
        <x:v>21</x:v>
      </x:c>
      <x:c r="C464" t="n">
        <x:v>0.10000000000000012</x:v>
      </x:c>
      <x:c r="D464" t="n">
        <x:v>55</x:v>
      </x:c>
      <x:c r="E464" t="n">
        <x:v>76</x:v>
      </x:c>
      <x:c r="F464" t="n">
        <x:v>0.0750000000000001</x:v>
      </x:c>
      <x:c r="G464" t="n">
        <x:v>0.1750000000000002</x:v>
      </x:c>
      <x:c r="H464" t="n">
        <x:v>1.5105804807905818e-10</x:v>
      </x:c>
      <x:c r="I464" t="n">
        <x:v>2.134957670422552e-9</x:v>
      </x:c>
      <x:c r="J464" t="n">
        <x:v>1.150245400144966</x:v>
      </x:c>
      <x:c r="K464" t="n">
        <x:v>11.506462518823808</x:v>
      </x:c>
      <x:c r="L464" t="n">
        <x:v>0.9999997829318296</x:v>
      </x:c>
      <x:c r="M464" t="n">
        <x:v>86.90768325747956</x:v>
      </x:c>
      <x:c r="N464" t="n">
        <x:v>0.000005311043855590332</x:v>
      </x:c>
      <x:c r="O464" t="str">
        <x:v>NO</x:v>
      </x:c>
      <x:c r="P464" t="str">
        <x:v>NO</x:v>
      </x:c>
    </x:row>
    <x:row r="465">
      <x:c r="A465" t="str">
        <x:v>LP</x:v>
      </x:c>
      <x:c r="B465" t="n">
        <x:v>21</x:v>
      </x:c>
      <x:c r="C465" t="n">
        <x:v>0.10000000000000009</x:v>
      </x:c>
      <x:c r="D465" t="n">
        <x:v>56</x:v>
      </x:c>
      <x:c r="E465" t="n">
        <x:v>77</x:v>
      </x:c>
      <x:c r="F465" t="n">
        <x:v>0.0800000000000001</x:v>
      </x:c>
      <x:c r="G465" t="n">
        <x:v>0.1800000000000002</x:v>
      </x:c>
      <x:c r="H465" t="n">
        <x:v>1.7243119146362487e-10</x:v>
      </x:c>
      <x:c r="I465" t="n">
        <x:v>2.436117799521789e-9</x:v>
      </x:c>
      <x:c r="J465" t="n">
        <x:v>1.1500824558701055</x:v>
      </x:c>
      <x:c r="K465" t="n">
        <x:v>11.504648759911662</x:v>
      </x:c>
      <x:c r="L465" t="n">
        <x:v>0.9999996448033396</x:v>
      </x:c>
      <x:c r="M465" t="n">
        <x:v>86.92138463927155</x:v>
      </x:c>
      <x:c r="N465" t="n">
        <x:v>0.000006060227165105187</x:v>
      </x:c>
      <x:c r="O465" t="str">
        <x:v>NO</x:v>
      </x:c>
      <x:c r="P465" t="str">
        <x:v>NO</x:v>
      </x:c>
    </x:row>
    <x:row r="466">
      <x:c r="A466" t="str">
        <x:v>LP</x:v>
      </x:c>
      <x:c r="B466" t="n">
        <x:v>21</x:v>
      </x:c>
      <x:c r="C466" t="n">
        <x:v>0.10000000000000009</x:v>
      </x:c>
      <x:c r="D466" t="n">
        <x:v>57</x:v>
      </x:c>
      <x:c r="E466" t="n">
        <x:v>78</x:v>
      </x:c>
      <x:c r="F466" t="n">
        <x:v>0.0850000000000001</x:v>
      </x:c>
      <x:c r="G466" t="n">
        <x:v>0.1850000000000002</x:v>
      </x:c>
      <x:c r="H466" t="n">
        <x:v>1.9684298301248878e-10</x:v>
      </x:c>
      <x:c r="I466" t="n">
        <x:v>2.77949171892227e-9</x:v>
      </x:c>
      <x:c r="J466" t="n">
        <x:v>1.1498454466319217</x:v>
      </x:c>
      <x:c r="K466" t="n">
        <x:v>11.502135817656885</x:v>
      </x:c>
      <x:c r="L466" t="n">
        <x:v>0.9999994613487432</x:v>
      </x:c>
      <x:c r="M466" t="n">
        <x:v>86.94037488801895</x:v>
      </x:c>
      <x:c r="N466" t="n">
        <x:v>0.000006914423934468279</x:v>
      </x:c>
      <x:c r="O466" t="str">
        <x:v>NO</x:v>
      </x:c>
      <x:c r="P466" t="str">
        <x:v>NO</x:v>
      </x:c>
    </x:row>
    <x:row r="467">
      <x:c r="A467" t="str">
        <x:v>LP</x:v>
      </x:c>
      <x:c r="B467" t="n">
        <x:v>21</x:v>
      </x:c>
      <x:c r="C467" t="n">
        <x:v>0.1000000000000001</x:v>
      </x:c>
      <x:c r="D467" t="n">
        <x:v>58</x:v>
      </x:c>
      <x:c r="E467" t="n">
        <x:v>79</x:v>
      </x:c>
      <x:c r="F467" t="n">
        <x:v>0.0900000000000001</x:v>
      </x:c>
      <x:c r="G467" t="n">
        <x:v>0.1900000000000002</x:v>
      </x:c>
      <x:c r="H467" t="n">
        <x:v>2.2472416984666888e-10</x:v>
      </x:c>
      <x:c r="I467" t="n">
        <x:v>3.170935027767185e-9</x:v>
      </x:c>
      <x:c r="J467" t="n">
        <x:v>1.1495375586795156</x:v>
      </x:c>
      <x:c r="K467" t="n">
        <x:v>11.498951506741314</x:v>
      </x:c>
      <x:c r="L467" t="n">
        <x:v>0.9999992364292956</x:v>
      </x:c>
      <x:c r="M467" t="n">
        <x:v>86.9644505774066</x:v>
      </x:c>
      <x:c r="N467" t="n">
        <x:v>0.000007888200889887382</x:v>
      </x:c>
      <x:c r="O467" t="str">
        <x:v>NO</x:v>
      </x:c>
      <x:c r="P467" t="str">
        <x:v>NO</x:v>
      </x:c>
    </x:row>
    <x:row r="468">
      <x:c r="A468" t="str">
        <x:v>LP</x:v>
      </x:c>
      <x:c r="B468" t="n">
        <x:v>21</x:v>
      </x:c>
      <x:c r="C468" t="n">
        <x:v>0.1000000000000001</x:v>
      </x:c>
      <x:c r="D468" t="n">
        <x:v>59</x:v>
      </x:c>
      <x:c r="E468" t="n">
        <x:v>80</x:v>
      </x:c>
      <x:c r="F468" t="n">
        <x:v>0.0950000000000001</x:v>
      </x:c>
      <x:c r="G468" t="n">
        <x:v>0.1950000000000002</x:v>
      </x:c>
      <x:c r="H468" t="n">
        <x:v>2.5656628572766e-10</x:v>
      </x:c>
      <x:c r="I468" t="n">
        <x:v>3.617102566781934e-9</x:v>
      </x:c>
      <x:c r="J468" t="n">
        <x:v>1.149161236799337</x:v>
      </x:c>
      <x:c r="K468" t="n">
        <x:v>11.495116732034074</x:v>
      </x:c>
      <x:c r="L468" t="n">
        <x:v>0.9999989719428505</x:v>
      </x:c>
      <x:c r="M468" t="n">
        <x:v>86.99346194660599</x:v>
      </x:c>
      <x:c r="N468" t="n">
        <x:v>0.000008998112997034287</x:v>
      </x:c>
      <x:c r="O468" t="str">
        <x:v>NO</x:v>
      </x:c>
      <x:c r="P468" t="str">
        <x:v>NO</x:v>
      </x:c>
    </x:row>
    <x:row r="469">
      <x:c r="A469" t="str">
        <x:v>LP</x:v>
      </x:c>
      <x:c r="B469" t="n">
        <x:v>21</x:v>
      </x:c>
      <x:c r="C469" t="n">
        <x:v>0.1000000000000001</x:v>
      </x:c>
      <x:c r="D469" t="n">
        <x:v>60</x:v>
      </x:c>
      <x:c r="E469" t="n">
        <x:v>81</x:v>
      </x:c>
      <x:c r="F469" t="n">
        <x:v>0.1000000000000001</x:v>
      </x:c>
      <x:c r="G469" t="n">
        <x:v>0.2000000000000002</x:v>
      </x:c>
      <x:c r="H469" t="n">
        <x:v>2.929301697023655e-10</x:v>
      </x:c>
      <x:c r="I469" t="n">
        <x:v>4.125554792534778e-9</x:v>
      </x:c>
      <x:c r="J469" t="n">
        <x:v>1.148718256268367</x:v>
      </x:c>
      <x:c r="K469" t="n">
        <x:v>11.490646150077797</x:v>
      </x:c>
      <x:c r="L469" t="n">
        <x:v>0.9999986681666847</x:v>
      </x:c>
      <x:c r="M469" t="n">
        <x:v>87.02730785885609</x:v>
      </x:c>
      <x:c r="N469" t="n">
        <x:v>0.000010262968083791771</x:v>
      </x:c>
      <x:c r="O469" t="str">
        <x:v>NO</x:v>
      </x:c>
      <x:c r="P469" t="str">
        <x:v>NO</x:v>
      </x:c>
    </x:row>
    <x:row r="470">
      <x:c r="A470" t="str">
        <x:v>LP</x:v>
      </x:c>
      <x:c r="B470" t="n">
        <x:v>21</x:v>
      </x:c>
      <x:c r="C470" t="n">
        <x:v>0.10000000000000012</x:v>
      </x:c>
      <x:c r="D470" t="n">
        <x:v>61</x:v>
      </x:c>
      <x:c r="E470" t="n">
        <x:v>82</x:v>
      </x:c>
      <x:c r="F470" t="n">
        <x:v>0.1050000000000001</x:v>
      </x:c>
      <x:c r="G470" t="n">
        <x:v>0.2050000000000002</x:v>
      </x:c>
      <x:c r="H470" t="n">
        <x:v>3.3445566569647457e-10</x:v>
      </x:c>
      <x:c r="I470" t="n">
        <x:v>4.7048777512138814e-9</x:v>
      </x:c>
      <x:c r="J470" t="n">
        <x:v>1.1482097861343732</x:v>
      </x:c>
      <x:c r="K470" t="n">
        <x:v>11.485548748754205</x:v>
      </x:c>
      <x:c r="L470" t="n">
        <x:v>0.999998324008751</x:v>
      </x:c>
      <x:c r="M470" t="n">
        <x:v>87.06593144785235</x:v>
      </x:c>
      <x:c r="N470" t="n">
        <x:v>0.00001170412529394203</x:v>
      </x:c>
      <x:c r="O470" t="str">
        <x:v>NO</x:v>
      </x:c>
      <x:c r="P470" t="str">
        <x:v>NO</x:v>
      </x:c>
    </x:row>
    <x:row r="471">
      <x:c r="A471" t="str">
        <x:v>LP</x:v>
      </x:c>
      <x:c r="B471" t="n">
        <x:v>21</x:v>
      </x:c>
      <x:c r="C471" t="n">
        <x:v>0.10000000000000009</x:v>
      </x:c>
      <x:c r="D471" t="n">
        <x:v>62</x:v>
      </x:c>
      <x:c r="E471" t="n">
        <x:v>83</x:v>
      </x:c>
      <x:c r="F471" t="n">
        <x:v>0.1100000000000001</x:v>
      </x:c>
      <x:c r="G471" t="n">
        <x:v>0.2100000000000002</x:v>
      </x:c>
      <x:c r="H471" t="n">
        <x:v>3.8187266400736416e-10</x:v>
      </x:c>
      <x:c r="I471" t="n">
        <x:v>5.3648182780588584e-9</x:v>
      </x:c>
      <x:c r="J471" t="n">
        <x:v>1.147636444811308</x:v>
      </x:c>
      <x:c r="K471" t="n">
        <x:v>11.479828354690138</x:v>
      </x:c>
      <x:c r="L471" t="n">
        <x:v>0.9999979371874673</x:v>
      </x:c>
      <x:c r="M471" t="n">
        <x:v>87.10931636808361</x:v>
      </x:c>
      <x:c r="N471" t="n">
        <x:v>0.000013345831417071561</x:v>
      </x:c>
      <x:c r="O471" t="str">
        <x:v>NO</x:v>
      </x:c>
      <x:c r="P471" t="str">
        <x:v>NO</x:v>
      </x:c>
    </x:row>
    <x:row r="472">
      <x:c r="A472" t="str">
        <x:v>LP</x:v>
      </x:c>
      <x:c r="B472" t="n">
        <x:v>21</x:v>
      </x:c>
      <x:c r="C472" t="n">
        <x:v>0.10000000000000009</x:v>
      </x:c>
      <x:c r="D472" t="n">
        <x:v>63</x:v>
      </x:c>
      <x:c r="E472" t="n">
        <x:v>84</x:v>
      </x:c>
      <x:c r="F472" t="n">
        <x:v>0.1150000000000001</x:v>
      </x:c>
      <x:c r="G472" t="n">
        <x:v>0.2150000000000002</x:v>
      </x:c>
      <x:c r="H472" t="n">
        <x:v>4.3601366699345075e-10</x:v>
      </x:c>
      <x:c r="I472" t="n">
        <x:v>6.116436220906963e-9</x:v>
      </x:c>
      <x:c r="J472" t="n">
        <x:v>1.1469983489042885</x:v>
      </x:c>
      <x:c r="K472" t="n">
        <x:v>11.473484077188724</x:v>
      </x:c>
      <x:c r="L472" t="n">
        <x:v>0.999997504355597</x:v>
      </x:c>
      <x:c r="M472" t="n">
        <x:v>87.1574835745119</x:v>
      </x:c>
      <x:c r="N472" t="n">
        <x:v>0.000015215599568645636</x:v>
      </x:c>
      <x:c r="O472" t="str">
        <x:v>NO</x:v>
      </x:c>
      <x:c r="P472" t="str">
        <x:v>NO</x:v>
      </x:c>
    </x:row>
    <x:row r="473">
      <x:c r="A473" t="str">
        <x:v>LP</x:v>
      </x:c>
      <x:c r="B473" t="n">
        <x:v>21</x:v>
      </x:c>
      <x:c r="C473" t="n">
        <x:v>0.10000000000000009</x:v>
      </x:c>
      <x:c r="D473" t="n">
        <x:v>64</x:v>
      </x:c>
      <x:c r="E473" t="n">
        <x:v>85</x:v>
      </x:c>
      <x:c r="F473" t="n">
        <x:v>0.1200000000000001</x:v>
      </x:c>
      <x:c r="G473" t="n">
        <x:v>0.2200000000000002</x:v>
      </x:c>
      <x:c r="H473" t="n">
        <x:v>4.978280853064774e-10</x:v>
      </x:c>
      <x:c r="I473" t="n">
        <x:v>6.972275672665353e-9</x:v>
      </x:c>
      <x:c r="J473" t="n">
        <x:v>1.1462951561097157</x:v>
      </x:c>
      <x:c r="K473" t="n">
        <x:v>11.466510696744413</x:v>
      </x:c>
      <x:c r="L473" t="n">
        <x:v>0.9999970211802609</x:v>
      </x:c>
      <x:c r="M473" t="n">
        <x:v>87.21048856509778</x:v>
      </x:c>
      <x:c r="N473" t="n">
        <x:v>0.000017344635157783836</x:v>
      </x:c>
      <x:c r="O473" t="str">
        <x:v>NO</x:v>
      </x:c>
      <x:c r="P473" t="str">
        <x:v>NO</x:v>
      </x:c>
    </x:row>
    <x:row r="474">
      <x:c r="A474" t="str">
        <x:v>LP</x:v>
      </x:c>
      <x:c r="B474" t="n">
        <x:v>21</x:v>
      </x:c>
      <x:c r="C474" t="n">
        <x:v>0.10000000000000009</x:v>
      </x:c>
      <x:c r="D474" t="n">
        <x:v>65</x:v>
      </x:c>
      <x:c r="E474" t="n">
        <x:v>86</x:v>
      </x:c>
      <x:c r="F474" t="n">
        <x:v>0.1250000000000001</x:v>
      </x:c>
      <x:c r="G474" t="n">
        <x:v>0.2250000000000002</x:v>
      </x:c>
      <x:c r="H474" t="n">
        <x:v>5.683984980839916e-10</x:v>
      </x:c>
      <x:c r="I474" t="n">
        <x:v>7.946557398246181e-9</x:v>
      </x:c>
      <x:c r="J474" t="n">
        <x:v>1.1455261029698764</x:v>
      </x:c>
      <x:c r="K474" t="n">
        <x:v>11.458899005533453</x:v>
      </x:c>
      <x:c r="L474" t="n">
        <x:v>0.9999964823884359</x:v>
      </x:c>
      <x:c r="M474" t="n">
        <x:v>87.26841902674107</x:v>
      </x:c>
      <x:c r="N474" t="n">
        <x:v>0.000019768314579603883</x:v>
      </x:c>
      <x:c r="O474" t="str">
        <x:v>NO</x:v>
      </x:c>
      <x:c r="P474" t="str">
        <x:v>NO</x:v>
      </x:c>
    </x:row>
    <x:row r="475">
      <x:c r="A475" t="str">
        <x:v>LP</x:v>
      </x:c>
      <x:c r="B475" t="n">
        <x:v>21</x:v>
      </x:c>
      <x:c r="C475" t="n">
        <x:v>0.10000000000000012</x:v>
      </x:c>
      <x:c r="D475" t="n">
        <x:v>66</x:v>
      </x:c>
      <x:c r="E475" t="n">
        <x:v>87</x:v>
      </x:c>
      <x:c r="F475" t="n">
        <x:v>0.1300000000000001</x:v>
      </x:c>
      <x:c r="G475" t="n">
        <x:v>0.2300000000000002</x:v>
      </x:c>
      <x:c r="H475" t="n">
        <x:v>6.48959140958066e-10</x:v>
      </x:c>
      <x:c r="I475" t="n">
        <x:v>9.055394856811717e-9</x:v>
      </x:c>
      <x:c r="J475" t="n">
        <x:v>1.144690038201178</x:v>
      </x:c>
      <x:c r="K475" t="n">
        <x:v>11.450636106663397</x:v>
      </x:c>
      <x:c r="L475" t="n">
        <x:v>0.999995881785254</x:v>
      </x:c>
      <x:c r="M475" t="n">
        <x:v>87.33139283136211</x:v>
      </x:c>
      <x:c r="N475" t="n">
        <x:v>0.000022526722604619815</x:v>
      </x:c>
      <x:c r="O475" t="str">
        <x:v>NO</x:v>
      </x:c>
      <x:c r="P475" t="str">
        <x:v>NO</x:v>
      </x:c>
    </x:row>
    <x:row r="476">
      <x:c r="A476" t="str">
        <x:v>LP</x:v>
      </x:c>
      <x:c r="B476" t="n">
        <x:v>21</x:v>
      </x:c>
      <x:c r="C476" t="n">
        <x:v>0.10000000000000012</x:v>
      </x:c>
      <x:c r="D476" t="n">
        <x:v>67</x:v>
      </x:c>
      <x:c r="E476" t="n">
        <x:v>88</x:v>
      </x:c>
      <x:c r="F476" t="n">
        <x:v>0.1350000000000001</x:v>
      </x:c>
      <x:c r="G476" t="n">
        <x:v>0.2350000000000002</x:v>
      </x:c>
      <x:c r="H476" t="n">
        <x:v>7.409169199265799e-10</x:v>
      </x:c>
      <x:c r="I476" t="n">
        <x:v>1.031703645006383e-8</x:v>
      </x:c>
      <x:c r="J476" t="n">
        <x:v>1.143785452257391</x:v>
      </x:c>
      <x:c r="K476" t="n">
        <x:v>11.441705678421314</x:v>
      </x:c>
      <x:c r="L476" t="n">
        <x:v>0.9999952122508852</x:v>
      </x:c>
      <x:c r="M476" t="n">
        <x:v>87.39955633415458</x:v>
      </x:c>
      <x:c r="N476" t="n">
        <x:v>0.00002566525500956096</x:v>
      </x:c>
      <x:c r="O476" t="str">
        <x:v>NO</x:v>
      </x:c>
      <x:c r="P476" t="str">
        <x:v>NO</x:v>
      </x:c>
    </x:row>
    <x:row r="477">
      <x:c r="A477" t="str">
        <x:v>LP</x:v>
      </x:c>
      <x:c r="B477" t="n">
        <x:v>21</x:v>
      </x:c>
      <x:c r="C477" t="n">
        <x:v>0.1</x:v>
      </x:c>
      <x:c r="D477" t="n">
        <x:v>68</x:v>
      </x:c>
      <x:c r="E477" t="n">
        <x:v>89</x:v>
      </x:c>
      <x:c r="F477" t="n">
        <x:v>0.1400000000000002</x:v>
      </x:c>
      <x:c r="G477" t="n">
        <x:v>0.2400000000000002</x:v>
      </x:c>
      <x:c r="H477" t="n">
        <x:v>8.458752874830023e-10</x:v>
      </x:c>
      <x:c r="I477" t="n">
        <x:v>1.1752136871608331e-8</x:v>
      </x:c>
      <x:c r="J477" t="n">
        <x:v>1.1428105037422949</x:v>
      </x:c>
      <x:c r="K477" t="n">
        <x:v>11.432088209285428</x:v>
      </x:c>
      <x:c r="L477" t="n">
        <x:v>0.9999944657206635</x:v>
      </x:c>
      <x:c r="M477" t="n">
        <x:v>87.47308293053364</x:v>
      </x:c>
      <x:c r="N477" t="n">
        <x:v>0.00002923529360170339</x:v>
      </x:c>
      <x:c r="O477" t="str">
        <x:v>NO</x:v>
      </x:c>
      <x:c r="P477" t="str">
        <x:v>NO</x:v>
      </x:c>
    </x:row>
    <x:row r="478">
      <x:c r="A478" t="str">
        <x:v>LP</x:v>
      </x:c>
      <x:c r="B478" t="n">
        <x:v>21</x:v>
      </x:c>
      <x:c r="C478" t="n">
        <x:v>0.09999999999999998</x:v>
      </x:c>
      <x:c r="D478" t="n">
        <x:v>69</x:v>
      </x:c>
      <x:c r="E478" t="n">
        <x:v>90</x:v>
      </x:c>
      <x:c r="F478" t="n">
        <x:v>0.1450000000000002</x:v>
      </x:c>
      <x:c r="G478" t="n">
        <x:v>0.2450000000000002</x:v>
      </x:c>
      <x:c r="H478" t="n">
        <x:v>9.656613603731478e-10</x:v>
      </x:c>
      <x:c r="I478" t="n">
        <x:v>1.3384060690676641e-8</x:v>
      </x:c>
      <x:c r="J478" t="n">
        <x:v>1.1417630432388153</x:v>
      </x:c>
      <x:c r="K478" t="n">
        <x:v>11.421761209041772</x:v>
      </x:c>
      <x:c r="L478" t="n">
        <x:v>0.9999936331523179</x:v>
      </x:c>
      <x:c r="M478" t="n">
        <x:v>87.55217183216658</x:v>
      </x:c>
      <x:c r="N478" t="n">
        <x:v>0.00003329496143124815</x:v>
      </x:c>
      <x:c r="O478" t="str">
        <x:v>NO</x:v>
      </x:c>
      <x:c r="P478" t="str">
        <x:v>NO</x:v>
      </x:c>
    </x:row>
    <x:row r="479">
      <x:c r="A479" t="str">
        <x:v>LP</x:v>
      </x:c>
      <x:c r="B479" t="n">
        <x:v>21</x:v>
      </x:c>
      <x:c r="C479" t="n">
        <x:v>0.10000000000000003</x:v>
      </x:c>
      <x:c r="D479" t="n">
        <x:v>70</x:v>
      </x:c>
      <x:c r="E479" t="n">
        <x:v>91</x:v>
      </x:c>
      <x:c r="F479" t="n">
        <x:v>0.1500000000000002</x:v>
      </x:c>
      <x:c r="G479" t="n">
        <x:v>0.2500000000000002</x:v>
      </x:c>
      <x:c r="H479" t="n">
        <x:v>1.102356706418941e-9</x:v>
      </x:c>
      <x:c r="I479" t="n">
        <x:v>1.523922157501657e-8</x:v>
      </x:c>
      <x:c r="J479" t="n">
        <x:v>1.1406406350847593</x:v>
      </x:c>
      <x:c r="K479" t="n">
        <x:v>11.410699400991417</x:v>
      </x:c>
      <x:c r="L479" t="n">
        <x:v>0.9999927044836292</x:v>
      </x:c>
      <x:c r="M479" t="n">
        <x:v>87.63704702562887</x:v>
      </x:c>
      <x:c r="N479" t="n">
        <x:v>0.00003790996666175234</x:v>
      </x:c>
      <x:c r="O479" t="str">
        <x:v>NO</x:v>
      </x:c>
      <x:c r="P479" t="str">
        <x:v>NO</x:v>
      </x:c>
    </x:row>
    <x:row r="480">
      <x:c r="A480" t="str">
        <x:v>LP</x:v>
      </x:c>
      <x:c r="B480" t="n">
        <x:v>21</x:v>
      </x:c>
      <x:c r="C480" t="n">
        <x:v>0.10000000000000003</x:v>
      </x:c>
      <x:c r="D480" t="n">
        <x:v>71</x:v>
      </x:c>
      <x:c r="E480" t="n">
        <x:v>92</x:v>
      </x:c>
      <x:c r="F480" t="n">
        <x:v>0.1550000000000002</x:v>
      </x:c>
      <x:c r="G480" t="n">
        <x:v>0.2550000000000002</x:v>
      </x:c>
      <x:c r="H480" t="n">
        <x:v>1.258332281556775e-9</x:v>
      </x:c>
      <x:c r="I480" t="n">
        <x:v>1.7347460841589792e-8</x:v>
      </x:c>
      <x:c r="J480" t="n">
        <x:v>1.139440577590002</x:v>
      </x:c>
      <x:c r="K480" t="n">
        <x:v>11.398874899923051</x:v>
      </x:c>
      <x:c r="L480" t="n">
        <x:v>0.9999916685835162</x:v>
      </x:c>
      <x:c r="M480" t="n">
        <x:v>87.7279563798661</x:v>
      </x:c>
      <x:c r="N480" t="n">
        <x:v>0.00004315454427468078</x:v>
      </x:c>
      <x:c r="O480" t="str">
        <x:v>NO</x:v>
      </x:c>
      <x:c r="P480" t="str">
        <x:v>NO</x:v>
      </x:c>
    </x:row>
    <x:row r="481">
      <x:c r="A481" t="str">
        <x:v>LP</x:v>
      </x:c>
      <x:c r="B481" t="n">
        <x:v>21</x:v>
      </x:c>
      <x:c r="C481" t="n">
        <x:v>0.09999999999999998</x:v>
      </x:c>
      <x:c r="D481" t="n">
        <x:v>72</x:v>
      </x:c>
      <x:c r="E481" t="n">
        <x:v>93</x:v>
      </x:c>
      <x:c r="F481" t="n">
        <x:v>0.1600000000000002</x:v>
      </x:c>
      <x:c r="G481" t="n">
        <x:v>0.2600000000000002</x:v>
      </x:c>
      <x:c r="H481" t="n">
        <x:v>1.436288058139643e-9</x:v>
      </x:c>
      <x:c r="I481" t="n">
        <x:v>1.974246931861928e-8</x:v>
      </x:c>
      <x:c r="J481" t="n">
        <x:v>1.1381599221610497</x:v>
      </x:c>
      <x:c r="K481" t="n">
        <x:v>11.386257380264947</x:v>
      </x:c>
      <x:c r="L481" t="n">
        <x:v>0.9999905131994078</x:v>
      </x:c>
      <x:c r="M481" t="n">
        <x:v>87.82517087074058</x:v>
      </x:c>
      <x:c r="N481" t="n">
        <x:v>0.00004911250551777029</x:v>
      </x:c>
      <x:c r="O481" t="str">
        <x:v>NO</x:v>
      </x:c>
      <x:c r="P481" t="str">
        <x:v>NO</x:v>
      </x:c>
    </x:row>
    <x:row r="482">
      <x:c r="A482" t="str">
        <x:v>LP</x:v>
      </x:c>
      <x:c r="B482" t="n">
        <x:v>21</x:v>
      </x:c>
      <x:c r="C482" t="n">
        <x:v>0.09999999999999998</x:v>
      </x:c>
      <x:c r="D482" t="n">
        <x:v>73</x:v>
      </x:c>
      <x:c r="E482" t="n">
        <x:v>94</x:v>
      </x:c>
      <x:c r="F482" t="n">
        <x:v>0.1650000000000002</x:v>
      </x:c>
      <x:c r="G482" t="n">
        <x:v>0.2650000000000002</x:v>
      </x:c>
      <x:c r="H482" t="n">
        <x:v>1.639297952254774e-9</x:v>
      </x:c>
      <x:c r="I482" t="n">
        <x:v>2.2462256806987223e-8</x:v>
      </x:c>
      <x:c r="J482" t="n">
        <x:v>1.136795491772057</x:v>
      </x:c>
      <x:c r="K482" t="n">
        <x:v>11.372814238609712</x:v>
      </x:c>
      <x:c r="L482" t="n">
        <x:v>0.9999892249037691</x:v>
      </x:c>
      <x:c r="M482" t="n">
        <x:v>87.92898389257843</x:v>
      </x:c>
      <x:c r="N482" t="n">
        <x:v>0.00005587840576428388</x:v>
      </x:c>
      <x:c r="O482" t="str">
        <x:v>NO</x:v>
      </x:c>
      <x:c r="P482" t="str">
        <x:v>NO</x:v>
      </x:c>
    </x:row>
    <x:row r="483">
      <x:c r="A483" t="str">
        <x:v>LP</x:v>
      </x:c>
      <x:c r="B483" t="n">
        <x:v>21</x:v>
      </x:c>
      <x:c r="C483" t="n">
        <x:v>0.09999999999999998</x:v>
      </x:c>
      <x:c r="D483" t="n">
        <x:v>74</x:v>
      </x:c>
      <x:c r="E483" t="n">
        <x:v>95</x:v>
      </x:c>
      <x:c r="F483" t="n">
        <x:v>0.1700000000000002</x:v>
      </x:c>
      <x:c r="G483" t="n">
        <x:v>0.2700000000000002</x:v>
      </x:c>
      <x:c r="H483" t="n">
        <x:v>1.870860731940521e-9</x:v>
      </x:c>
      <x:c r="I483" t="n">
        <x:v>2.554967374128647e-8</x:v>
      </x:c>
      <x:c r="J483" t="n">
        <x:v>1.13534389919956</x:v>
      </x:c>
      <x:c r="K483" t="n">
        <x:v>11.358510754618779</x:v>
      </x:c>
      <x:c r="L483" t="n">
        <x:v>0.9999877890427846</x:v>
      </x:c>
      <x:c r="M483" t="n">
        <x:v>88.03971062785357</x:v>
      </x:c>
      <x:c r="N483" t="n">
        <x:v>0.0000635588422271343</x:v>
      </x:c>
      <x:c r="O483" t="str">
        <x:v>NO</x:v>
      </x:c>
      <x:c r="P483" t="str">
        <x:v>NO</x:v>
      </x:c>
    </x:row>
    <x:row r="484">
      <x:c r="A484" t="str">
        <x:v>LP</x:v>
      </x:c>
      <x:c r="B484" t="n">
        <x:v>21</x:v>
      </x:c>
      <x:c r="C484" t="n">
        <x:v>0.09999999999999998</x:v>
      </x:c>
      <x:c r="D484" t="n">
        <x:v>75</x:v>
      </x:c>
      <x:c r="E484" t="n">
        <x:v>96</x:v>
      </x:c>
      <x:c r="F484" t="n">
        <x:v>0.1750000000000002</x:v>
      </x:c>
      <x:c r="G484" t="n">
        <x:v>0.2750000000000002</x:v>
      </x:c>
      <x:c r="H484" t="n">
        <x:v>2.134957670422552e-9</x:v>
      </x:c>
      <x:c r="I484" t="n">
        <x:v>2.9052989969066852e-8</x:v>
      </x:c>
      <x:c r="J484" t="n">
        <x:v>1.1338015654169125</x:v>
      </x:c>
      <x:c r="K484" t="n">
        <x:v>11.343310254151238</x:v>
      </x:c>
      <x:c r="L484" t="n">
        <x:v>0.9999861896904528</x:v>
      </x:c>
      <x:c r="M484" t="n">
        <x:v>88.15768744701631</x:v>
      </x:c>
      <x:c r="N484" t="n">
        <x:v>0.00007227389376352393</x:v>
      </x:c>
      <x:c r="O484" t="str">
        <x:v>NO</x:v>
      </x:c>
      <x:c r="P484" t="str">
        <x:v>NO</x:v>
      </x:c>
    </x:row>
    <x:row r="485">
      <x:c r="A485" t="str">
        <x:v>LP</x:v>
      </x:c>
      <x:c r="B485" t="n">
        <x:v>21</x:v>
      </x:c>
      <x:c r="C485" t="n">
        <x:v>0.1</x:v>
      </x:c>
      <x:c r="D485" t="n">
        <x:v>76</x:v>
      </x:c>
      <x:c r="E485" t="n">
        <x:v>97</x:v>
      </x:c>
      <x:c r="F485" t="n">
        <x:v>0.1800000000000002</x:v>
      </x:c>
      <x:c r="G485" t="n">
        <x:v>0.2800000000000002</x:v>
      </x:c>
      <x:c r="H485" t="n">
        <x:v>2.436117799521789e-9</x:v>
      </x:c>
      <x:c r="I485" t="n">
        <x:v>3.3026535889044646e-8</x:v>
      </x:c>
      <x:c r="J485" t="n">
        <x:v>1.1321647385248212</x:v>
      </x:c>
      <x:c r="K485" t="n">
        <x:v>11.327174278318369</x:v>
      </x:c>
      <x:c r="L485" t="n">
        <x:v>0.9999844096116891</x:v>
      </x:c>
      <x:c r="M485" t="n">
        <x:v>88.28327131102108</x:v>
      </x:c>
      <x:c r="N485" t="n">
        <x:v>0.00008215871580733862</x:v>
      </x:c>
      <x:c r="O485" t="str">
        <x:v>NO</x:v>
      </x:c>
      <x:c r="P485" t="str">
        <x:v>NO</x:v>
      </x:c>
    </x:row>
    <x:row r="486">
      <x:c r="A486" t="str">
        <x:v>LP</x:v>
      </x:c>
      <x:c r="B486" t="n">
        <x:v>21</x:v>
      </x:c>
      <x:c r="C486" t="n">
        <x:v>0.10000000000000012</x:v>
      </x:c>
      <x:c r="D486" t="n">
        <x:v>77</x:v>
      </x:c>
      <x:c r="E486" t="n">
        <x:v>98</x:v>
      </x:c>
      <x:c r="F486" t="n">
        <x:v>0.1850000000000002</x:v>
      </x:c>
      <x:c r="G486" t="n">
        <x:v>0.2850000000000003</x:v>
      </x:c>
      <x:c r="H486" t="n">
        <x:v>2.77949171892227e-9</x:v>
      </x:c>
      <x:c r="I486" t="n">
        <x:v>3.753141151336801e-8</x:v>
      </x:c>
      <x:c r="J486" t="n">
        <x:v>1.1304295135765132</x:v>
      </x:c>
      <x:c r="K486" t="n">
        <x:v>11.310062762029474</x:v>
      </x:c>
      <x:c r="L486" t="n">
        <x:v>0.999982430238456</x:v>
      </x:c>
      <x:c r="M486" t="n">
        <x:v>88.41683914940188</x:v>
      </x:c>
      <x:c r="N486" t="n">
        <x:v>0.00009336530427334128</x:v>
      </x:c>
      <x:c r="O486" t="str">
        <x:v>NO</x:v>
      </x:c>
      <x:c r="P486" t="str">
        <x:v>NO</x:v>
      </x:c>
    </x:row>
    <x:row r="487">
      <x:c r="A487" t="str">
        <x:v>LP</x:v>
      </x:c>
      <x:c r="B487" t="n">
        <x:v>21</x:v>
      </x:c>
      <x:c r="C487" t="n">
        <x:v>0.10000000000000012</x:v>
      </x:c>
      <x:c r="D487" t="n">
        <x:v>78</x:v>
      </x:c>
      <x:c r="E487" t="n">
        <x:v>99</x:v>
      </x:c>
      <x:c r="F487" t="n">
        <x:v>0.1900000000000002</x:v>
      </x:c>
      <x:c r="G487" t="n">
        <x:v>0.2900000000000003</x:v>
      </x:c>
      <x:c r="H487" t="n">
        <x:v>3.170935027767185e-9</x:v>
      </x:c>
      <x:c r="I487" t="n">
        <x:v>4.263626934374696e-8</x:v>
      </x:c>
      <x:c r="J487" t="n">
        <x:v>1.1285918536348767</x:v>
      </x:c>
      <x:c r="K487" t="n">
        <x:v>11.291934225458245</x:v>
      </x:c>
      <x:c r="L487" t="n">
        <x:v>0.9999802316634226</x:v>
      </x:c>
      <x:c r="M487" t="n">
        <x:v>88.55878718682656</x:v>
      </x:c>
      <x:c r="N487" t="n">
        <x:v>0.00010606444308499287</x:v>
      </x:c>
      <x:c r="O487" t="str">
        <x:v>NO</x:v>
      </x:c>
      <x:c r="P487" t="str">
        <x:v>NO</x:v>
      </x:c>
    </x:row>
    <x:row r="488">
      <x:c r="A488" t="str">
        <x:v>LP</x:v>
      </x:c>
      <x:c r="B488" t="n">
        <x:v>21</x:v>
      </x:c>
      <x:c r="C488" t="n">
        <x:v>0.10000000000000012</x:v>
      </x:c>
      <x:c r="D488" t="n">
        <x:v>79</x:v>
      </x:c>
      <x:c r="E488" t="n">
        <x:v>100</x:v>
      </x:c>
      <x:c r="F488" t="n">
        <x:v>0.1950000000000002</x:v>
      </x:c>
      <x:c r="G488" t="n">
        <x:v>0.2950000000000003</x:v>
      </x:c>
      <x:c r="H488" t="n">
        <x:v>3.617102566781934e-9</x:v>
      </x:c>
      <x:c r="I488" t="n">
        <x:v>4.841817727521244e-8</x:v>
      </x:c>
      <x:c r="J488" t="n">
        <x:v>1.1266476123786653</x:v>
      </x:c>
      <x:c r="K488" t="n">
        <x:v>11.272745981707983</x:v>
      </x:c>
      <x:c r="L488" t="n">
        <x:v>0.9999777926561768</x:v>
      </x:c>
      <x:c r="M488" t="n">
        <x:v>88.7095301910179</x:v>
      </x:c>
      <x:c r="N488" t="n">
        <x:v>0.00012044785078361998</x:v>
      </x:c>
      <x:c r="O488" t="str">
        <x:v>NO</x:v>
      </x:c>
      <x:c r="P488" t="str">
        <x:v>NO</x:v>
      </x:c>
    </x:row>
    <x:row r="489">
      <x:c r="A489" t="str">
        <x:v>LP</x:v>
      </x:c>
      <x:c r="B489" t="n">
        <x:v>21</x:v>
      </x:c>
      <x:c r="C489" t="n">
        <x:v>0.10000000000000012</x:v>
      </x:c>
      <x:c r="D489" t="n">
        <x:v>80</x:v>
      </x:c>
      <x:c r="E489" t="n">
        <x:v>101</x:v>
      </x:c>
      <x:c r="F489" t="n">
        <x:v>0.2000000000000002</x:v>
      </x:c>
      <x:c r="G489" t="n">
        <x:v>0.3000000000000003</x:v>
      </x:c>
      <x:c r="H489" t="n">
        <x:v>4.125554792534778e-9</x:v>
      </x:c>
      <x:c r="I489" t="n">
        <x:v>5.4963568063869245e-8</x:v>
      </x:c>
      <x:c r="J489" t="n">
        <x:v>1.124592558549348</x:v>
      </x:c>
      <x:c r="K489" t="n">
        <x:v>11.252454363780329</x:v>
      </x:c>
      <x:c r="L489" t="n">
        <x:v>0.9999750907075431</x:v>
      </x:c>
      <x:c r="M489" t="n">
        <x:v>88.86950061480134</x:v>
      </x:c>
      <x:c r="N489" t="n">
        <x:v>0.0001367305424791668</x:v>
      </x:c>
      <x:c r="O489" t="str">
        <x:v>NO</x:v>
      </x:c>
      <x:c r="P489" t="str">
        <x:v>NO</x:v>
      </x:c>
    </x:row>
    <x:row r="490">
      <x:c r="A490" t="str">
        <x:v>LP</x:v>
      </x:c>
      <x:c r="B490" t="n">
        <x:v>21</x:v>
      </x:c>
      <x:c r="C490" t="n">
        <x:v>0.10000000000000012</x:v>
      </x:c>
      <x:c r="D490" t="n">
        <x:v>81</x:v>
      </x:c>
      <x:c r="E490" t="n">
        <x:v>102</x:v>
      </x:c>
      <x:c r="F490" t="n">
        <x:v>0.2050000000000002</x:v>
      </x:c>
      <x:c r="G490" t="n">
        <x:v>0.3050000000000003</x:v>
      </x:c>
      <x:c r="H490" t="n">
        <x:v>4.7048777512138814e-9</x:v>
      </x:c>
      <x:c r="I490" t="n">
        <x:v>6.236928221678175e-8</x:v>
      </x:c>
      <x:c r="J490" t="n">
        <x:v>1.122422402501158</x:v>
      </x:c>
      <x:c r="K490" t="n">
        <x:v>11.231014973739105</x:v>
      </x:c>
      <x:c r="L490" t="n">
        <x:v>0.9999721021080713</x:v>
      </x:c>
      <x:c r="M490" t="n">
        <x:v>89.03914760493576</x:v>
      </x:c>
      <x:c r="N490" t="n">
        <x:v>0.00015515342420323382</x:v>
      </x:c>
      <x:c r="O490" t="str">
        <x:v>NO</x:v>
      </x:c>
      <x:c r="P490" t="str">
        <x:v>NO</x:v>
      </x:c>
    </x:row>
    <x:row r="491">
      <x:c r="A491" t="str">
        <x:v>LP</x:v>
      </x:c>
      <x:c r="B491" t="n">
        <x:v>21</x:v>
      </x:c>
      <x:c r="C491" t="n">
        <x:v>0.10000000000000009</x:v>
      </x:c>
      <x:c r="D491" t="n">
        <x:v>82</x:v>
      </x:c>
      <x:c r="E491" t="n">
        <x:v>103</x:v>
      </x:c>
      <x:c r="F491" t="n">
        <x:v>0.2100000000000002</x:v>
      </x:c>
      <x:c r="G491" t="n">
        <x:v>0.3100000000000003</x:v>
      </x:c>
      <x:c r="H491" t="n">
        <x:v>5.3648182780588584e-9</x:v>
      </x:c>
      <x:c r="I491" t="n">
        <x:v>7.074371148474389e-8</x:v>
      </x:c>
      <x:c r="J491" t="n">
        <x:v>1.1201328250817522</x:v>
      </x:c>
      <x:c r="K491" t="n">
        <x:v>11.208382956697616</x:v>
      </x:c>
      <x:c r="L491" t="n">
        <x:v>0.9999688020672006</x:v>
      </x:c>
      <x:c r="M491" t="n">
        <x:v>89.21893585037134</x:v>
      </x:c>
      <x:c r="N491" t="n">
        <x:v>0.00017598613752765457</x:v>
      </x:c>
      <x:c r="O491" t="str">
        <x:v>NO</x:v>
      </x:c>
      <x:c r="P491" t="str">
        <x:v>NO</x:v>
      </x:c>
    </x:row>
    <x:row r="492">
      <x:c r="A492" t="str">
        <x:v>LP</x:v>
      </x:c>
      <x:c r="B492" t="n">
        <x:v>21</x:v>
      </x:c>
      <x:c r="C492" t="n">
        <x:v>0.10000000000000009</x:v>
      </x:c>
      <x:c r="D492" t="n">
        <x:v>83</x:v>
      </x:c>
      <x:c r="E492" t="n">
        <x:v>104</x:v>
      </x:c>
      <x:c r="F492" t="n">
        <x:v>0.2150000000000002</x:v>
      </x:c>
      <x:c r="G492" t="n">
        <x:v>0.3150000000000003</x:v>
      </x:c>
      <x:c r="H492" t="n">
        <x:v>6.116436220906963e-9</x:v>
      </x:c>
      <x:c r="I492" t="n">
        <x:v>8.020805046558592e-8</x:v>
      </x:c>
      <x:c r="J492" t="n">
        <x:v>1.1177195090287535</x:v>
      </x:c>
      <x:c r="K492" t="n">
        <x:v>11.184513301924907</x:v>
      </x:c>
      <x:c r="L492" t="n">
        <x:v>0.9999651648799255</x:v>
      </x:c>
      <x:c r="M492" t="n">
        <x:v>89.40934424280181</x:v>
      </x:c>
      <x:c r="N492" t="n">
        <x:v>0.00019953017312508004</x:v>
      </x:c>
      <x:c r="O492" t="str">
        <x:v>NO</x:v>
      </x:c>
      <x:c r="P492" t="str">
        <x:v>NO</x:v>
      </x:c>
    </x:row>
    <x:row r="493">
      <x:c r="A493" t="str">
        <x:v>LP</x:v>
      </x:c>
      <x:c r="B493" t="n">
        <x:v>21</x:v>
      </x:c>
      <x:c r="C493" t="n">
        <x:v>0.10000000000000009</x:v>
      </x:c>
      <x:c r="D493" t="n">
        <x:v>84</x:v>
      </x:c>
      <x:c r="E493" t="n">
        <x:v>105</x:v>
      </x:c>
      <x:c r="F493" t="n">
        <x:v>0.2200000000000002</x:v>
      </x:c>
      <x:c r="G493" t="n">
        <x:v>0.3200000000000003</x:v>
      </x:c>
      <x:c r="H493" t="n">
        <x:v>6.972275672665353e-9</x:v>
      </x:c>
      <x:c r="I493" t="n">
        <x:v>9.08976641617378e-8</x:v>
      </x:c>
      <x:c r="J493" t="n">
        <x:v>1.1151781730153134</x:v>
      </x:c>
      <x:c r="K493" t="n">
        <x:v>11.159361172954997</x:v>
      </x:c>
      <x:c r="L493" t="n">
        <x:v>0.9999611641479282</x:v>
      </x:c>
      <x:c r="M493" t="n">
        <x:v>89.61086432290821</x:v>
      </x:c>
      <x:c r="N493" t="n">
        <x:v>0.0002261222727840607</x:v>
      </x:c>
      <x:c r="O493" t="str">
        <x:v>NO</x:v>
      </x:c>
      <x:c r="P493" t="str">
        <x:v>NO</x:v>
      </x:c>
    </x:row>
    <x:row r="494">
      <x:c r="A494" t="str">
        <x:v>LP</x:v>
      </x:c>
      <x:c r="B494" t="n">
        <x:v>21</x:v>
      </x:c>
      <x:c r="C494" t="n">
        <x:v>0.10000000000000009</x:v>
      </x:c>
      <x:c r="D494" t="n">
        <x:v>85</x:v>
      </x:c>
      <x:c r="E494" t="n">
        <x:v>106</x:v>
      </x:c>
      <x:c r="F494" t="n">
        <x:v>0.2250000000000002</x:v>
      </x:c>
      <x:c r="G494" t="n">
        <x:v>0.3250000000000003</x:v>
      </x:c>
      <x:c r="H494" t="n">
        <x:v>7.946557398246181e-9</x:v>
      </x:c>
      <x:c r="I494" t="n">
        <x:v>1.029635796884623e-7</x:v>
      </x:c>
      <x:c r="J494" t="n">
        <x:v>1.1125046084172068</x:v>
      </x:c>
      <x:c r="K494" t="n">
        <x:v>11.132882268067227</x:v>
      </x:c>
      <x:c r="L494" t="n">
        <x:v>0.9999567730620085</x:v>
      </x:c>
      <x:c r="M494" t="n">
        <x:v>89.82399848674672</x:v>
      </x:c>
      <x:c r="N494" t="n">
        <x:v>0.00025613814026849603</x:v>
      </x:c>
      <x:c r="O494" t="str">
        <x:v>NO</x:v>
      </x:c>
      <x:c r="P494" t="str">
        <x:v>NO</x:v>
      </x:c>
    </x:row>
    <x:row r="495">
      <x:c r="A495" t="str">
        <x:v>LP</x:v>
      </x:c>
      <x:c r="B495" t="n">
        <x:v>21</x:v>
      </x:c>
      <x:c r="C495" t="n">
        <x:v>0.10000000000000009</x:v>
      </x:c>
      <x:c r="D495" t="n">
        <x:v>86</x:v>
      </x:c>
      <x:c r="E495" t="n">
        <x:v>107</x:v>
      </x:c>
      <x:c r="F495" t="n">
        <x:v>0.2300000000000002</x:v>
      </x:c>
      <x:c r="G495" t="n">
        <x:v>0.3300000000000003</x:v>
      </x:c>
      <x:c r="H495" t="n">
        <x:v>9.055394856811717e-9</x:v>
      </x:c>
      <x:c r="I495" t="n">
        <x:v>1.165741107072096e-7</x:v>
      </x:c>
      <x:c r="J495" t="n">
        <x:v>1.1096947187996298</x:v>
      </x:c>
      <x:c r="K495" t="n">
        <x:v>11.105033211878341</x:v>
      </x:c>
      <x:c r="L495" t="n">
        <x:v>0.9999519647521605</x:v>
      </x:c>
      <x:c r="M495" t="n">
        <x:v>90.04925792841071</x:v>
      </x:c>
      <x:c r="N495" t="n">
        <x:v>0.0002899964823517527</x:v>
      </x:c>
      <x:c r="O495" t="str">
        <x:v>NO</x:v>
      </x:c>
      <x:c r="P495" t="str">
        <x:v>NO</x:v>
      </x:c>
    </x:row>
    <x:row r="496">
      <x:c r="A496" t="str">
        <x:v>LP</x:v>
      </x:c>
      <x:c r="B496" t="n">
        <x:v>21</x:v>
      </x:c>
      <x:c r="C496" t="n">
        <x:v>0.10000000000000009</x:v>
      </x:c>
      <x:c r="D496" t="n">
        <x:v>87</x:v>
      </x:c>
      <x:c r="E496" t="n">
        <x:v>108</x:v>
      </x:c>
      <x:c r="F496" t="n">
        <x:v>0.2350000000000002</x:v>
      </x:c>
      <x:c r="G496" t="n">
        <x:v>0.3350000000000003</x:v>
      </x:c>
      <x:c r="H496" t="n">
        <x:v>1.031703645006383e-8</x:v>
      </x:c>
      <x:c r="I496" t="n">
        <x:v>1.319166235729035e-7</x:v>
      </x:c>
      <x:c r="J496" t="n">
        <x:v>1.1067445620362344</x:v>
      </x:c>
      <x:c r="K496" t="n">
        <x:v>11.075771978026726</x:v>
      </x:c>
      <x:c r="L496" t="n">
        <x:v>0.9999467127107008</x:v>
      </x:c>
      <x:c r="M496" t="n">
        <x:v>90.2871602976212</x:v>
      </x:c>
      <x:c r="N496" t="n">
        <x:v>0.0003281634023865334</x:v>
      </x:c>
      <x:c r="O496" t="str">
        <x:v>NO</x:v>
      </x:c>
      <x:c r="P496" t="str">
        <x:v>NO</x:v>
      </x:c>
    </x:row>
    <x:row r="497">
      <x:c r="A497" t="str">
        <x:v>LP</x:v>
      </x:c>
      <x:c r="B497" t="n">
        <x:v>21</x:v>
      </x:c>
      <x:c r="C497" t="n">
        <x:v>0.10000000000000009</x:v>
      </x:c>
      <x:c r="D497" t="n">
        <x:v>88</x:v>
      </x:c>
      <x:c r="E497" t="n">
        <x:v>109</x:v>
      </x:c>
      <x:c r="F497" t="n">
        <x:v>0.2400000000000002</x:v>
      </x:c>
      <x:c r="G497" t="n">
        <x:v>0.3400000000000003</x:v>
      </x:c>
      <x:c r="H497" t="n">
        <x:v>1.1752136871608331e-8</x:v>
      </x:c>
      <x:c r="I497" t="n">
        <x:v>1.491994546466443e-7</x:v>
      </x:c>
      <x:c r="J497" t="n">
        <x:v>1.1036503948726564</x:v>
      </x:c>
      <x:c r="K497" t="n">
        <x:v>11.045058342020896</x:v>
      </x:c>
      <x:c r="L497" t="n">
        <x:v>0.9999409912923395</x:v>
      </x:c>
      <x:c r="M497" t="n">
        <x:v>90.53822705449211</x:v>
      </x:c>
      <x:c r="N497" t="n">
        <x:v>0.00037115716992255655</x:v>
      </x:c>
      <x:c r="O497" t="str">
        <x:v>NO</x:v>
      </x:c>
      <x:c r="P497" t="str">
        <x:v>NO</x:v>
      </x:c>
    </x:row>
    <x:row r="498">
      <x:c r="A498" t="str">
        <x:v>LP</x:v>
      </x:c>
      <x:c r="B498" t="n">
        <x:v>21</x:v>
      </x:c>
      <x:c r="C498" t="n">
        <x:v>0.10000000000000012</x:v>
      </x:c>
      <x:c r="D498" t="n">
        <x:v>89</x:v>
      </x:c>
      <x:c r="E498" t="n">
        <x:v>110</x:v>
      </x:c>
      <x:c r="F498" t="n">
        <x:v>0.2450000000000002</x:v>
      </x:c>
      <x:c r="G498" t="n">
        <x:v>0.3450000000000003</x:v>
      </x:c>
      <x:c r="H498" t="n">
        <x:v>1.3384060690676641e-8</x:v>
      </x:c>
      <x:c r="I498" t="n">
        <x:v>1.686539887478547e-7</x:v>
      </x:c>
      <x:c r="J498" t="n">
        <x:v>1.1004087196314787</x:v>
      </x:c>
      <x:c r="K498" t="n">
        <x:v>11.012854362259697</x:v>
      </x:c>
      <x:c r="L498" t="n">
        <x:v>0.9999347762928875</x:v>
      </x:c>
      <x:c r="M498" t="n">
        <x:v>90.80298050857115</x:v>
      </x:c>
      <x:c r="N498" t="n">
        <x:v>0.0004195533911840096</x:v>
      </x:c>
      <x:c r="O498" t="str">
        <x:v>NO</x:v>
      </x:c>
      <x:c r="P498" t="str">
        <x:v>NO</x:v>
      </x:c>
    </x:row>
    <x:row r="499">
      <x:c r="A499" t="str">
        <x:v>LP</x:v>
      </x:c>
      <x:c r="B499" t="n">
        <x:v>21</x:v>
      </x:c>
      <x:c r="C499" t="n">
        <x:v>0.10000000000000009</x:v>
      </x:c>
      <x:c r="D499" t="n">
        <x:v>90</x:v>
      </x:c>
      <x:c r="E499" t="n">
        <x:v>111</x:v>
      </x:c>
      <x:c r="F499" t="n">
        <x:v>0.2500000000000002</x:v>
      </x:c>
      <x:c r="G499" t="n">
        <x:v>0.3500000000000003</x:v>
      </x:c>
      <x:c r="H499" t="n">
        <x:v>1.523922157501657e-8</x:v>
      </x:c>
      <x:c r="I499" t="n">
        <x:v>1.905369055394056e-7</x:v>
      </x:c>
      <x:c r="J499" t="n">
        <x:v>1.0970163240245379</x:v>
      </x:c>
      <x:c r="K499" t="n">
        <x:v>10.979124863653741</x:v>
      </x:c>
      <x:c r="L499" t="n">
        <x:v>0.9999280455612187</x:v>
      </x:c>
      <x:c r="M499" t="n">
        <x:v>91.0819407210212</x:v>
      </x:c>
      <x:c r="N499" t="n">
        <x:v>0.00047399059730677</x:v>
      </x:c>
      <x:c r="O499" t="str">
        <x:v>NO</x:v>
      </x:c>
      <x:c r="P499" t="str">
        <x:v>NO</x:v>
      </x:c>
    </x:row>
    <x:row r="500">
      <x:c r="A500" t="str">
        <x:v>LP</x:v>
      </x:c>
      <x:c r="B500" t="n">
        <x:v>21</x:v>
      </x:c>
      <x:c r="C500" t="n">
        <x:v>0.10000000000000009</x:v>
      </x:c>
      <x:c r="D500" t="n">
        <x:v>91</x:v>
      </x:c>
      <x:c r="E500" t="n">
        <x:v>112</x:v>
      </x:c>
      <x:c r="F500" t="n">
        <x:v>0.2550000000000002</x:v>
      </x:c>
      <x:c r="G500" t="n">
        <x:v>0.3550000000000003</x:v>
      </x:c>
      <x:c r="H500" t="n">
        <x:v>1.7347460841589792e-8</x:v>
      </x:c>
      <x:c r="I500" t="n">
        <x:v>2.15132598123149e-7</x:v>
      </x:c>
      <x:c r="J500" t="n">
        <x:v>1.0934703063295892</x:v>
      </x:c>
      <x:c r="K500" t="n">
        <x:v>10.943837880489523</x:v>
      </x:c>
      <x:c r="L500" t="n">
        <x:v>0.9999207795536071</x:v>
      </x:c>
      <x:c r="M500" t="n">
        <x:v>91.37562260336311</x:v>
      </x:c>
      <x:c r="N500" t="n">
        <x:v>0.0005351762609761695</x:v>
      </x:c>
      <x:c r="O500" t="str">
        <x:v>NO</x:v>
      </x:c>
      <x:c r="P500" t="str">
        <x:v>NO</x:v>
      </x:c>
    </x:row>
    <x:row r="501">
      <x:c r="A501" t="str">
        <x:v>LP</x:v>
      </x:c>
      <x:c r="B501" t="n">
        <x:v>21</x:v>
      </x:c>
      <x:c r="C501" t="n">
        <x:v>0.10000000000000014</x:v>
      </x:c>
      <x:c r="D501" t="n">
        <x:v>92</x:v>
      </x:c>
      <x:c r="E501" t="n">
        <x:v>113</x:v>
      </x:c>
      <x:c r="F501" t="n">
        <x:v>0.2600000000000002</x:v>
      </x:c>
      <x:c r="G501" t="n">
        <x:v>0.3600000000000003</x:v>
      </x:c>
      <x:c r="H501" t="n">
        <x:v>1.974246931861928e-8</x:v>
      </x:c>
      <x:c r="I501" t="n">
        <x:v>2.427558290030328e-7</x:v>
      </x:c>
      <x:c r="J501" t="n">
        <x:v>1.089768195137844</x:v>
      </x:c>
      <x:c r="K501" t="n">
        <x:v>10.906965303253841</x:v>
      </x:c>
      <x:c r="L501" t="n">
        <x:v>0.9999129623526205</x:v>
      </x:c>
      <x:c r="M501" t="n">
        <x:v>91.68453114100153</x:v>
      </x:c>
      <x:c r="N501" t="n">
        <x:v>0.0006038934035540472</x:v>
      </x:c>
      <x:c r="O501" t="str">
        <x:v>NO</x:v>
      </x:c>
      <x:c r="P501" t="str">
        <x:v>NO</x:v>
      </x:c>
    </x:row>
    <x:row r="502">
      <x:c r="A502" t="str">
        <x:v>LP</x:v>
      </x:c>
      <x:c r="B502" t="n">
        <x:v>21</x:v>
      </x:c>
      <x:c r="C502" t="n">
        <x:v>0.10000000000000014</x:v>
      </x:c>
      <x:c r="D502" t="n">
        <x:v>93</x:v>
      </x:c>
      <x:c r="E502" t="n">
        <x:v>114</x:v>
      </x:c>
      <x:c r="F502" t="n">
        <x:v>0.2650000000000002</x:v>
      </x:c>
      <x:c r="G502" t="n">
        <x:v>0.3650000000000003</x:v>
      </x:c>
      <x:c r="H502" t="n">
        <x:v>2.2462256806987223e-8</x:v>
      </x:c>
      <x:c r="I502" t="n">
        <x:v>2.737545560534216e-7</x:v>
      </x:c>
      <x:c r="J502" t="n">
        <x:v>1.0859079676530552</x:v>
      </x:c>
      <x:c r="K502" t="n">
        <x:v>10.868483441134252</x:v>
      </x:c>
      <x:c r="L502" t="n">
        <x:v>0.9999045825446488</x:v>
      </x:c>
      <x:c r="M502" t="n">
        <x:v>92.00915706558213</x:v>
      </x:c>
      <x:c r="N502" t="n">
        <x:v>0.0006810076251205593</x:v>
      </x:c>
      <x:c r="O502" t="str">
        <x:v>NO</x:v>
      </x:c>
      <x:c r="P502" t="str">
        <x:v>NO</x:v>
      </x:c>
    </x:row>
    <x:row r="503">
      <x:c r="A503" t="str">
        <x:v>LP</x:v>
      </x:c>
      <x:c r="B503" t="n">
        <x:v>21</x:v>
      </x:c>
      <x:c r="C503" t="n">
        <x:v>0.10000000000000009</x:v>
      </x:c>
      <x:c r="D503" t="n">
        <x:v>94</x:v>
      </x:c>
      <x:c r="E503" t="n">
        <x:v>115</x:v>
      </x:c>
      <x:c r="F503" t="n">
        <x:v>0.2700000000000002</x:v>
      </x:c>
      <x:c r="G503" t="n">
        <x:v>0.3700000000000003</x:v>
      </x:c>
      <x:c r="H503" t="n">
        <x:v>2.554967374128647e-8</x:v>
      </x:c>
      <x:c r="I503" t="n">
        <x:v>3.085129870941359e-7</x:v>
      </x:c>
      <x:c r="J503" t="n">
        <x:v>1.0818880919719263</x:v>
      </x:c>
      <x:c r="K503" t="n">
        <x:v>10.828373564839344</x:v>
      </x:c>
      <x:c r="L503" t="n">
        <x:v>0.9998956340845306</x:v>
      </x:c>
      <x:c r="M503" t="n">
        <x:v>92.34997241387069</x:v>
      </x:c>
      <x:c r="N503" t="n">
        <x:v>0.0007674747032112501</x:v>
      </x:c>
      <x:c r="O503" t="str">
        <x:v>NO</x:v>
      </x:c>
      <x:c r="P503" t="str">
        <x:v>NO</x:v>
      </x:c>
    </x:row>
    <x:row r="504">
      <x:c r="A504" t="str">
        <x:v>LP</x:v>
      </x:c>
      <x:c r="B504" t="n">
        <x:v>21</x:v>
      </x:c>
      <x:c r="C504" t="n">
        <x:v>0.10000000000000009</x:v>
      </x:c>
      <x:c r="D504" t="n">
        <x:v>95</x:v>
      </x:c>
      <x:c r="E504" t="n">
        <x:v>116</x:v>
      </x:c>
      <x:c r="F504" t="n">
        <x:v>0.2750000000000002</x:v>
      </x:c>
      <x:c r="G504" t="n">
        <x:v>0.3750000000000003</x:v>
      </x:c>
      <x:c r="H504" t="n">
        <x:v>2.9052989969066852e-8</x:v>
      </x:c>
      <x:c r="I504" t="n">
        <x:v>3.474548724799429e-7</x:v>
      </x:c>
      <x:c r="J504" t="n">
        <x:v>1.0777075721669558</x:v>
      </x:c>
      <x:c r="K504" t="n">
        <x:v>10.786622434003771</x:v>
      </x:c>
      <x:c r="L504" t="n">
        <x:v>0.9998861171522384</x:v>
      </x:c>
      <x:c r="M504" t="n">
        <x:v>92.70742589891697</x:v>
      </x:c>
      <x:c r="N504" t="n">
        <x:v>0.0008643487836526008</x:v>
      </x:c>
      <x:c r="O504" t="str">
        <x:v>NO</x:v>
      </x:c>
      <x:c r="P504" t="str">
        <x:v>NO</x:v>
      </x:c>
    </x:row>
    <x:row r="505">
      <x:c r="A505" t="str">
        <x:v>LP</x:v>
      </x:c>
      <x:c r="B505" t="n">
        <x:v>21</x:v>
      </x:c>
      <x:c r="C505" t="n">
        <x:v>0.10000000000000009</x:v>
      </x:c>
      <x:c r="D505" t="n">
        <x:v>96</x:v>
      </x:c>
      <x:c r="E505" t="n">
        <x:v>117</x:v>
      </x:c>
      <x:c r="F505" t="n">
        <x:v>0.2800000000000002</x:v>
      </x:c>
      <x:c r="G505" t="n">
        <x:v>0.3800000000000003</x:v>
      </x:c>
      <x:c r="H505" t="n">
        <x:v>3.3026535889044646e-8</x:v>
      </x:c>
      <x:c r="I505" t="n">
        <x:v>3.91047048787814e-7</x:v>
      </x:c>
      <x:c r="J505" t="n">
        <x:v>1.0733659891485212</x:v>
      </x:c>
      <x:c r="K505" t="n">
        <x:v>10.74322279539736</x:v>
      </x:c>
      <x:c r="L505" t="n">
        <x:v>0.9998760389628856</x:v>
      </x:c>
      <x:c r="M505" t="n">
        <x:v>93.08193817114383</x:v>
      </x:c>
      <x:c r="N505" t="n">
        <x:v>0.0009727911960428693</x:v>
      </x:c>
      <x:c r="O505" t="str">
        <x:v>NO</x:v>
      </x:c>
      <x:c r="P505" t="str">
        <x:v>NO</x:v>
      </x:c>
    </x:row>
    <x:row r="506">
      <x:c r="A506" t="str">
        <x:v>LP</x:v>
      </x:c>
      <x:c r="B506" t="n">
        <x:v>21</x:v>
      </x:c>
      <x:c r="C506" t="n">
        <x:v>0.09999999999999998</x:v>
      </x:c>
      <x:c r="D506" t="n">
        <x:v>97</x:v>
      </x:c>
      <x:c r="E506" t="n">
        <x:v>118</x:v>
      </x:c>
      <x:c r="F506" t="n">
        <x:v>0.2850000000000003</x:v>
      </x:c>
      <x:c r="G506" t="n">
        <x:v>0.3850000000000003</x:v>
      </x:c>
      <x:c r="H506" t="n">
        <x:v>3.753141151336801e-8</x:v>
      </x:c>
      <x:c r="I506" t="n">
        <x:v>4.398032494401846e-7</x:v>
      </x:c>
      <x:c r="J506" t="n">
        <x:v>1.0688635357379601</x:v>
      </x:c>
      <x:c r="K506" t="n">
        <x:v>10.698173836166129</x:v>
      </x:c>
      <x:c r="L506" t="n">
        <x:v>0.9998654144829546</x:v>
      </x:c>
      <x:c r="M506" t="n">
        <x:v>93.47389707011592</x:v>
      </x:c>
      <x:c r="N506" t="n">
        <x:v>0.0010940799332783253</x:v>
      </x:c>
      <x:c r="O506" t="str">
        <x:v>NO</x:v>
      </x:c>
      <x:c r="P506" t="str">
        <x:v>NO</x:v>
      </x:c>
    </x:row>
    <x:row r="507">
      <x:c r="A507" t="str">
        <x:v>LP</x:v>
      </x:c>
      <x:c r="B507" t="n">
        <x:v>21</x:v>
      </x:c>
      <x:c r="C507" t="n">
        <x:v>0.09999999999999998</x:v>
      </x:c>
      <x:c r="D507" t="n">
        <x:v>98</x:v>
      </x:c>
      <x:c r="E507" t="n">
        <x:v>119</x:v>
      </x:c>
      <x:c r="F507" t="n">
        <x:v>0.2900000000000003</x:v>
      </x:c>
      <x:c r="G507" t="n">
        <x:v>0.3900000000000003</x:v>
      </x:c>
      <x:c r="H507" t="n">
        <x:v>4.263626934374696e-8</x:v>
      </x:c>
      <x:c r="I507" t="n">
        <x:v>4.942881983435589e-7</x:v>
      </x:c>
      <x:c r="J507" t="n">
        <x:v>1.0642010442517718</x:v>
      </x:c>
      <x:c r="K507" t="n">
        <x:v>10.651481574443052</x:v>
      </x:c>
      <x:c r="L507" t="n">
        <x:v>0.999854266997653</x:v>
      </x:c>
      <x:c r="M507" t="n">
        <x:v>93.88365299334316</x:v>
      </x:c>
      <x:c r="N507" t="n">
        <x:v>0.0012296198351247852</x:v>
      </x:c>
      <x:c r="O507" t="str">
        <x:v>NO</x:v>
      </x:c>
      <x:c r="P507" t="str">
        <x:v>NO</x:v>
      </x:c>
    </x:row>
    <x:row r="508">
      <x:c r="A508" t="str">
        <x:v>LP</x:v>
      </x:c>
      <x:c r="B508" t="n">
        <x:v>21</x:v>
      </x:c>
      <x:c r="C508" t="n">
        <x:v>0.10000000000000009</x:v>
      </x:c>
      <x:c r="D508" t="n">
        <x:v>99</x:v>
      </x:c>
      <x:c r="E508" t="n">
        <x:v>120</x:v>
      </x:c>
      <x:c r="F508" t="n">
        <x:v>0.2950000000000003</x:v>
      </x:c>
      <x:c r="G508" t="n">
        <x:v>0.3950000000000004</x:v>
      </x:c>
      <x:c r="H508" t="n">
        <x:v>4.841817727521244e-8</x:v>
      </x:c>
      <x:c r="I508" t="n">
        <x:v>5.551220023358563e-7</x:v>
      </x:c>
      <x:c r="J508" t="n">
        <x:v>1.0593800047978723</x:v>
      </x:c>
      <x:c r="K508" t="n">
        <x:v>10.603159167989714</x:v>
      </x:c>
      <x:c r="L508" t="n">
        <x:v>0.9998426284673565</x:v>
      </x:c>
      <x:c r="M508" t="n">
        <x:v>94.31151453605813</x:v>
      </x:c>
      <x:c r="N508" t="n">
        <x:v>0.001380953515123008</x:v>
      </x:c>
      <x:c r="O508" t="str">
        <x:v>NO</x:v>
      </x:c>
      <x:c r="P508" t="str">
        <x:v>NO</x:v>
      </x:c>
    </x:row>
    <x:row r="509">
      <x:c r="A509" t="str">
        <x:v>LP</x:v>
      </x:c>
      <x:c r="B509" t="n">
        <x:v>21</x:v>
      </x:c>
      <x:c r="C509" t="n">
        <x:v>0.10000000000000009</x:v>
      </x:c>
      <x:c r="D509" t="n">
        <x:v>100</x:v>
      </x:c>
      <x:c r="E509" t="n">
        <x:v>121</x:v>
      </x:c>
      <x:c r="F509" t="n">
        <x:v>0.3000000000000003</x:v>
      </x:c>
      <x:c r="G509" t="n">
        <x:v>0.4000000000000004</x:v>
      </x:c>
      <x:c r="H509" t="n">
        <x:v>5.4963568063869245e-8</x:v>
      </x:c>
      <x:c r="I509" t="n">
        <x:v>6.229848571863765e-7</x:v>
      </x:c>
      <x:c r="J509" t="n">
        <x:v>1.054402572433287</x:v>
      </x:c>
      <x:c r="K509" t="n">
        <x:v>10.553227120183044</x:v>
      </x:c>
      <x:c r="L509" t="n">
        <x:v>0.9998305396060668</x:v>
      </x:c>
      <x:c r="M509" t="n">
        <x:v>94.75774458482944</x:v>
      </x:c>
      <x:c r="N509" t="n">
        <x:v>0.0015497730675056737</x:v>
      </x:c>
      <x:c r="O509" t="str">
        <x:v>NO</x:v>
      </x:c>
      <x:c r="P509" t="str">
        <x:v>NO</x:v>
      </x:c>
    </x:row>
    <x:row r="510">
      <x:c r="A510" t="str">
        <x:v>LP</x:v>
      </x:c>
      <x:c r="B510" t="n">
        <x:v>21</x:v>
      </x:c>
      <x:c r="C510" t="n">
        <x:v>0.10000000000000009</x:v>
      </x:c>
      <x:c r="D510" t="n">
        <x:v>101</x:v>
      </x:c>
      <x:c r="E510" t="n">
        <x:v>122</x:v>
      </x:c>
      <x:c r="F510" t="n">
        <x:v>0.3050000000000003</x:v>
      </x:c>
      <x:c r="G510" t="n">
        <x:v>0.4050000000000004</x:v>
      </x:c>
      <x:c r="H510" t="n">
        <x:v>6.236928221678175e-8</x:v>
      </x:c>
      <x:c r="I510" t="n">
        <x:v>6.986220797940975e-7</x:v>
      </x:c>
      <x:c r="J510" t="n">
        <x:v>1.0492715613404568</x:v>
      </x:c>
      <x:c r="K510" t="n">
        <x:v>10.501713361793989</x:v>
      </x:c>
      <x:c r="L510" t="n">
        <x:v>0.9998180496126262</x:v>
      </x:c>
      <x:c r="M510" t="n">
        <x:v>95.22255707702651</x:v>
      </x:c>
      <x:c r="N510" t="n">
        <x:v>0.0017379325855841504</x:v>
      </x:c>
      <x:c r="O510" t="str">
        <x:v>NO</x:v>
      </x:c>
      <x:c r="P510" t="str">
        <x:v>NO</x:v>
      </x:c>
    </x:row>
    <x:row r="511">
      <x:c r="A511" t="str">
        <x:v>LP</x:v>
      </x:c>
      <x:c r="B511" t="n">
        <x:v>21</x:v>
      </x:c>
      <x:c r="C511" t="n">
        <x:v>0.10000000000000014</x:v>
      </x:c>
      <x:c r="D511" t="n">
        <x:v>102</x:v>
      </x:c>
      <x:c r="E511" t="n">
        <x:v>123</x:v>
      </x:c>
      <x:c r="F511" t="n">
        <x:v>0.3100000000000003</x:v>
      </x:c>
      <x:c r="G511" t="n">
        <x:v>0.4100000000000004</x:v>
      </x:c>
      <x:c r="H511" t="n">
        <x:v>7.074371148474389e-8</x:v>
      </x:c>
      <x:c r="I511" t="n">
        <x:v>7.82849475753335e-7</x:v>
      </x:c>
      <x:c r="J511" t="n">
        <x:v>1.0439904242592783</x:v>
      </x:c>
      <x:c r="K511" t="n">
        <x:v>10.44865318675959</x:v>
      </x:c>
      <x:c r="L511" t="n">
        <x:v>0.9998052154871118</x:v>
      </x:c>
      <x:c r="M511" t="n">
        <x:v>95.70611466626036</x:v>
      </x:c>
      <x:c r="N511" t="n">
        <x:v>0.001947461514414456</x:v>
      </x:c>
      <x:c r="O511" t="str">
        <x:v>NO</x:v>
      </x:c>
      <x:c r="P511" t="str">
        <x:v>NO</x:v>
      </x:c>
    </x:row>
    <x:row r="512">
      <x:c r="A512" t="str">
        <x:v>LP</x:v>
      </x:c>
      <x:c r="B512" t="n">
        <x:v>21</x:v>
      </x:c>
      <x:c r="C512" t="n">
        <x:v>0.10000000000000014</x:v>
      </x:c>
      <x:c r="D512" t="n">
        <x:v>103</x:v>
      </x:c>
      <x:c r="E512" t="n">
        <x:v>124</x:v>
      </x:c>
      <x:c r="F512" t="n">
        <x:v>0.3150000000000003</x:v>
      </x:c>
      <x:c r="G512" t="n">
        <x:v>0.4150000000000004</x:v>
      </x:c>
      <x:c r="H512" t="n">
        <x:v>8.020805046558592e-8</x:v>
      </x:c>
      <x:c r="I512" t="n">
        <x:v>8.765590462403014e-7</x:v>
      </x:c>
      <x:c r="J512" t="n">
        <x:v>1.0385632155773825</x:v>
      </x:c>
      <x:c r="K512" t="n">
        <x:v>10.39408902069778</x:v>
      </x:c>
      <x:c r="L512" t="n">
        <x:v>0.9997921008713332</x:v>
      </x:c>
      <x:c r="M512" t="n">
        <x:v>96.20852755914414</x:v>
      </x:c>
      <x:c r="N512" t="n">
        <x:v>0.0021805788475774634</x:v>
      </x:c>
      <x:c r="O512" t="str">
        <x:v>NO</x:v>
      </x:c>
      <x:c r="P512" t="str">
        <x:v>NO</x:v>
      </x:c>
    </x:row>
    <x:row r="513">
      <x:c r="A513" t="str">
        <x:v>LP</x:v>
      </x:c>
      <x:c r="B513" t="n">
        <x:v>21</x:v>
      </x:c>
      <x:c r="C513" t="n">
        <x:v>0.10000000000000009</x:v>
      </x:c>
      <x:c r="D513" t="n">
        <x:v>104</x:v>
      </x:c>
      <x:c r="E513" t="n">
        <x:v>125</x:v>
      </x:c>
      <x:c r="F513" t="n">
        <x:v>0.3200000000000003</x:v>
      </x:c>
      <x:c r="G513" t="n">
        <x:v>0.4200000000000004</x:v>
      </x:c>
      <x:c r="H513" t="n">
        <x:v>9.08976641617378e-8</x:v>
      </x:c>
      <x:c r="I513" t="n">
        <x:v>9.807250308368829e-7</x:v>
      </x:c>
      <x:c r="J513" t="n">
        <x:v>1.032994536743172</x:v>
      </x:c>
      <x:c r="K513" t="n">
        <x:v>10.338070002407463</x:v>
      </x:c>
      <x:c r="L513" t="n">
        <x:v>0.9997787743644666</x:v>
      </x:c>
      <x:c r="M513" t="n">
        <x:v>96.72985380899205</x:v>
      </x:c>
      <x:c r="N513" t="n">
        <x:v>0.0024397081596559066</x:v>
      </x:c>
      <x:c r="O513" t="str">
        <x:v>NO</x:v>
      </x:c>
      <x:c r="P513" t="str">
        <x:v>NO</x:v>
      </x:c>
    </x:row>
    <x:row r="514">
      <x:c r="A514" t="str">
        <x:v>LP</x:v>
      </x:c>
      <x:c r="B514" t="n">
        <x:v>21</x:v>
      </x:c>
      <x:c r="C514" t="n">
        <x:v>0.10000000000000009</x:v>
      </x:c>
      <x:c r="D514" t="n">
        <x:v>105</x:v>
      </x:c>
      <x:c r="E514" t="n">
        <x:v>126</x:v>
      </x:c>
      <x:c r="F514" t="n">
        <x:v>0.3250000000000003</x:v>
      </x:c>
      <x:c r="G514" t="n">
        <x:v>0.4250000000000004</x:v>
      </x:c>
      <x:c r="H514" t="n">
        <x:v>1.029635796884623e-7</x:v>
      </x:c>
      <x:c r="I514" t="n">
        <x:v>0.000001096410273070978</x:v>
      </x:c>
      <x:c r="J514" t="n">
        <x:v>1.0272894630299367</x:v>
      </x:c>
      <x:c r="K514" t="n">
        <x:v>10.280651361187637</x:v>
      </x:c>
      <x:c r="L514" t="n">
        <x:v>0.9997653072830197</x:v>
      </x:c>
      <x:c r="M514" t="n">
        <x:v>97.27010136490792</x:v>
      </x:c>
      <x:c r="N514" t="n">
        <x:v>0.002727493441519723</x:v>
      </x:c>
      <x:c r="O514" t="str">
        <x:v>NO</x:v>
      </x:c>
      <x:c r="P514" t="str">
        <x:v>NO</x:v>
      </x:c>
    </x:row>
    <x:row r="515">
      <x:c r="A515" t="str">
        <x:v>LP</x:v>
      </x:c>
      <x:c r="B515" t="n">
        <x:v>21</x:v>
      </x:c>
      <x:c r="C515" t="n">
        <x:v>0.10000000000000009</x:v>
      </x:c>
      <x:c r="D515" t="n">
        <x:v>106</x:v>
      </x:c>
      <x:c r="E515" t="n">
        <x:v>127</x:v>
      </x:c>
      <x:c r="F515" t="n">
        <x:v>0.3300000000000003</x:v>
      </x:c>
      <x:c r="G515" t="n">
        <x:v>0.4300000000000004</x:v>
      </x:c>
      <x:c r="H515" t="n">
        <x:v>1.165741107072096e-7</x:v>
      </x:c>
      <x:c r="I515" t="n">
        <x:v>0.000001224772882773201</x:v>
      </x:c>
      <x:c r="J515" t="n">
        <x:v>1.0214534511521052</x:v>
      </x:c>
      <x:c r="K515" t="n">
        <x:v>10.221893576622033</x:v>
      </x:c>
      <x:c r="L515" t="n">
        <x:v>0.9997517708585076</x:v>
      </x:c>
      <x:c r="M515" t="n">
        <x:v>97.829232177397</x:v>
      </x:c>
      <x:c r="N515" t="n">
        <x:v>0.0030468156739889033</x:v>
      </x:c>
      <x:c r="O515" t="str">
        <x:v>NO</x:v>
      </x:c>
      <x:c r="P515" t="str">
        <x:v>NO</x:v>
      </x:c>
    </x:row>
    <x:row r="516">
      <x:c r="A516" t="str">
        <x:v>LP</x:v>
      </x:c>
      <x:c r="B516" t="n">
        <x:v>21</x:v>
      </x:c>
      <x:c r="C516" t="n">
        <x:v>0.10000000000000009</x:v>
      </x:c>
      <x:c r="D516" t="n">
        <x:v>107</x:v>
      </x:c>
      <x:c r="E516" t="n">
        <x:v>128</x:v>
      </x:c>
      <x:c r="F516" t="n">
        <x:v>0.3350000000000003</x:v>
      </x:c>
      <x:c r="G516" t="n">
        <x:v>0.4350000000000004</x:v>
      </x:c>
      <x:c r="H516" t="n">
        <x:v>1.319166235729035e-7</x:v>
      </x:c>
      <x:c r="I516" t="n">
        <x:v>0.000001367073153552329</x:v>
      </x:c>
      <x:c r="J516" t="n">
        <x:v>1.0154922278117446</x:v>
      </x:c>
      <x:c r="K516" t="n">
        <x:v>10.161861312593203</x:v>
      </x:c>
      <x:c r="L516" t="n">
        <x:v>0.9997382328957042</x:v>
      </x:c>
      <x:c r="M516" t="n">
        <x:v>98.40716865135116</x:v>
      </x:c>
      <x:c r="N516" t="n">
        <x:v>0.0034008100361444527</x:v>
      </x:c>
      <x:c r="O516" t="str">
        <x:v>NO</x:v>
      </x:c>
      <x:c r="P516" t="str">
        <x:v>NO</x:v>
      </x:c>
    </x:row>
    <x:row r="517">
      <x:c r="A517" t="str">
        <x:v>LP</x:v>
      </x:c>
      <x:c r="B517" t="n">
        <x:v>21</x:v>
      </x:c>
      <x:c r="C517" t="n">
        <x:v>0.10000000000000009</x:v>
      </x:c>
      <x:c r="D517" t="n">
        <x:v>108</x:v>
      </x:c>
      <x:c r="E517" t="n">
        <x:v>129</x:v>
      </x:c>
      <x:c r="F517" t="n">
        <x:v>0.3400000000000003</x:v>
      </x:c>
      <x:c r="G517" t="n">
        <x:v>0.4400000000000004</x:v>
      </x:c>
      <x:c r="H517" t="n">
        <x:v>1.491994546466443e-7</x:v>
      </x:c>
      <x:c r="I517" t="n">
        <x:v>0.000001524680674616621</x:v>
      </x:c>
      <x:c r="J517" t="n">
        <x:v>1.009411659926851</x:v>
      </x:c>
      <x:c r="K517" t="n">
        <x:v>10.100622123745636</x:v>
      </x:c>
      <x:c r="L517" t="n">
        <x:v>0.9997247539476598</x:v>
      </x:c>
      <x:c r="M517" t="n">
        <x:v>99.00380271123021</x:v>
      </x:c>
      <x:c r="N517" t="n">
        <x:v>0.0037928835971053404</x:v>
      </x:c>
      <x:c r="O517" t="str">
        <x:v>NO</x:v>
      </x:c>
      <x:c r="P517" t="str">
        <x:v>NO</x:v>
      </x:c>
    </x:row>
    <x:row r="518">
      <x:c r="A518" t="str">
        <x:v>LP</x:v>
      </x:c>
      <x:c r="B518" t="n">
        <x:v>21</x:v>
      </x:c>
      <x:c r="C518" t="n">
        <x:v>0.10000000000000009</x:v>
      </x:c>
      <x:c r="D518" t="n">
        <x:v>109</x:v>
      </x:c>
      <x:c r="E518" t="n">
        <x:v>130</x:v>
      </x:c>
      <x:c r="F518" t="n">
        <x:v>0.3450000000000003</x:v>
      </x:c>
      <x:c r="G518" t="n">
        <x:v>0.4450000000000004</x:v>
      </x:c>
      <x:c r="H518" t="n">
        <x:v>1.686539887478547e-7</x:v>
      </x:c>
      <x:c r="I518" t="n">
        <x:v>0.000001699081553814694</x:v>
      </x:c>
      <x:c r="J518" t="n">
        <x:v>1.003217608047919</x:v>
      </x:c>
      <x:c r="K518" t="n">
        <x:v>10.038244940368891</x:v>
      </x:c>
      <x:c r="L518" t="n">
        <x:v>0.9997113830985118</x:v>
      </x:c>
      <x:c r="M518" t="n">
        <x:v>99.61900769909401</x:v>
      </x:c>
      <x:c r="N518" t="n">
        <x:v>0.00422673328448165</x:v>
      </x:c>
      <x:c r="O518" t="str">
        <x:v>NO</x:v>
      </x:c>
      <x:c r="P518" t="str">
        <x:v>NO</x:v>
      </x:c>
    </x:row>
    <x:row r="519">
      <x:c r="A519" t="str">
        <x:v>LP</x:v>
      </x:c>
      <x:c r="B519" t="n">
        <x:v>21</x:v>
      </x:c>
      <x:c r="C519" t="n">
        <x:v>0.10000000000000009</x:v>
      </x:c>
      <x:c r="D519" t="n">
        <x:v>110</x:v>
      </x:c>
      <x:c r="E519" t="n">
        <x:v>131</x:v>
      </x:c>
      <x:c r="F519" t="n">
        <x:v>0.3500000000000003</x:v>
      </x:c>
      <x:c r="G519" t="n">
        <x:v>0.4500000000000004</x:v>
      </x:c>
      <x:c r="H519" t="n">
        <x:v>1.905369055394056e-7</x:v>
      </x:c>
      <x:c r="I519" t="n">
        <x:v>0.000001891885643347979</x:v>
      </x:c>
      <x:c r="J519" t="n">
        <x:v>0.9969157738817929</x:v>
      </x:c>
      <x:c r="K519" t="n">
        <x:v>9.974798346591594</x:v>
      </x:c>
      <x:c r="L519" t="n">
        <x:v>0.9996981534784528</x:v>
      </x:c>
      <x:c r="M519" t="n">
        <x:v>100.2526532620784</x:v>
      </x:c>
      <x:c r="N519" t="n">
        <x:v>0.0047063638594736935</x:v>
      </x:c>
      <x:c r="O519" t="str">
        <x:v>NO</x:v>
      </x:c>
      <x:c r="P519" t="str">
        <x:v>NO</x:v>
      </x:c>
    </x:row>
    <x:row r="520">
      <x:c r="A520" t="str">
        <x:v>LP</x:v>
      </x:c>
      <x:c r="B520" t="n">
        <x:v>21</x:v>
      </x:c>
      <x:c r="C520" t="n">
        <x:v>0.10000000000000009</x:v>
      </x:c>
      <x:c r="D520" t="n">
        <x:v>111</x:v>
      </x:c>
      <x:c r="E520" t="n">
        <x:v>132</x:v>
      </x:c>
      <x:c r="F520" t="n">
        <x:v>0.3550000000000003</x:v>
      </x:c>
      <x:c r="G520" t="n">
        <x:v>0.4550000000000004</x:v>
      </x:c>
      <x:c r="H520" t="n">
        <x:v>2.15132598123149e-7</x:v>
      </x:c>
      <x:c r="I520" t="n">
        <x:v>0.000002104833631576693</x:v>
      </x:c>
      <x:c r="J520" t="n">
        <x:v>0.990511552242344</x:v>
      </x:c>
      <x:c r="K520" t="n">
        <x:v>9.910348652068803</x:v>
      </x:c>
      <x:c r="L520" t="n">
        <x:v>0.9996850777819947</x:v>
      </x:c>
      <x:c r="M520" t="n">
        <x:v>100.90462355138719</x:v>
      </x:c>
      <x:c r="N520" t="n">
        <x:v>0.005236105558857639</x:v>
      </x:c>
      <x:c r="O520" t="str">
        <x:v>NO</x:v>
      </x:c>
      <x:c r="P520" t="str">
        <x:v>NO</x:v>
      </x:c>
    </x:row>
    <x:row r="521">
      <x:c r="A521" t="str">
        <x:v>LP</x:v>
      </x:c>
      <x:c r="B521" t="n">
        <x:v>21</x:v>
      </x:c>
      <x:c r="C521" t="n">
        <x:v>0.10000000000000009</x:v>
      </x:c>
      <x:c r="D521" t="n">
        <x:v>112</x:v>
      </x:c>
      <x:c r="E521" t="n">
        <x:v>133</x:v>
      </x:c>
      <x:c r="F521" t="n">
        <x:v>0.3600000000000003</x:v>
      </x:c>
      <x:c r="G521" t="n">
        <x:v>0.4600000000000004</x:v>
      </x:c>
      <x:c r="H521" t="n">
        <x:v>2.427558290030328e-7</x:v>
      </x:c>
      <x:c r="I521" t="n">
        <x:v>0.000002339803834458113</x:v>
      </x:c>
      <x:c r="J521" t="n">
        <x:v>0.9840097814623388</x:v>
      </x:c>
      <x:c r="K521" t="n">
        <x:v>9.844957745120682</x:v>
      </x:c>
      <x:c r="L521" t="n">
        <x:v>0.9996721442428245</x:v>
      </x:c>
      <x:c r="M521" t="n">
        <x:v>101.57483921102819</x:v>
      </x:c>
      <x:c r="N521" t="n">
        <x:v>0.005820630989759127</x:v>
      </x:c>
      <x:c r="O521" t="str">
        <x:v>NO</x:v>
      </x:c>
      <x:c r="P521" t="str">
        <x:v>NO</x:v>
      </x:c>
    </x:row>
    <x:row r="522">
      <x:c r="A522" t="str">
        <x:v>LP</x:v>
      </x:c>
      <x:c r="B522" t="n">
        <x:v>21</x:v>
      </x:c>
      <x:c r="C522" t="n">
        <x:v>0.10000000000000009</x:v>
      </x:c>
      <x:c r="D522" t="n">
        <x:v>113</x:v>
      </x:c>
      <x:c r="E522" t="n">
        <x:v>134</x:v>
      </x:c>
      <x:c r="F522" t="n">
        <x:v>0.3650000000000003</x:v>
      </x:c>
      <x:c r="G522" t="n">
        <x:v>0.4650000000000004</x:v>
      </x:c>
      <x:c r="H522" t="n">
        <x:v>2.737545560534216e-7</x:v>
      </x:c>
      <x:c r="I522" t="n">
        <x:v>0.000002598818489486496</x:v>
      </x:c>
      <x:c r="J522" t="n">
        <x:v>0.9774145921224298</x:v>
      </x:c>
      <x:c r="K522" t="n">
        <x:v>9.778681035979297</x:v>
      </x:c>
      <x:c r="L522" t="n">
        <x:v>0.9996593120430551</x:v>
      </x:c>
      <x:c r="M522" t="n">
        <x:v>102.2632803259089</x:v>
      </x:c>
      <x:c r="N522" t="n">
        <x:v>0.006464970786821275</x:v>
      </x:c>
      <x:c r="O522" t="str">
        <x:v>NO</x:v>
      </x:c>
      <x:c r="P522" t="str">
        <x:v>NO</x:v>
      </x:c>
    </x:row>
    <x:row r="523">
      <x:c r="A523" t="str">
        <x:v>LP</x:v>
      </x:c>
      <x:c r="B523" t="n">
        <x:v>21</x:v>
      </x:c>
      <x:c r="C523" t="n">
        <x:v>0.10000000000000014</x:v>
      </x:c>
      <x:c r="D523" t="n">
        <x:v>114</x:v>
      </x:c>
      <x:c r="E523" t="n">
        <x:v>135</x:v>
      </x:c>
      <x:c r="F523" t="n">
        <x:v>0.3700000000000003</x:v>
      </x:c>
      <x:c r="G523" t="n">
        <x:v>0.4700000000000004</x:v>
      </x:c>
      <x:c r="H523" t="n">
        <x:v>3.085129870941359e-7</x:v>
      </x:c>
      <x:c r="I523" t="n">
        <x:v>0.000002884049324936066</x:v>
      </x:c>
      <x:c r="J523" t="n">
        <x:v>0.9707292329868862</x:v>
      </x:c>
      <x:c r="K523" t="n">
        <x:v>9.711565276124258</x:v>
      </x:c>
      <x:c r="L523" t="n">
        <x:v>0.9996465074042874</x:v>
      </x:c>
      <x:c r="M523" t="n">
        <x:v>102.97001271859702</x:v>
      </x:c>
      <x:c r="N523" t="n">
        <x:v>0.007174527466574794</x:v>
      </x:c>
      <x:c r="O523" t="str">
        <x:v>NO</x:v>
      </x:c>
      <x:c r="P523" t="str">
        <x:v>NO</x:v>
      </x:c>
    </x:row>
    <x:row r="524">
      <x:c r="A524" t="str">
        <x:v>LP</x:v>
      </x:c>
      <x:c r="B524" t="n">
        <x:v>21</x:v>
      </x:c>
      <x:c r="C524" t="n">
        <x:v>0.10000000000000014</x:v>
      </x:c>
      <x:c r="D524" t="n">
        <x:v>115</x:v>
      </x:c>
      <x:c r="E524" t="n">
        <x:v>136</x:v>
      </x:c>
      <x:c r="F524" t="n">
        <x:v>0.3750000000000003</x:v>
      </x:c>
      <x:c r="G524" t="n">
        <x:v>0.4750000000000004</x:v>
      </x:c>
      <x:c r="H524" t="n">
        <x:v>3.474548724799429e-7</x:v>
      </x:c>
      <x:c r="I524" t="n">
        <x:v>0.000003197822149427569</x:v>
      </x:c>
      <x:c r="J524" t="n">
        <x:v>0.9639558999726088</x:v>
      </x:c>
      <x:c r="K524" t="n">
        <x:v>9.643646384333943</x:v>
      </x:c>
      <x:c r="L524" t="n">
        <x:v>0.9996336202976743</x:v>
      </x:c>
      <x:c r="M524" t="n">
        <x:v>103.69521653391348</x:v>
      </x:c>
      <x:c r="N524" t="n">
        <x:v>0.007955086844708505</x:v>
      </x:c>
      <x:c r="O524" t="str">
        <x:v>NO</x:v>
      </x:c>
      <x:c r="P524" t="str">
        <x:v>NO</x:v>
      </x:c>
    </x:row>
    <x:row r="525">
      <x:c r="A525" t="str">
        <x:v>LP</x:v>
      </x:c>
      <x:c r="B525" t="n">
        <x:v>21</x:v>
      </x:c>
      <x:c r="C525" t="n">
        <x:v>0.10000000000000014</x:v>
      </x:c>
      <x:c r="D525" t="n">
        <x:v>116</x:v>
      </x:c>
      <x:c r="E525" t="n">
        <x:v>137</x:v>
      </x:c>
      <x:c r="F525" t="n">
        <x:v>0.3800000000000003</x:v>
      </x:c>
      <x:c r="G525" t="n">
        <x:v>0.4800000000000004</x:v>
      </x:c>
      <x:c r="H525" t="n">
        <x:v>3.91047048787814e-7</x:v>
      </x:c>
      <x:c r="I525" t="n">
        <x:v>0.000003542620183286753</x:v>
      </x:c>
      <x:c r="J525" t="n">
        <x:v>0.9570955799590815</x:v>
      </x:c>
      <x:c r="K525" t="n">
        <x:v>9.574947367632397</x:v>
      </x:c>
      <x:c r="L525" t="n">
        <x:v>0.9996205018357018</x:v>
      </x:c>
      <x:c r="M525" t="n">
        <x:v>104.43921638467143</x:v>
      </x:c>
      <x:c r="N525" t="n">
        <x:v>0.00881282632334885</x:v>
      </x:c>
      <x:c r="O525" t="str">
        <x:v>NO</x:v>
      </x:c>
      <x:c r="P525" t="str">
        <x:v>NO</x:v>
      </x:c>
    </x:row>
    <x:row r="526">
      <x:c r="A526" t="str">
        <x:v>LP</x:v>
      </x:c>
      <x:c r="B526" t="n">
        <x:v>21</x:v>
      </x:c>
      <x:c r="C526" t="n">
        <x:v>0.10000000000000009</x:v>
      </x:c>
      <x:c r="D526" t="n">
        <x:v>117</x:v>
      </x:c>
      <x:c r="E526" t="n">
        <x:v>138</x:v>
      </x:c>
      <x:c r="F526" t="n">
        <x:v>0.3850000000000003</x:v>
      </x:c>
      <x:c r="G526" t="n">
        <x:v>0.4850000000000004</x:v>
      </x:c>
      <x:c r="H526" t="n">
        <x:v>4.398032494401846e-7</x:v>
      </x:c>
      <x:c r="I526" t="n">
        <x:v>0.000003921085835950356</x:v>
      </x:c>
      <x:c r="J526" t="n">
        <x:v>0.9501479157091373</x:v>
      </x:c>
      <x:c r="K526" t="n">
        <x:v>9.505476416411376</x:v>
      </x:c>
      <x:c r="L526" t="n">
        <x:v>0.999606962420075</x:v>
      </x:c>
      <x:c r="M526" t="n">
        <x:v>105.20251234051582</x:v>
      </x:c>
      <x:c r="N526" t="n">
        <x:v>0.009754319312637571</x:v>
      </x:c>
      <x:c r="O526" t="str">
        <x:v>NO</x:v>
      </x:c>
      <x:c r="P526" t="str">
        <x:v>YES</x:v>
      </x:c>
    </x:row>
    <x:row r="527">
      <x:c r="A527" t="str">
        <x:v>LP</x:v>
      </x:c>
      <x:c r="B527" t="n">
        <x:v>31</x:v>
      </x:c>
      <x:c r="C527" t="n">
        <x:v>0.1500000000000001</x:v>
      </x:c>
      <x:c r="D527" t="n">
        <x:v>0</x:v>
      </x:c>
      <x:c r="E527" t="n">
        <x:v>31</x:v>
      </x:c>
      <x:c r="F527" t="n">
        <x:v>-0.2</x:v>
      </x:c>
      <x:c r="G527" t="n">
        <x:v>-0.0499999999999999</x:v>
      </x:c>
      <x:c r="H527" t="n">
        <x:v>1.114393572961754e-12</x:v>
      </x:c>
      <x:c r="I527" t="n">
        <x:v>6.310483680331215e-12</x:v>
      </x:c>
      <x:c r="J527" t="n">
        <x:v>0.7530240492183857</x:v>
      </x:c>
      <x:c r="K527" t="n">
        <x:v>4.95980228795384</x:v>
      </x:c>
      <x:c r="L527" t="n">
        <x:v>0.932160424458734</x:v>
      </x:c>
      <x:c r="M527" t="n">
        <x:v>201.6209400985112</x:v>
      </x:c>
      <x:c r="N527" t="n">
        <x:v>1.5698323222302017e-8</x:v>
      </x:c>
      <x:c r="O527" t="str">
        <x:v>YES</x:v>
      </x:c>
      <x:c r="P527" t="str">
        <x:v>NO</x:v>
      </x:c>
    </x:row>
    <x:row r="528">
      <x:c r="A528" t="str">
        <x:v>LP</x:v>
      </x:c>
      <x:c r="B528" t="n">
        <x:v>31</x:v>
      </x:c>
      <x:c r="C528" t="n">
        <x:v>0.1500000000000001</x:v>
      </x:c>
      <x:c r="D528" t="n">
        <x:v>1</x:v>
      </x:c>
      <x:c r="E528" t="n">
        <x:v>32</x:v>
      </x:c>
      <x:c r="F528" t="n">
        <x:v>-0.195</x:v>
      </x:c>
      <x:c r="G528" t="n">
        <x:v>-0.0449999999999999</x:v>
      </x:c>
      <x:c r="H528" t="n">
        <x:v>1.124728504302294e-12</x:v>
      </x:c>
      <x:c r="I528" t="n">
        <x:v>7.067652746641881e-12</x:v>
      </x:c>
      <x:c r="J528" t="n">
        <x:v>0.7982275015433427</x:v>
      </x:c>
      <x:c r="K528" t="n">
        <x:v>5.282894873726811</x:v>
      </x:c>
      <x:c r="L528" t="n">
        <x:v>0.9386093080736782</x:v>
      </x:c>
      <x:c r="M528" t="n">
        <x:v>189.29015698821797</x:v>
      </x:c>
      <x:c r="N528" t="n">
        <x:v>1.7581900668817115e-8</x:v>
      </x:c>
      <x:c r="O528" t="str">
        <x:v>NO</x:v>
      </x:c>
      <x:c r="P528" t="str">
        <x:v>NO</x:v>
      </x:c>
    </x:row>
    <x:row r="529">
      <x:c r="A529" t="str">
        <x:v>LP</x:v>
      </x:c>
      <x:c r="B529" t="n">
        <x:v>31</x:v>
      </x:c>
      <x:c r="C529" t="n">
        <x:v>0.1500000000000001</x:v>
      </x:c>
      <x:c r="D529" t="n">
        <x:v>2</x:v>
      </x:c>
      <x:c r="E529" t="n">
        <x:v>33</x:v>
      </x:c>
      <x:c r="F529" t="n">
        <x:v>-0.19</x:v>
      </x:c>
      <x:c r="G529" t="n">
        <x:v>-0.0399999999999999</x:v>
      </x:c>
      <x:c r="H529" t="n">
        <x:v>1.139010516579071e-12</x:v>
      </x:c>
      <x:c r="I529" t="n">
        <x:v>7.932942342892279e-12</x:v>
      </x:c>
      <x:c r="J529" t="n">
        <x:v>0.8429065638441493</x:v>
      </x:c>
      <x:c r="K529" t="n">
        <x:v>5.6071403193238725</x:v>
      </x:c>
      <x:c r="L529" t="n">
        <x:v>0.9446019916204293</x:v>
      </x:c>
      <x:c r="M529" t="n">
        <x:v>178.34402976392488</x:v>
      </x:c>
      <x:c r="N529" t="n">
        <x:v>1.973444498252351e-8</x:v>
      </x:c>
      <x:c r="O529" t="str">
        <x:v>NO</x:v>
      </x:c>
      <x:c r="P529" t="str">
        <x:v>NO</x:v>
      </x:c>
    </x:row>
    <x:row r="530">
      <x:c r="A530" t="str">
        <x:v>LP</x:v>
      </x:c>
      <x:c r="B530" t="n">
        <x:v>31</x:v>
      </x:c>
      <x:c r="C530" t="n">
        <x:v>0.1500000000000001</x:v>
      </x:c>
      <x:c r="D530" t="n">
        <x:v>3</x:v>
      </x:c>
      <x:c r="E530" t="n">
        <x:v>34</x:v>
      </x:c>
      <x:c r="F530" t="n">
        <x:v>-0.185</x:v>
      </x:c>
      <x:c r="G530" t="n">
        <x:v>-0.0349999999999999</x:v>
      </x:c>
      <x:c r="H530" t="n">
        <x:v>1.155990295001871e-12</x:v>
      </x:c>
      <x:c r="I530" t="n">
        <x:v>8.921782765968998e-12</x:v>
      </x:c>
      <x:c r="J530" t="n">
        <x:v>0.8874974564926514</x:v>
      </x:c>
      <x:c r="K530" t="n">
        <x:v>5.931753032694328</x:v>
      </x:c>
      <x:c r="L530" t="n">
        <x:v>0.9502422775546568</x:v>
      </x:c>
      <x:c r="M530" t="n">
        <x:v>168.58422703849132</x:v>
      </x:c>
      <x:c r="N530" t="n">
        <x:v>2.2194341460050166e-8</x:v>
      </x:c>
      <x:c r="O530" t="str">
        <x:v>NO</x:v>
      </x:c>
      <x:c r="P530" t="str">
        <x:v>NO</x:v>
      </x:c>
    </x:row>
    <x:row r="531">
      <x:c r="A531" t="str">
        <x:v>LP</x:v>
      </x:c>
      <x:c r="B531" t="n">
        <x:v>31</x:v>
      </x:c>
      <x:c r="C531" t="n">
        <x:v>0.1500000000000001</x:v>
      </x:c>
      <x:c r="D531" t="n">
        <x:v>4</x:v>
      </x:c>
      <x:c r="E531" t="n">
        <x:v>35</x:v>
      </x:c>
      <x:c r="F531" t="n">
        <x:v>-0.18</x:v>
      </x:c>
      <x:c r="G531" t="n">
        <x:v>-0.0299999999999999</x:v>
      </x:c>
      <x:c r="H531" t="n">
        <x:v>1.175859685930556e-12</x:v>
      </x:c>
      <x:c r="I531" t="n">
        <x:v>1.005180448712331e-11</x:v>
      </x:c>
      <x:c r="J531" t="n">
        <x:v>0.931888531807612</x:v>
      </x:c>
      <x:c r="K531" t="n">
        <x:v>6.255219389427637</x:v>
      </x:c>
      <x:c r="L531" t="n">
        <x:v>0.95553610736842</x:v>
      </x:c>
      <x:c r="M531" t="n">
        <x:v>159.86649512088522</x:v>
      </x:c>
      <x:c r="N531" t="n">
        <x:v>2.5005448678692294e-8</x:v>
      </x:c>
      <x:c r="O531" t="str">
        <x:v>NO</x:v>
      </x:c>
      <x:c r="P531" t="str">
        <x:v>NO</x:v>
      </x:c>
    </x:row>
    <x:row r="532">
      <x:c r="A532" t="str">
        <x:v>LP</x:v>
      </x:c>
      <x:c r="B532" t="n">
        <x:v>31</x:v>
      </x:c>
      <x:c r="C532" t="n">
        <x:v>0.15000000000000008</x:v>
      </x:c>
      <x:c r="D532" t="n">
        <x:v>5</x:v>
      </x:c>
      <x:c r="E532" t="n">
        <x:v>36</x:v>
      </x:c>
      <x:c r="F532" t="n">
        <x:v>-0.175</x:v>
      </x:c>
      <x:c r="G532" t="n">
        <x:v>-0.0249999999999999</x:v>
      </x:c>
      <x:c r="H532" t="n">
        <x:v>1.198891947305063e-12</x:v>
      </x:c>
      <x:c r="I532" t="n">
        <x:v>1.134315144431181e-11</x:v>
      </x:c>
      <x:c r="J532" t="n">
        <x:v>0.9759536873134262</x:v>
      </x:c>
      <x:c r="K532" t="n">
        <x:v>6.575982248386066</x:v>
      </x:c>
      <x:c r="L532" t="n">
        <x:v>0.9604827106043852</x:v>
      </x:c>
      <x:c r="M532" t="n">
        <x:v>152.06853702280424</x:v>
      </x:c>
      <x:c r="N532" t="n">
        <x:v>2.8217877860510144e-8</x:v>
      </x:c>
      <x:c r="O532" t="str">
        <x:v>NO</x:v>
      </x:c>
      <x:c r="P532" t="str">
        <x:v>NO</x:v>
      </x:c>
    </x:row>
    <x:row r="533">
      <x:c r="A533" t="str">
        <x:v>LP</x:v>
      </x:c>
      <x:c r="B533" t="n">
        <x:v>31</x:v>
      </x:c>
      <x:c r="C533" t="n">
        <x:v>0.1500000000000001</x:v>
      </x:c>
      <x:c r="D533" t="n">
        <x:v>6</x:v>
      </x:c>
      <x:c r="E533" t="n">
        <x:v>37</x:v>
      </x:c>
      <x:c r="F533" t="n">
        <x:v>-0.17</x:v>
      </x:c>
      <x:c r="G533" t="n">
        <x:v>-0.0199999999999999</x:v>
      </x:c>
      <x:c r="H533" t="n">
        <x:v>1.225439278370611e-12</x:v>
      </x:c>
      <x:c r="I533" t="n">
        <x:v>1.281883885238538e-11</x:v>
      </x:c>
      <x:c r="J533" t="n">
        <x:v>1.0195568915526128</x:v>
      </x:c>
      <x:c r="K533" t="n">
        <x:v>6.892482108047081</x:v>
      </x:c>
      <x:c r="L533" t="n">
        <x:v>0.9650791278280548</x:v>
      </x:c>
      <x:c r="M533" t="n">
        <x:v>145.08561419876366</x:v>
      </x:c>
      <x:c r="N533" t="n">
        <x:v>3.1888882981595265e-8</x:v>
      </x:c>
      <x:c r="O533" t="str">
        <x:v>NO</x:v>
      </x:c>
      <x:c r="P533" t="str">
        <x:v>NO</x:v>
      </x:c>
    </x:row>
    <x:row r="534">
      <x:c r="A534" t="str">
        <x:v>LP</x:v>
      </x:c>
      <x:c r="B534" t="n">
        <x:v>31</x:v>
      </x:c>
      <x:c r="C534" t="n">
        <x:v>0.1500000000000001</x:v>
      </x:c>
      <x:c r="D534" t="n">
        <x:v>7</x:v>
      </x:c>
      <x:c r="E534" t="n">
        <x:v>38</x:v>
      </x:c>
      <x:c r="F534" t="n">
        <x:v>-0.165</x:v>
      </x:c>
      <x:c r="G534" t="n">
        <x:v>-0.0149999999999999</x:v>
      </x:c>
      <x:c r="H534" t="n">
        <x:v>1.255933406559433e-12</x:v>
      </x:c>
      <x:c r="I534" t="n">
        <x:v>1.4505161836316829e-11</x:v>
      </x:c>
      <x:c r="J534" t="n">
        <x:v>1.0625559662694553</x:v>
      </x:c>
      <x:c r="K534" t="n">
        <x:v>7.203193884466959</x:v>
      </x:c>
      <x:c r="L534" t="n">
        <x:v>0.969323058250257</x:v>
      </x:c>
      <x:c r="M534" t="n">
        <x:v>138.8273057811772</x:v>
      </x:c>
      <x:c r="N534" t="n">
        <x:v>3.608387731165956e-8</x:v>
      </x:c>
      <x:c r="O534" t="str">
        <x:v>NO</x:v>
      </x:c>
      <x:c r="P534" t="str">
        <x:v>NO</x:v>
      </x:c>
    </x:row>
    <x:row r="535">
      <x:c r="A535" t="str">
        <x:v>LP</x:v>
      </x:c>
      <x:c r="B535" t="n">
        <x:v>31</x:v>
      </x:c>
      <x:c r="C535" t="n">
        <x:v>0.1500000000000001</x:v>
      </x:c>
      <x:c r="D535" t="n">
        <x:v>8</x:v>
      </x:c>
      <x:c r="E535" t="n">
        <x:v>39</x:v>
      </x:c>
      <x:c r="F535" t="n">
        <x:v>-0.16</x:v>
      </x:c>
      <x:c r="G535" t="n">
        <x:v>-0.0099999999999999</x:v>
      </x:c>
      <x:c r="H535" t="n">
        <x:v>1.290888916606739e-12</x:v>
      </x:c>
      <x:c r="I535" t="n">
        <x:v>1.643216208159562e-11</x:v>
      </x:c>
      <x:c r="J535" t="n">
        <x:v>1.1048058379902965</x:v>
      </x:c>
      <x:c r="K535" t="n">
        <x:v>7.5066595514842165</x:v>
      </x:c>
      <x:c r="L535" t="n">
        <x:v>0.9732145681334214</x:v>
      </x:c>
      <x:c r="M535" t="n">
        <x:v>133.21504633872468</x:v>
      </x:c>
      <x:c r="N535" t="n">
        <x:v>4.08775942804758e-8</x:v>
      </x:c>
      <x:c r="O535" t="str">
        <x:v>NO</x:v>
      </x:c>
      <x:c r="P535" t="str">
        <x:v>NO</x:v>
      </x:c>
    </x:row>
    <x:row r="536">
      <x:c r="A536" t="str">
        <x:v>LP</x:v>
      </x:c>
      <x:c r="B536" t="n">
        <x:v>31</x:v>
      </x:c>
      <x:c r="C536" t="n">
        <x:v>0.1500000000000001</x:v>
      </x:c>
      <x:c r="D536" t="n">
        <x:v>9</x:v>
      </x:c>
      <x:c r="E536" t="n">
        <x:v>40</x:v>
      </x:c>
      <x:c r="F536" t="n">
        <x:v>-0.155</x:v>
      </x:c>
      <x:c r="G536" t="n">
        <x:v>-0.0049999999999999</x:v>
      </x:c>
      <x:c r="H536" t="n">
        <x:v>1.330909109242401e-12</x:v>
      </x:c>
      <x:c r="I536" t="n">
        <x:v>1.8634160708620268e-11</x:v>
      </x:c>
      <x:c r="J536" t="n">
        <x:v>1.1461614391556658</x:v>
      </x:c>
      <x:c r="K536" t="n">
        <x:v>7.801516747282973</x:v>
      </x:c>
      <x:c r="L536" t="n">
        <x:v>0.9767570154477213</x:v>
      </x:c>
      <x:c r="M536" t="n">
        <x:v>128.1802029519797</x:v>
      </x:c>
      <x:c r="N536" t="n">
        <x:v>4.635541308695497e-8</x:v>
      </x:c>
      <x:c r="O536" t="str">
        <x:v>NO</x:v>
      </x:c>
      <x:c r="P536" t="str">
        <x:v>NO</x:v>
      </x:c>
    </x:row>
    <x:row r="537">
      <x:c r="A537" t="str">
        <x:v>LP</x:v>
      </x:c>
      <x:c r="B537" t="n">
        <x:v>31</x:v>
      </x:c>
      <x:c r="C537" t="n">
        <x:v>0.1500000000000001</x:v>
      </x:c>
      <x:c r="D537" t="n">
        <x:v>10</x:v>
      </x:c>
      <x:c r="E537" t="n">
        <x:v>41</x:v>
      </x:c>
      <x:c r="F537" t="n">
        <x:v>-0.15</x:v>
      </x:c>
      <x:c r="G537" t="n">
        <x:v>9.887923813067799e-17</x:v>
      </x:c>
      <x:c r="H537" t="n">
        <x:v>1.376694269019026e-12</x:v>
      </x:c>
      <x:c r="I537" t="n">
        <x:v>2.115036673217059e-11</x:v>
      </x:c>
      <x:c r="J537" t="n">
        <x:v>1.1864803976184</x:v>
      </x:c>
      <x:c r="K537" t="n">
        <x:v>8.086523332201196</x:v>
      </x:c>
      <x:c r="L537" t="n">
        <x:v>0.979957429974585</x:v>
      </x:c>
      <x:c r="M537" t="n">
        <x:v>123.66253814144311</x:v>
      </x:c>
      <x:c r="N537" t="n">
        <x:v>5.261487233802826e-8</x:v>
      </x:c>
      <x:c r="O537" t="str">
        <x:v>NO</x:v>
      </x:c>
      <x:c r="P537" t="str">
        <x:v>NO</x:v>
      </x:c>
    </x:row>
    <x:row r="538">
      <x:c r="A538" t="str">
        <x:v>LP</x:v>
      </x:c>
      <x:c r="B538" t="n">
        <x:v>31</x:v>
      </x:c>
      <x:c r="C538" t="n">
        <x:v>0.15</x:v>
      </x:c>
      <x:c r="D538" t="n">
        <x:v>11</x:v>
      </x:c>
      <x:c r="E538" t="n">
        <x:v>42</x:v>
      </x:c>
      <x:c r="F538" t="n">
        <x:v>-0.145</x:v>
      </x:c>
      <x:c r="G538" t="n">
        <x:v>0.005</x:v>
      </x:c>
      <x:c r="H538" t="n">
        <x:v>1.429052304852317e-12</x:v>
      </x:c>
      <x:c r="I538" t="n">
        <x:v>2.4025571782320378e-11</x:v>
      </x:c>
      <x:c r="J538" t="n">
        <x:v>1.2256256074697465</x:v>
      </x:c>
      <x:c r="K538" t="n">
        <x:v>8.360577792753583</x:v>
      </x:c>
      <x:c r="L538" t="n">
        <x:v>0.982826512933307</x:v>
      </x:c>
      <x:c r="M538" t="n">
        <x:v>119.60895823094145</x:v>
      </x:c>
      <x:c r="N538" t="n">
        <x:v>5.976739827646431e-8</x:v>
      </x:c>
      <x:c r="O538" t="str">
        <x:v>NO</x:v>
      </x:c>
      <x:c r="P538" t="str">
        <x:v>NO</x:v>
      </x:c>
    </x:row>
    <x:row r="539">
      <x:c r="A539" t="str">
        <x:v>LP</x:v>
      </x:c>
      <x:c r="B539" t="n">
        <x:v>31</x:v>
      </x:c>
      <x:c r="C539" t="n">
        <x:v>0.1500000000000001</x:v>
      </x:c>
      <x:c r="D539" t="n">
        <x:v>12</x:v>
      </x:c>
      <x:c r="E539" t="n">
        <x:v>43</x:v>
      </x:c>
      <x:c r="F539" t="n">
        <x:v>-0.14</x:v>
      </x:c>
      <x:c r="G539" t="n">
        <x:v>0.0100000000000001</x:v>
      </x:c>
      <x:c r="H539" t="n">
        <x:v>1.488911804458349e-12</x:v>
      </x:c>
      <x:c r="I539" t="n">
        <x:v>2.7310943261342637e-11</x:v>
      </x:c>
      <x:c r="J539" t="n">
        <x:v>1.2634677268738077</x:v>
      </x:c>
      <x:c r="K539" t="n">
        <x:v>8.62273533498041</x:v>
      </x:c>
      <x:c r="L539" t="n">
        <x:v>0.9853783718220718</x:v>
      </x:c>
      <x:c r="M539" t="n">
        <x:v>115.97247986300067</x:v>
      </x:c>
      <x:c r="N539" t="n">
        <x:v>6.794027788373982e-8</x:v>
      </x:c>
      <x:c r="O539" t="str">
        <x:v>NO</x:v>
      </x:c>
      <x:c r="P539" t="str">
        <x:v>NO</x:v>
      </x:c>
    </x:row>
    <x:row r="540">
      <x:c r="A540" t="str">
        <x:v>LP</x:v>
      </x:c>
      <x:c r="B540" t="n">
        <x:v>31</x:v>
      </x:c>
      <x:c r="C540" t="n">
        <x:v>0.1500000000000001</x:v>
      </x:c>
      <x:c r="D540" t="n">
        <x:v>13</x:v>
      </x:c>
      <x:c r="E540" t="n">
        <x:v>44</x:v>
      </x:c>
      <x:c r="F540" t="n">
        <x:v>-0.135</x:v>
      </x:c>
      <x:c r="G540" t="n">
        <x:v>0.0150000000000001</x:v>
      </x:c>
      <x:c r="H540" t="n">
        <x:v>1.557337616727506e-12</x:v>
      </x:c>
      <x:c r="I540" t="n">
        <x:v>3.106492981728692e-11</x:v>
      </x:c>
      <x:c r="J540" t="n">
        <x:v>1.2998876028848922</x:v>
      </x:c>
      <x:c r="K540" t="n">
        <x:v>8.87221950227338</x:v>
      </x:c>
      <x:c r="L540" t="n">
        <x:v>0.9876300752082201</x:v>
      </x:c>
      <x:c r="M540" t="n">
        <x:v>112.71136830460115</x:v>
      </x:c>
      <x:c r="N540" t="n">
        <x:v>7.727891138834254e-8</x:v>
      </x:c>
      <x:c r="O540" t="str">
        <x:v>NO</x:v>
      </x:c>
      <x:c r="P540" t="str">
        <x:v>NO</x:v>
      </x:c>
    </x:row>
    <x:row r="541">
      <x:c r="A541" t="str">
        <x:v>LP</x:v>
      </x:c>
      <x:c r="B541" t="n">
        <x:v>31</x:v>
      </x:c>
      <x:c r="C541" t="n">
        <x:v>0.15</x:v>
      </x:c>
      <x:c r="D541" t="n">
        <x:v>14</x:v>
      </x:c>
      <x:c r="E541" t="n">
        <x:v>45</x:v>
      </x:c>
      <x:c r="F541" t="n">
        <x:v>-0.1299999999999999</x:v>
      </x:c>
      <x:c r="G541" t="n">
        <x:v>0.0200000000000001</x:v>
      </x:c>
      <x:c r="H541" t="n">
        <x:v>1.635549146188096e-12</x:v>
      </x:c>
      <x:c r="I541" t="n">
        <x:v>3.535429495798751e-11</x:v>
      </x:c>
      <x:c r="J541" t="n">
        <x:v>1.3347785822257041</x:v>
      </x:c>
      <x:c r="K541" t="n">
        <x:v>9.108429191359944</x:v>
      </x:c>
      <x:c r="L541" t="n">
        <x:v>0.9896010924354166</x:v>
      </x:c>
      <x:c r="M541" t="n">
        <x:v>109.78841455435347</x:v>
      </x:c>
      <x:c r="N541" t="n">
        <x:v>8.794938354360188e-8</x:v>
      </x:c>
      <x:c r="O541" t="str">
        <x:v>NO</x:v>
      </x:c>
      <x:c r="P541" t="str">
        <x:v>NO</x:v>
      </x:c>
    </x:row>
    <x:row r="542">
      <x:c r="A542" t="str">
        <x:v>LP</x:v>
      </x:c>
      <x:c r="B542" t="n">
        <x:v>31</x:v>
      </x:c>
      <x:c r="C542" t="n">
        <x:v>0.15</x:v>
      </x:c>
      <x:c r="D542" t="n">
        <x:v>15</x:v>
      </x:c>
      <x:c r="E542" t="n">
        <x:v>46</x:v>
      </x:c>
      <x:c r="F542" t="n">
        <x:v>-0.1249999999999999</x:v>
      </x:c>
      <x:c r="G542" t="n">
        <x:v>0.0250000000000001</x:v>
      </x:c>
      <x:c r="H542" t="n">
        <x:v>1.724941612654433e-12</x:v>
      </x:c>
      <x:c r="I542" t="n">
        <x:v>4.0255296840700295e-11</x:v>
      </x:c>
      <x:c r="J542" t="n">
        <x:v>1.3680486341823066</x:v>
      </x:c>
      <x:c r="K542" t="n">
        <x:v>9.330941023818873</x:v>
      </x:c>
      <x:c r="L542" t="n">
        <x:v>0.9913126703491447</x:v>
      </x:c>
      <x:c r="M542" t="n">
        <x:v>107.17032692065287</x:v>
      </x:c>
      <x:c r="N542" t="n">
        <x:v>1.0014139854044565e-7</x:v>
      </x:c>
      <x:c r="O542" t="str">
        <x:v>NO</x:v>
      </x:c>
      <x:c r="P542" t="str">
        <x:v>NO</x:v>
      </x:c>
    </x:row>
    <x:row r="543">
      <x:c r="A543" t="str">
        <x:v>LP</x:v>
      </x:c>
      <x:c r="B543" t="n">
        <x:v>31</x:v>
      </x:c>
      <x:c r="C543" t="n">
        <x:v>0.15</x:v>
      </x:c>
      <x:c r="D543" t="n">
        <x:v>16</x:v>
      </x:c>
      <x:c r="E543" t="n">
        <x:v>47</x:v>
      </x:c>
      <x:c r="F543" t="n">
        <x:v>-0.1199999999999999</x:v>
      </x:c>
      <x:c r="G543" t="n">
        <x:v>0.0300000000000001</x:v>
      </x:c>
      <x:c r="H543" t="n">
        <x:v>1.827110598673053e-12</x:v>
      </x:c>
      <x:c r="I543" t="n">
        <x:v>4.5855034789212085e-11</x:v>
      </x:c>
      <x:c r="J543" t="n">
        <x:v>1.3996221904064203</x:v>
      </x:c>
      <x:c r="K543" t="n">
        <x:v>9.539507153236213</x:v>
      </x:c>
      <x:c r="L543" t="n">
        <x:v>0.9927871901908324</x:v>
      </x:c>
      <x:c r="M543" t="n">
        <x:v>104.82721842299334</x:v>
      </x:c>
      <x:c r="N543" t="n">
        <x:v>1.1407162968103464e-7</x:v>
      </x:c>
      <x:c r="O543" t="str">
        <x:v>NO</x:v>
      </x:c>
      <x:c r="P543" t="str">
        <x:v>NO</x:v>
      </x:c>
    </x:row>
    <x:row r="544">
      <x:c r="A544" t="str">
        <x:v>LP</x:v>
      </x:c>
      <x:c r="B544" t="n">
        <x:v>31</x:v>
      </x:c>
      <x:c r="C544" t="n">
        <x:v>0.15</x:v>
      </x:c>
      <x:c r="D544" t="n">
        <x:v>17</x:v>
      </x:c>
      <x:c r="E544" t="n">
        <x:v>48</x:v>
      </x:c>
      <x:c r="F544" t="n">
        <x:v>-0.1149999999999999</x:v>
      </x:c>
      <x:c r="G544" t="n">
        <x:v>0.0350000000000001</x:v>
      </x:c>
      <x:c r="H544" t="n">
        <x:v>1.943880279456145e-12</x:v>
      </x:c>
      <x:c r="I544" t="n">
        <x:v>5.2252985954002747e-11</x:v>
      </x:c>
      <x:c r="J544" t="n">
        <x:v>1.4294415989974762</x:v>
      </x:c>
      <x:c r="K544" t="n">
        <x:v>9.73404873892587</x:v>
      </x:c>
      <x:c r="L544" t="n">
        <x:v>0.9940475407380562</x:v>
      </x:c>
      <x:c r="M544" t="n">
        <x:v>102.73217515349607</x:v>
      </x:c>
      <x:c r="N544" t="n">
        <x:v>1.2998754206322401e-7</x:v>
      </x:c>
      <x:c r="O544" t="str">
        <x:v>NO</x:v>
      </x:c>
      <x:c r="P544" t="str">
        <x:v>NO</x:v>
      </x:c>
    </x:row>
    <x:row r="545">
      <x:c r="A545" t="str">
        <x:v>LP</x:v>
      </x:c>
      <x:c r="B545" t="n">
        <x:v>31</x:v>
      </x:c>
      <x:c r="C545" t="n">
        <x:v>0.15</x:v>
      </x:c>
      <x:c r="D545" t="n">
        <x:v>18</x:v>
      </x:c>
      <x:c r="E545" t="n">
        <x:v>49</x:v>
      </x:c>
      <x:c r="F545" t="n">
        <x:v>-0.1099999999999999</x:v>
      </x:c>
      <x:c r="G545" t="n">
        <x:v>0.0400000000000001</x:v>
      </x:c>
      <x:c r="H545" t="n">
        <x:v>2.077335806080723e-12</x:v>
      </x:c>
      <x:c r="I545" t="n">
        <x:v>5.956275878741194e-11</x:v>
      </x:c>
      <x:c r="J545" t="n">
        <x:v>1.4574680979972285</x:v>
      </x:c>
      <x:c r="K545" t="n">
        <x:v>9.914645480793514</x:v>
      </x:c>
      <x:c r="L545" t="n">
        <x:v>0.9951165372792953</x:v>
      </x:c>
      <x:c r="M545" t="n">
        <x:v>100.86089330548262</x:v>
      </x:c>
      <x:c r="N545" t="n">
        <x:v>1.4817175462653692e-7</x:v>
      </x:c>
      <x:c r="O545" t="str">
        <x:v>NO</x:v>
      </x:c>
      <x:c r="P545" t="str">
        <x:v>NO</x:v>
      </x:c>
    </x:row>
    <x:row r="546">
      <x:c r="A546" t="str">
        <x:v>LP</x:v>
      </x:c>
      <x:c r="B546" t="n">
        <x:v>31</x:v>
      </x:c>
      <x:c r="C546" t="n">
        <x:v>0.15</x:v>
      </x:c>
      <x:c r="D546" t="n">
        <x:v>19</x:v>
      </x:c>
      <x:c r="E546" t="n">
        <x:v>50</x:v>
      </x:c>
      <x:c r="F546" t="n">
        <x:v>-0.1049999999999999</x:v>
      </x:c>
      <x:c r="G546" t="n">
        <x:v>0.0450000000000001</x:v>
      </x:c>
      <x:c r="H546" t="n">
        <x:v>2.229860394880488e-12</x:v>
      </x:c>
      <x:c r="I546" t="n">
        <x:v>6.791409370813255e-11</x:v>
      </x:c>
      <x:c r="J546" t="n">
        <x:v>1.4836822355699493</x:v>
      </x:c>
      <x:c r="K546" t="n">
        <x:v>10.0815217683696</x:v>
      </x:c>
      <x:c r="L546" t="n">
        <x:v>0.9960164094116704</x:v>
      </x:c>
      <x:c r="M546" t="n">
        <x:v>99.19137437539072</x:v>
      </x:c>
      <x:c r="N546" t="n">
        <x:v>1.6894701712056637e-7</x:v>
      </x:c>
      <x:c r="O546" t="str">
        <x:v>NO</x:v>
      </x:c>
      <x:c r="P546" t="str">
        <x:v>NO</x:v>
      </x:c>
    </x:row>
    <x:row r="547">
      <x:c r="A547" t="str">
        <x:v>LP</x:v>
      </x:c>
      <x:c r="B547" t="n">
        <x:v>31</x:v>
      </x:c>
      <x:c r="C547" t="n">
        <x:v>0.1499999999999999</x:v>
      </x:c>
      <x:c r="D547" t="n">
        <x:v>20</x:v>
      </x:c>
      <x:c r="E547" t="n">
        <x:v>51</x:v>
      </x:c>
      <x:c r="F547" t="n">
        <x:v>-0.0999999999999999</x:v>
      </x:c>
      <x:c r="G547" t="n">
        <x:v>0.05</x:v>
      </x:c>
      <x:c r="H547" t="n">
        <x:v>2.404177765986292e-12</x:v>
      </x:c>
      <x:c r="I547" t="n">
        <x:v>7.745514553794716e-11</x:v>
      </x:c>
      <x:c r="J547" t="n">
        <x:v>1.5080836978686687</x:v>
      </x:c>
      <x:c r="K547" t="n">
        <x:v>10.235030131916433</x:v>
      </x:c>
      <x:c r="L547" t="n">
        <x:v>0.9967683737371995</x:v>
      </x:c>
      <x:c r="M547" t="n">
        <x:v>97.70366936992666</x:v>
      </x:c>
      <x:c r="N547" t="n">
        <x:v>1.9268188802626286e-7</x:v>
      </x:c>
      <x:c r="O547" t="str">
        <x:v>NO</x:v>
      </x:c>
      <x:c r="P547" t="str">
        <x:v>NO</x:v>
      </x:c>
    </x:row>
    <x:row r="548">
      <x:c r="A548" t="str">
        <x:v>LP</x:v>
      </x:c>
      <x:c r="B548" t="n">
        <x:v>31</x:v>
      </x:c>
      <x:c r="C548" t="n">
        <x:v>0.1499999999999999</x:v>
      </x:c>
      <x:c r="D548" t="n">
        <x:v>21</x:v>
      </x:c>
      <x:c r="E548" t="n">
        <x:v>52</x:v>
      </x:c>
      <x:c r="F548" t="n">
        <x:v>-0.0949999999999999</x:v>
      </x:c>
      <x:c r="G548" t="n">
        <x:v>0.055</x:v>
      </x:c>
      <x:c r="H548" t="n">
        <x:v>2.60340067369274e-12</x:v>
      </x:c>
      <x:c r="I548" t="n">
        <x:v>8.835508707411416e-11</x:v>
      </x:c>
      <x:c r="J548" t="n">
        <x:v>1.530690546317727</x:v>
      </x:c>
      <x:c r="K548" t="n">
        <x:v>10.375632778744238</x:v>
      </x:c>
      <x:c r="L548" t="n">
        <x:v>0.9973923004719908</x:v>
      </x:c>
      <x:c r="M548" t="n">
        <x:v>96.37966390335471</x:v>
      </x:c>
      <x:c r="N548" t="n">
        <x:v>2.1979721135278858e-7</x:v>
      </x:c>
      <x:c r="O548" t="str">
        <x:v>NO</x:v>
      </x:c>
      <x:c r="P548" t="str">
        <x:v>NO</x:v>
      </x:c>
    </x:row>
    <x:row r="549">
      <x:c r="A549" t="str">
        <x:v>LP</x:v>
      </x:c>
      <x:c r="B549" t="n">
        <x:v>31</x:v>
      </x:c>
      <x:c r="C549" t="n">
        <x:v>0.1499999999999999</x:v>
      </x:c>
      <x:c r="D549" t="n">
        <x:v>22</x:v>
      </x:c>
      <x:c r="E549" t="n">
        <x:v>53</x:v>
      </x:c>
      <x:c r="F549" t="n">
        <x:v>-0.0899999999999999</x:v>
      </x:c>
      <x:c r="G549" t="n">
        <x:v>0.06</x:v>
      </x:c>
      <x:c r="H549" t="n">
        <x:v>2.831086383090201e-12</x:v>
      </x:c>
      <x:c r="I549" t="n">
        <x:v>1.008070785903204e-10</x:v>
      </x:c>
      <x:c r="J549" t="n">
        <x:v>1.5515379080711025</x:v>
      </x:c>
      <x:c r="K549" t="n">
        <x:v>10.503882042260724</x:v>
      </x:c>
      <x:c r="L549" t="n">
        <x:v>0.9979064761667121</x:v>
      </x:c>
      <x:c r="M549" t="n">
        <x:v>95.20289698386337</x:v>
      </x:c>
      <x:c r="N549" t="n">
        <x:v>2.5077350373938233e-7</x:v>
      </x:c>
      <x:c r="O549" t="str">
        <x:v>NO</x:v>
      </x:c>
      <x:c r="P549" t="str">
        <x:v>NO</x:v>
      </x:c>
    </x:row>
    <x:row r="550">
      <x:c r="A550" t="str">
        <x:v>LP</x:v>
      </x:c>
      <x:c r="B550" t="n">
        <x:v>31</x:v>
      </x:c>
      <x:c r="C550" t="n">
        <x:v>0.1499999999999999</x:v>
      </x:c>
      <x:c r="D550" t="n">
        <x:v>23</x:v>
      </x:c>
      <x:c r="E550" t="n">
        <x:v>54</x:v>
      </x:c>
      <x:c r="F550" t="n">
        <x:v>-0.0849999999999999</x:v>
      </x:c>
      <x:c r="G550" t="n">
        <x:v>0.065</x:v>
      </x:c>
      <x:c r="H550" t="n">
        <x:v>3.091300073124645e-12</x:v>
      </x:c>
      <x:c r="I550" t="n">
        <x:v>1.1503165422272059e-10</x:v>
      </x:c>
      <x:c r="J550" t="n">
        <x:v>1.5706762010829518</x:v>
      </x:c>
      <x:c r="K550" t="n">
        <x:v>10.6204005603009</x:v>
      </x:c>
      <x:c r="L550" t="n">
        <x:v>0.9983274586457772</x:v>
      </x:c>
      <x:c r="M550" t="n">
        <x:v>94.15840714501898</x:v>
      </x:c>
      <x:c r="N550" t="n">
        <x:v>2.8615937862461447e-7</x:v>
      </x:c>
      <x:c r="O550" t="str">
        <x:v>NO</x:v>
      </x:c>
      <x:c r="P550" t="str">
        <x:v>NO</x:v>
      </x:c>
    </x:row>
    <x:row r="551">
      <x:c r="A551" t="str">
        <x:v>LP</x:v>
      </x:c>
      <x:c r="B551" t="n">
        <x:v>31</x:v>
      </x:c>
      <x:c r="C551" t="n">
        <x:v>0.1499999999999999</x:v>
      </x:c>
      <x:c r="D551" t="n">
        <x:v>24</x:v>
      </x:c>
      <x:c r="E551" t="n">
        <x:v>55</x:v>
      </x:c>
      <x:c r="F551" t="n">
        <x:v>-0.0799999999999999</x:v>
      </x:c>
      <x:c r="G551" t="n">
        <x:v>0.07</x:v>
      </x:c>
      <x:c r="H551" t="n">
        <x:v>3.388687288649685e-12</x:v>
      </x:c>
      <x:c r="I551" t="n">
        <x:v>1.312805831898021e-10</x:v>
      </x:c>
      <x:c r="J551" t="n">
        <x:v>1.5881690037521903</x:v>
      </x:c>
      <x:c r="K551" t="n">
        <x:v>10.725861935505808</x:v>
      </x:c>
      <x:c r="L551" t="n">
        <x:v>0.9986700153390563</x:v>
      </x:c>
      <x:c r="M551" t="n">
        <x:v>93.23260042064322</x:v>
      </x:c>
      <x:c r="N551" t="n">
        <x:v>3.265811516396558e-7</x:v>
      </x:c>
      <x:c r="O551" t="str">
        <x:v>NO</x:v>
      </x:c>
      <x:c r="P551" t="str">
        <x:v>NO</x:v>
      </x:c>
    </x:row>
    <x:row r="552">
      <x:c r="A552" t="str">
        <x:v>LP</x:v>
      </x:c>
      <x:c r="B552" t="n">
        <x:v>31</x:v>
      </x:c>
      <x:c r="C552" t="n">
        <x:v>0.15</x:v>
      </x:c>
      <x:c r="D552" t="n">
        <x:v>25</x:v>
      </x:c>
      <x:c r="E552" t="n">
        <x:v>56</x:v>
      </x:c>
      <x:c r="F552" t="n">
        <x:v>-0.0749999999999999</x:v>
      </x:c>
      <x:c r="G552" t="n">
        <x:v>0.0750000000000001</x:v>
      </x:c>
      <x:c r="H552" t="n">
        <x:v>3.728556725636688e-12</x:v>
      </x:c>
      <x:c r="I552" t="n">
        <x:v>1.5105804807905818e-10</x:v>
      </x:c>
      <x:c r="J552" t="n">
        <x:v>1.6076031138308409</x:v>
      </x:c>
      <x:c r="K552" t="n">
        <x:v>10.825221416064243</x:v>
      </x:c>
      <x:c r="L552" t="n">
        <x:v>0.9989245423909717</x:v>
      </x:c>
      <x:c r="M552" t="n">
        <x:v>92.37686339755005</x:v>
      </x:c>
      <x:c r="N552" t="n">
        <x:v>3.7578071415765543e-7</x:v>
      </x:c>
      <x:c r="O552" t="str">
        <x:v>NO</x:v>
      </x:c>
      <x:c r="P552" t="str">
        <x:v>NO</x:v>
      </x:c>
    </x:row>
    <x:row r="553">
      <x:c r="A553" t="str">
        <x:v>LP</x:v>
      </x:c>
      <x:c r="B553" t="n">
        <x:v>31</x:v>
      </x:c>
      <x:c r="C553" t="n">
        <x:v>0.15</x:v>
      </x:c>
      <x:c r="D553" t="n">
        <x:v>26</x:v>
      </x:c>
      <x:c r="E553" t="n">
        <x:v>57</x:v>
      </x:c>
      <x:c r="F553" t="n">
        <x:v>-0.0699999999999999</x:v>
      </x:c>
      <x:c r="G553" t="n">
        <x:v>0.0800000000000001</x:v>
      </x:c>
      <x:c r="H553" t="n">
        <x:v>4.116974817444895e-12</x:v>
      </x:c>
      <x:c r="I553" t="n">
        <x:v>1.7243119146362487e-10</x:v>
      </x:c>
      <x:c r="J553" t="n">
        <x:v>1.6220376185649368</x:v>
      </x:c>
      <x:c r="K553" t="n">
        <x:v>10.91467083304053</x:v>
      </x:c>
      <x:c r="L553" t="n">
        <x:v>0.9991332182171578</x:v>
      </x:c>
      <x:c r="M553" t="n">
        <x:v>91.61980377574311</x:v>
      </x:c>
      <x:c r="N553" t="n">
        <x:v>4.289497785470151e-7</x:v>
      </x:c>
      <x:c r="O553" t="str">
        <x:v>NO</x:v>
      </x:c>
      <x:c r="P553" t="str">
        <x:v>NO</x:v>
      </x:c>
    </x:row>
    <x:row r="554">
      <x:c r="A554" t="str">
        <x:v>LP</x:v>
      </x:c>
      <x:c r="B554" t="n">
        <x:v>31</x:v>
      </x:c>
      <x:c r="C554" t="n">
        <x:v>0.1499999999999999</x:v>
      </x:c>
      <x:c r="D554" t="n">
        <x:v>27</x:v>
      </x:c>
      <x:c r="E554" t="n">
        <x:v>58</x:v>
      </x:c>
      <x:c r="F554" t="n">
        <x:v>-0.0649999999999998</x:v>
      </x:c>
      <x:c r="G554" t="n">
        <x:v>0.0850000000000001</x:v>
      </x:c>
      <x:c r="H554" t="n">
        <x:v>4.56087379943123e-12</x:v>
      </x:c>
      <x:c r="I554" t="n">
        <x:v>1.9684298301248878e-10</x:v>
      </x:c>
      <x:c r="J554" t="n">
        <x:v>1.6350718824639703</x:v>
      </x:c>
      <x:c r="K554" t="n">
        <x:v>10.994933624935504</x:v>
      </x:c>
      <x:c r="L554" t="n">
        <x:v>0.9993036542759668</x:v>
      </x:c>
      <x:c r="M554" t="n">
        <x:v>90.95098107114457</x:v>
      </x:c>
      <x:c r="N554" t="n">
        <x:v>4.896779593937505e-7</x:v>
      </x:c>
      <x:c r="O554" t="str">
        <x:v>NO</x:v>
      </x:c>
      <x:c r="P554" t="str">
        <x:v>NO</x:v>
      </x:c>
    </x:row>
    <x:row r="555">
      <x:c r="A555" t="str">
        <x:v>LP</x:v>
      </x:c>
      <x:c r="B555" t="n">
        <x:v>31</x:v>
      </x:c>
      <x:c r="C555" t="n">
        <x:v>0.14999999999999988</x:v>
      </x:c>
      <x:c r="D555" t="n">
        <x:v>28</x:v>
      </x:c>
      <x:c r="E555" t="n">
        <x:v>59</x:v>
      </x:c>
      <x:c r="F555" t="n">
        <x:v>-0.0599999999999998</x:v>
      </x:c>
      <x:c r="G555" t="n">
        <x:v>0.0900000000000001</x:v>
      </x:c>
      <x:c r="H555" t="n">
        <x:v>5.068175167828729e-12</x:v>
      </x:c>
      <x:c r="I555" t="n">
        <x:v>2.2472416984666888e-10</x:v>
      </x:c>
      <x:c r="J555" t="n">
        <x:v>1.6467981680855015</x:v>
      </x:c>
      <x:c r="K555" t="n">
        <x:v>11.066722505077943</x:v>
      </x:c>
      <x:c r="L555" t="n">
        <x:v>0.9994424051312597</x:v>
      </x:c>
      <x:c r="M555" t="n">
        <x:v>90.36098985414625</x:v>
      </x:c>
      <x:c r="N555" t="n">
        <x:v>5.590368080836782e-7</x:v>
      </x:c>
      <x:c r="O555" t="str">
        <x:v>NO</x:v>
      </x:c>
      <x:c r="P555" t="str">
        <x:v>NO</x:v>
      </x:c>
    </x:row>
    <x:row r="556">
      <x:c r="A556" t="str">
        <x:v>LP</x:v>
      </x:c>
      <x:c r="B556" t="n">
        <x:v>31</x:v>
      </x:c>
      <x:c r="C556" t="n">
        <x:v>0.15</x:v>
      </x:c>
      <x:c r="D556" t="n">
        <x:v>29</x:v>
      </x:c>
      <x:c r="E556" t="n">
        <x:v>60</x:v>
      </x:c>
      <x:c r="F556" t="n">
        <x:v>-0.0549999999999999</x:v>
      </x:c>
      <x:c r="G556" t="n">
        <x:v>0.0950000000000001</x:v>
      </x:c>
      <x:c r="H556" t="n">
        <x:v>5.647930720840611e-12</x:v>
      </x:c>
      <x:c r="I556" t="n">
        <x:v>2.5656628572766e-10</x:v>
      </x:c>
      <x:c r="J556" t="n">
        <x:v>1.657310226123709</x:v>
      </x:c>
      <x:c r="K556" t="n">
        <x:v>11.13072931146364</x:v>
      </x:c>
      <x:c r="L556" t="n">
        <x:v>0.9995550460154926</x:v>
      </x:c>
      <x:c r="M556" t="n">
        <x:v>89.84137265561664</x:v>
      </x:c>
      <x:c r="N556" t="n">
        <x:v>6.382490923559288e-7</x:v>
      </x:c>
      <x:c r="O556" t="str">
        <x:v>NO</x:v>
      </x:c>
      <x:c r="P556" t="str">
        <x:v>NO</x:v>
      </x:c>
    </x:row>
    <x:row r="557">
      <x:c r="A557" t="str">
        <x:v>LP</x:v>
      </x:c>
      <x:c r="B557" t="n">
        <x:v>31</x:v>
      </x:c>
      <x:c r="C557" t="n">
        <x:v>0.15</x:v>
      </x:c>
      <x:c r="D557" t="n">
        <x:v>30</x:v>
      </x:c>
      <x:c r="E557" t="n">
        <x:v>61</x:v>
      </x:c>
      <x:c r="F557" t="n">
        <x:v>-0.0499999999999999</x:v>
      </x:c>
      <x:c r="G557" t="n">
        <x:v>0.1000000000000001</x:v>
      </x:c>
      <x:c r="H557" t="n">
        <x:v>6.310483680331215e-12</x:v>
      </x:c>
      <x:c r="I557" t="n">
        <x:v>2.929301697023655e-10</x:v>
      </x:c>
      <x:c r="J557" t="n">
        <x:v>1.6667014552593375</x:v>
      </x:c>
      <x:c r="K557" t="n">
        <x:v>11.187617059752858</x:v>
      </x:c>
      <x:c r="L557" t="n">
        <x:v>0.9996462684706277</x:v>
      </x:c>
      <x:c r="M557" t="n">
        <x:v>89.38453959042559</x:v>
      </x:c>
      <x:c r="N557" t="n">
        <x:v>7.287099877754783e-7</x:v>
      </x:c>
      <x:c r="O557" t="str">
        <x:v>NO</x:v>
      </x:c>
      <x:c r="P557" t="str">
        <x:v>NO</x:v>
      </x:c>
    </x:row>
    <x:row r="558">
      <x:c r="A558" t="str">
        <x:v>LP</x:v>
      </x:c>
      <x:c r="B558" t="n">
        <x:v>31</x:v>
      </x:c>
      <x:c r="C558" t="n">
        <x:v>0.15</x:v>
      </x:c>
      <x:c r="D558" t="n">
        <x:v>31</x:v>
      </x:c>
      <x:c r="E558" t="n">
        <x:v>62</x:v>
      </x:c>
      <x:c r="F558" t="n">
        <x:v>-0.0449999999999999</x:v>
      </x:c>
      <x:c r="G558" t="n">
        <x:v>0.1050000000000001</x:v>
      </x:c>
      <x:c r="H558" t="n">
        <x:v>7.067652746641881e-12</x:v>
      </x:c>
      <x:c r="I558" t="n">
        <x:v>3.3445566569647457e-10</x:v>
      </x:c>
      <x:c r="J558" t="n">
        <x:v>1.6750633540542736</x:v>
      </x:c>
      <x:c r="K558" t="n">
        <x:v>11.238014054999466</x:v>
      </x:c>
      <x:c r="L558" t="n">
        <x:v>0.9997199838857436</x:v>
      </x:c>
      <x:c r="M558" t="n">
        <x:v>88.9836936585009</x:v>
      </x:c>
      <x:c r="N558" t="n">
        <x:v>8.320112070011521e-7</x:v>
      </x:c>
      <x:c r="O558" t="str">
        <x:v>NO</x:v>
      </x:c>
      <x:c r="P558" t="str">
        <x:v>NO</x:v>
      </x:c>
    </x:row>
    <x:row r="559">
      <x:c r="A559" t="str">
        <x:v>LP</x:v>
      </x:c>
      <x:c r="B559" t="n">
        <x:v>31</x:v>
      </x:c>
      <x:c r="C559" t="n">
        <x:v>0.15</x:v>
      </x:c>
      <x:c r="D559" t="n">
        <x:v>32</x:v>
      </x:c>
      <x:c r="E559" t="n">
        <x:v>63</x:v>
      </x:c>
      <x:c r="F559" t="n">
        <x:v>-0.0399999999999999</x:v>
      </x:c>
      <x:c r="G559" t="n">
        <x:v>0.1100000000000001</x:v>
      </x:c>
      <x:c r="H559" t="n">
        <x:v>7.932942342892279e-12</x:v>
      </x:c>
      <x:c r="I559" t="n">
        <x:v>3.8187266400736416e-10</x:v>
      </x:c>
      <x:c r="J559" t="n">
        <x:v>1.6824842731082885</x:v>
      </x:c>
      <x:c r="K559" t="n">
        <x:v>11.282509855084305</x:v>
      </x:c>
      <x:c r="L559" t="n">
        <x:v>0.9997794274263744</x:v>
      </x:c>
      <x:c r="M559" t="n">
        <x:v>88.6327610473448</x:v>
      </x:c>
      <x:c r="N559" t="n">
        <x:v>9.499684672402951e-7</x:v>
      </x:c>
      <x:c r="O559" t="str">
        <x:v>NO</x:v>
      </x:c>
      <x:c r="P559" t="str">
        <x:v>NO</x:v>
      </x:c>
    </x:row>
    <x:row r="560">
      <x:c r="A560" t="str">
        <x:v>LP</x:v>
      </x:c>
      <x:c r="B560" t="n">
        <x:v>31</x:v>
      </x:c>
      <x:c r="C560" t="n">
        <x:v>0.15</x:v>
      </x:c>
      <x:c r="D560" t="n">
        <x:v>33</x:v>
      </x:c>
      <x:c r="E560" t="n">
        <x:v>64</x:v>
      </x:c>
      <x:c r="F560" t="n">
        <x:v>-0.0349999999999999</x:v>
      </x:c>
      <x:c r="G560" t="n">
        <x:v>0.1150000000000001</x:v>
      </x:c>
      <x:c r="H560" t="n">
        <x:v>8.921782765968998e-12</x:v>
      </x:c>
      <x:c r="I560" t="n">
        <x:v>4.3601366699345075e-10</x:v>
      </x:c>
      <x:c r="J560" t="n">
        <x:v>1.689048458069344</x:v>
      </x:c>
      <x:c r="K560" t="n">
        <x:v>11.321652842270186</x:v>
      </x:c>
      <x:c r="L560" t="n">
        <x:v>0.9998272571924878</x:v>
      </x:c>
      <x:c r="M560" t="n">
        <x:v>88.32632601720746</x:v>
      </x:c>
      <x:c r="N560" t="n">
        <x:v>0.0000010846527493824519</x:v>
      </x:c>
      <x:c r="O560" t="str">
        <x:v>NO</x:v>
      </x:c>
      <x:c r="P560" t="str">
        <x:v>NO</x:v>
      </x:c>
    </x:row>
    <x:row r="561">
      <x:c r="A561" t="str">
        <x:v>LP</x:v>
      </x:c>
      <x:c r="B561" t="n">
        <x:v>31</x:v>
      </x:c>
      <x:c r="C561" t="n">
        <x:v>0.15</x:v>
      </x:c>
      <x:c r="D561" t="n">
        <x:v>34</x:v>
      </x:c>
      <x:c r="E561" t="n">
        <x:v>65</x:v>
      </x:c>
      <x:c r="F561" t="n">
        <x:v>-0.0299999999999999</x:v>
      </x:c>
      <x:c r="G561" t="n">
        <x:v>0.1200000000000001</x:v>
      </x:c>
      <x:c r="H561" t="n">
        <x:v>1.005180448712331e-11</x:v>
      </x:c>
      <x:c r="I561" t="n">
        <x:v>4.978280853064774e-10</x:v>
      </x:c>
      <x:c r="J561" t="n">
        <x:v>1.694835361232288</x:v>
      </x:c>
      <x:c r="K561" t="n">
        <x:v>11.355949145044383</x:v>
      </x:c>
      <x:c r="L561" t="n">
        <x:v>0.9998656453759509</x:v>
      </x:c>
      <x:c r="M561" t="n">
        <x:v>88.05957011848626</x:v>
      </x:c>
      <x:c r="N561" t="n">
        <x:v>0.0000012384258621314808</x:v>
      </x:c>
      <x:c r="O561" t="str">
        <x:v>NO</x:v>
      </x:c>
      <x:c r="P561" t="str">
        <x:v>NO</x:v>
      </x:c>
    </x:row>
    <x:row r="562">
      <x:c r="A562" t="str">
        <x:v>LP</x:v>
      </x:c>
      <x:c r="B562" t="n">
        <x:v>31</x:v>
      </x:c>
      <x:c r="C562" t="n">
        <x:v>0.15000000000000002</x:v>
      </x:c>
      <x:c r="D562" t="n">
        <x:v>35</x:v>
      </x:c>
      <x:c r="E562" t="n">
        <x:v>66</x:v>
      </x:c>
      <x:c r="F562" t="n">
        <x:v>-0.0249999999999999</x:v>
      </x:c>
      <x:c r="G562" t="n">
        <x:v>0.1250000000000001</x:v>
      </x:c>
      <x:c r="H562" t="n">
        <x:v>1.134315144431181e-11</x:v>
      </x:c>
      <x:c r="I562" t="n">
        <x:v>5.683984980839916e-10</x:v>
      </x:c>
      <x:c r="J562" t="n">
        <x:v>1.6999191912334712</x:v>
      </x:c>
      <x:c r="K562" t="n">
        <x:v>11.385862655714304</x:v>
      </x:c>
      <x:c r="L562" t="n">
        <x:v>0.9998963596991396</x:v>
      </x:c>
      <x:c r="M562" t="n">
        <x:v>87.82821558963062</x:v>
      </x:c>
      <x:c r="N562" t="n">
        <x:v>0.000001413980891798326</x:v>
      </x:c>
      <x:c r="O562" t="str">
        <x:v>NO</x:v>
      </x:c>
      <x:c r="P562" t="str">
        <x:v>NO</x:v>
      </x:c>
    </x:row>
    <x:row r="563">
      <x:c r="A563" t="str">
        <x:v>LP</x:v>
      </x:c>
      <x:c r="B563" t="n">
        <x:v>31</x:v>
      </x:c>
      <x:c r="C563" t="n">
        <x:v>0.15</x:v>
      </x:c>
      <x:c r="D563" t="n">
        <x:v>36</x:v>
      </x:c>
      <x:c r="E563" t="n">
        <x:v>67</x:v>
      </x:c>
      <x:c r="F563" t="n">
        <x:v>-0.0199999999999999</x:v>
      </x:c>
      <x:c r="G563" t="n">
        <x:v>0.1300000000000001</x:v>
      </x:c>
      <x:c r="H563" t="n">
        <x:v>1.281883885238538e-11</x:v>
      </x:c>
      <x:c r="I563" t="n">
        <x:v>6.48959140958066e-10</x:v>
      </x:c>
      <x:c r="J563" t="n">
        <x:v>1.704368666108353</x:v>
      </x:c>
      <x:c r="K563" t="n">
        <x:v>11.411815905134612</x:v>
      </x:c>
      <x:c r="L563" t="n">
        <x:v>0.9999208345310814</x:v>
      </x:c>
      <x:c r="M563" t="n">
        <x:v>87.62847283139766</x:v>
      </x:c>
      <x:c r="N563" t="n">
        <x:v>0.0000016143881941379913</x:v>
      </x:c>
      <x:c r="O563" t="str">
        <x:v>NO</x:v>
      </x:c>
      <x:c r="P563" t="str">
        <x:v>NO</x:v>
      </x:c>
    </x:row>
    <x:row r="564">
      <x:c r="A564" t="str">
        <x:v>LP</x:v>
      </x:c>
      <x:c r="B564" t="n">
        <x:v>31</x:v>
      </x:c>
      <x:c r="C564" t="n">
        <x:v>0.15</x:v>
      </x:c>
      <x:c r="D564" t="n">
        <x:v>37</x:v>
      </x:c>
      <x:c r="E564" t="n">
        <x:v>68</x:v>
      </x:c>
      <x:c r="F564" t="n">
        <x:v>-0.0149999999999999</x:v>
      </x:c>
      <x:c r="G564" t="n">
        <x:v>0.1350000000000001</x:v>
      </x:c>
      <x:c r="H564" t="n">
        <x:v>1.4505161836316829e-11</x:v>
      </x:c>
      <x:c r="I564" t="n">
        <x:v>7.409169199265799e-10</x:v>
      </x:c>
      <x:c r="J564" t="n">
        <x:v>1.7082469339924042</x:v>
      </x:c>
      <x:c r="K564" t="n">
        <x:v>11.434191579966338</x:v>
      </x:c>
      <x:c r="L564" t="n">
        <x:v>0.9999402318489424</x:v>
      </x:c>
      <x:c r="M564" t="n">
        <x:v>87.45699186570249</x:v>
      </x:c>
      <x:c r="N564" t="n">
        <x:v>0.0000018431476696679191</x:v>
      </x:c>
      <x:c r="O564" t="str">
        <x:v>NO</x:v>
      </x:c>
      <x:c r="P564" t="str">
        <x:v>NO</x:v>
      </x:c>
    </x:row>
    <x:row r="565">
      <x:c r="A565" t="str">
        <x:v>LP</x:v>
      </x:c>
      <x:c r="B565" t="n">
        <x:v>31</x:v>
      </x:c>
      <x:c r="C565" t="n">
        <x:v>0.1500000000000001</x:v>
      </x:c>
      <x:c r="D565" t="n">
        <x:v>38</x:v>
      </x:c>
      <x:c r="E565" t="n">
        <x:v>69</x:v>
      </x:c>
      <x:c r="F565" t="n">
        <x:v>-0.0099999999999999</x:v>
      </x:c>
      <x:c r="G565" t="n">
        <x:v>0.1400000000000002</x:v>
      </x:c>
      <x:c r="H565" t="n">
        <x:v>1.643216208159562e-11</x:v>
      </x:c>
      <x:c r="I565" t="n">
        <x:v>8.458752874830023e-10</x:v>
      </x:c>
      <x:c r="J565" t="n">
        <x:v>1.7116116270765254</x:v>
      </x:c>
      <x:c r="K565" t="n">
        <x:v>11.45333449614465</x:v>
      </x:c>
      <x:c r="L565" t="n">
        <x:v>0.9999554927044256</x:v>
      </x:c>
      <x:c r="M565" t="n">
        <x:v>87.31081767817169</x:v>
      </x:c>
      <x:c r="N565" t="n">
        <x:v>0.00000210424815930573</x:v>
      </x:c>
      <x:c r="O565" t="str">
        <x:v>NO</x:v>
      </x:c>
      <x:c r="P565" t="str">
        <x:v>NO</x:v>
      </x:c>
    </x:row>
    <x:row r="566">
      <x:c r="A566" t="str">
        <x:v>LP</x:v>
      </x:c>
      <x:c r="B566" t="n">
        <x:v>31</x:v>
      </x:c>
      <x:c r="C566" t="n">
        <x:v>0.1500000000000001</x:v>
      </x:c>
      <x:c r="D566" t="n">
        <x:v>39</x:v>
      </x:c>
      <x:c r="E566" t="n">
        <x:v>70</x:v>
      </x:c>
      <x:c r="F566" t="n">
        <x:v>-0.0049999999999999</x:v>
      </x:c>
      <x:c r="G566" t="n">
        <x:v>0.1450000000000002</x:v>
      </x:c>
      <x:c r="H566" t="n">
        <x:v>1.8634160708620268e-11</x:v>
      </x:c>
      <x:c r="I566" t="n">
        <x:v>9.656613603731478e-10</x:v>
      </x:c>
      <x:c r="J566" t="n">
        <x:v>1.7145150173472867</x:v>
      </x:c>
      <x:c r="K566" t="n">
        <x:v>11.46955387181338</x:v>
      </x:c>
      <x:c r="L566" t="n">
        <x:v>0.9999673801314239</x:v>
      </x:c>
      <x:c r="M566" t="n">
        <x:v>87.18734932293371</x:v>
      </x:c>
      <x:c r="N566" t="n">
        <x:v>0.0000024022349040652123</x:v>
      </x:c>
      <x:c r="O566" t="str">
        <x:v>NO</x:v>
      </x:c>
      <x:c r="P566" t="str">
        <x:v>NO</x:v>
      </x:c>
    </x:row>
    <x:row r="567">
      <x:c r="A567" t="str">
        <x:v>LP</x:v>
      </x:c>
      <x:c r="B567" t="n">
        <x:v>31</x:v>
      </x:c>
      <x:c r="C567" t="n">
        <x:v>0.15000000000000008</x:v>
      </x:c>
      <x:c r="D567" t="n">
        <x:v>40</x:v>
      </x:c>
      <x:c r="E567" t="n">
        <x:v>71</x:v>
      </x:c>
      <x:c r="F567" t="n">
        <x:v>9.887923813067799e-17</x:v>
      </x:c>
      <x:c r="G567" t="n">
        <x:v>0.1500000000000002</x:v>
      </x:c>
      <x:c r="H567" t="n">
        <x:v>2.115036673217059e-11</x:v>
      </x:c>
      <x:c r="I567" t="n">
        <x:v>1.102356706418941e-9</x:v>
      </x:c>
      <x:c r="J567" t="n">
        <x:v>1.717004246434426</x:v>
      </x:c>
      <x:c r="K567" t="n">
        <x:v>11.483125771730096</x:v>
      </x:c>
      <x:c r="L567" t="n">
        <x:v>0.99997651455164</x:v>
      </x:c>
      <x:c r="M567" t="n">
        <x:v>87.08430264361162</x:v>
      </x:c>
      <x:c r="N567" t="n">
        <x:v>0.000002742286132135048</x:v>
      </x:c>
      <x:c r="O567" t="str">
        <x:v>NO</x:v>
      </x:c>
      <x:c r="P567" t="str">
        <x:v>NO</x:v>
      </x:c>
    </x:row>
    <x:row r="568">
      <x:c r="A568" t="str">
        <x:v>LP</x:v>
      </x:c>
      <x:c r="B568" t="n">
        <x:v>31</x:v>
      </x:c>
      <x:c r="C568" t="n">
        <x:v>0.1500000000000002</x:v>
      </x:c>
      <x:c r="D568" t="n">
        <x:v>41</x:v>
      </x:c>
      <x:c r="E568" t="n">
        <x:v>72</x:v>
      </x:c>
      <x:c r="F568" t="n">
        <x:v>0.005</x:v>
      </x:c>
      <x:c r="G568" t="n">
        <x:v>0.1550000000000002</x:v>
      </x:c>
      <x:c r="H568" t="n">
        <x:v>2.4025571782320378e-11</x:v>
      </x:c>
      <x:c r="I568" t="n">
        <x:v>1.258332281556775e-9</x:v>
      </x:c>
      <x:c r="J568" t="n">
        <x:v>1.7191216060437675</x:v>
      </x:c>
      <x:c r="K568" t="n">
        <x:v>11.494295621657232</x:v>
      </x:c>
      <x:c r="L568" t="n">
        <x:v>0.9999834027482714</x:v>
      </x:c>
      <x:c r="M568" t="n">
        <x:v>86.99967644087975</x:v>
      </x:c>
      <x:c r="N568" t="n">
        <x:v>0.000003130299970270773</x:v>
      </x:c>
      <x:c r="O568" t="str">
        <x:v>NO</x:v>
      </x:c>
      <x:c r="P568" t="str">
        <x:v>NO</x:v>
      </x:c>
    </x:row>
    <x:row r="569">
      <x:c r="A569" t="str">
        <x:v>LP</x:v>
      </x:c>
      <x:c r="B569" t="n">
        <x:v>31</x:v>
      </x:c>
      <x:c r="C569" t="n">
        <x:v>0.1500000000000001</x:v>
      </x:c>
      <x:c r="D569" t="n">
        <x:v>42</x:v>
      </x:c>
      <x:c r="E569" t="n">
        <x:v>73</x:v>
      </x:c>
      <x:c r="F569" t="n">
        <x:v>0.0100000000000001</x:v>
      </x:c>
      <x:c r="G569" t="n">
        <x:v>0.1600000000000002</x:v>
      </x:c>
      <x:c r="H569" t="n">
        <x:v>2.7310943261342637e-11</x:v>
      </x:c>
      <x:c r="I569" t="n">
        <x:v>1.436288058139643e-9</x:v>
      </x:c>
      <x:c r="J569" t="n">
        <x:v>1.7209048495983943</x:v>
      </x:c>
      <x:c r="K569" t="n">
        <x:v>11.503280714752098</x:v>
      </x:c>
      <x:c r="L569" t="n">
        <x:v>0.9999884614233631</x:v>
      </x:c>
      <x:c r="M569" t="n">
        <x:v>86.93172189717797</x:v>
      </x:c>
      <x:c r="N569" t="n">
        <x:v>0.000003572993025445111</x:v>
      </x:c>
      <x:c r="O569" t="str">
        <x:v>NO</x:v>
      </x:c>
      <x:c r="P569" t="str">
        <x:v>NO</x:v>
      </x:c>
    </x:row>
    <x:row r="570">
      <x:c r="A570" t="str">
        <x:v>LP</x:v>
      </x:c>
      <x:c r="B570" t="n">
        <x:v>31</x:v>
      </x:c>
      <x:c r="C570" t="n">
        <x:v>0.1500000000000001</x:v>
      </x:c>
      <x:c r="D570" t="n">
        <x:v>43</x:v>
      </x:c>
      <x:c r="E570" t="n">
        <x:v>74</x:v>
      </x:c>
      <x:c r="F570" t="n">
        <x:v>0.0150000000000001</x:v>
      </x:c>
      <x:c r="G570" t="n">
        <x:v>0.1650000000000002</x:v>
      </x:c>
      <x:c r="H570" t="n">
        <x:v>3.106492981728692e-11</x:v>
      </x:c>
      <x:c r="I570" t="n">
        <x:v>1.639297952254774e-9</x:v>
      </x:c>
      <x:c r="J570" t="n">
        <x:v>1.7223875195963814</x:v>
      </x:c>
      <x:c r="K570" t="n">
        <x:v>11.510272652131205</x:v>
      </x:c>
      <x:c r="L570" t="n">
        <x:v>0.9999920362613525</x:v>
      </x:c>
      <x:c r="M570" t="n">
        <x:v>86.87891505461803</x:v>
      </x:c>
      <x:c r="N570" t="n">
        <x:v>0.000004078012148634946</x:v>
      </x:c>
      <x:c r="O570" t="str">
        <x:v>NO</x:v>
      </x:c>
      <x:c r="P570" t="str">
        <x:v>NO</x:v>
      </x:c>
    </x:row>
    <x:row r="571">
      <x:c r="A571" t="str">
        <x:v>LP</x:v>
      </x:c>
      <x:c r="B571" t="n">
        <x:v>31</x:v>
      </x:c>
      <x:c r="C571" t="n">
        <x:v>0.1500000000000001</x:v>
      </x:c>
      <x:c r="D571" t="n">
        <x:v>44</x:v>
      </x:c>
      <x:c r="E571" t="n">
        <x:v>75</x:v>
      </x:c>
      <x:c r="F571" t="n">
        <x:v>0.0200000000000001</x:v>
      </x:c>
      <x:c r="G571" t="n">
        <x:v>0.1700000000000002</x:v>
      </x:c>
      <x:c r="H571" t="n">
        <x:v>3.535429495798751e-11</x:v>
      </x:c>
      <x:c r="I571" t="n">
        <x:v>1.870860731940521e-9</x:v>
      </x:c>
      <x:c r="J571" t="n">
        <x:v>1.723599278662606</x:v>
      </x:c>
      <x:c r="K571" t="n">
        <x:v>11.515439676582215</x:v>
      </x:c>
      <x:c r="L571" t="n">
        <x:v>0.9999944173104902</x:v>
      </x:c>
      <x:c r="M571" t="n">
        <x:v>86.83993213334259</x:v>
      </x:c>
      <x:c r="N571" t="n">
        <x:v>0.000004654061077038288</x:v>
      </x:c>
      <x:c r="O571" t="str">
        <x:v>NO</x:v>
      </x:c>
      <x:c r="P571" t="str">
        <x:v>NO</x:v>
      </x:c>
    </x:row>
    <x:row r="572">
      <x:c r="A572" t="str">
        <x:v>LP</x:v>
      </x:c>
      <x:c r="B572" t="n">
        <x:v>31</x:v>
      </x:c>
      <x:c r="C572" t="n">
        <x:v>0.1500000000000001</x:v>
      </x:c>
      <x:c r="D572" t="n">
        <x:v>45</x:v>
      </x:c>
      <x:c r="E572" t="n">
        <x:v>76</x:v>
      </x:c>
      <x:c r="F572" t="n">
        <x:v>0.0250000000000001</x:v>
      </x:c>
      <x:c r="G572" t="n">
        <x:v>0.1750000000000002</x:v>
      </x:c>
      <x:c r="H572" t="n">
        <x:v>4.0255296840700295e-11</x:v>
      </x:c>
      <x:c r="I572" t="n">
        <x:v>2.134957670422552e-9</x:v>
      </x:c>
      <x:c r="J572" t="n">
        <x:v>1.7245662352785462</x:v>
      </x:c>
      <x:c r="K572" t="n">
        <x:v>11.51892887205978</x:v>
      </x:c>
      <x:c r="L572" t="n">
        <x:v>0.999995851379209</x:v>
      </x:c>
      <x:c r="M572" t="n">
        <x:v>86.81362747413016</x:v>
      </x:c>
      <x:c r="N572" t="n">
        <x:v>0.000005311043855590332</x:v>
      </x:c>
      <x:c r="O572" t="str">
        <x:v>NO</x:v>
      </x:c>
      <x:c r="P572" t="str">
        <x:v>NO</x:v>
      </x:c>
    </x:row>
    <x:row r="573">
      <x:c r="A573" t="str">
        <x:v>LP</x:v>
      </x:c>
      <x:c r="B573" t="n">
        <x:v>31</x:v>
      </x:c>
      <x:c r="C573" t="n">
        <x:v>0.15000000000000008</x:v>
      </x:c>
      <x:c r="D573" t="n">
        <x:v>46</x:v>
      </x:c>
      <x:c r="E573" t="n">
        <x:v>77</x:v>
      </x:c>
      <x:c r="F573" t="n">
        <x:v>0.0300000000000001</x:v>
      </x:c>
      <x:c r="G573" t="n">
        <x:v>0.1800000000000002</x:v>
      </x:c>
      <x:c r="H573" t="n">
        <x:v>4.5855034789212085e-11</x:v>
      </x:c>
      <x:c r="I573" t="n">
        <x:v>2.436117799521789e-9</x:v>
      </x:c>
      <x:c r="J573" t="n">
        <x:v>1.7253112576930505</x:v>
      </x:c>
      <x:c r="K573" t="n">
        <x:v>11.520868212436923</x:v>
      </x:c>
      <x:c r="L573" t="n">
        <x:v>0.9999965520348305</x:v>
      </x:c>
      <x:c r="M573" t="n">
        <x:v>86.79901389033228</x:v>
      </x:c>
      <x:c r="N573" t="n">
        <x:v>0.000006060227165105187</x:v>
      </x:c>
      <x:c r="O573" t="str">
        <x:v>NO</x:v>
      </x:c>
      <x:c r="P573" t="str">
        <x:v>NO</x:v>
      </x:c>
    </x:row>
    <x:row r="574">
      <x:c r="A574" t="str">
        <x:v>LP</x:v>
      </x:c>
      <x:c r="B574" t="n">
        <x:v>31</x:v>
      </x:c>
      <x:c r="C574" t="n">
        <x:v>0.15000000000000008</x:v>
      </x:c>
      <x:c r="D574" t="n">
        <x:v>47</x:v>
      </x:c>
      <x:c r="E574" t="n">
        <x:v>78</x:v>
      </x:c>
      <x:c r="F574" t="n">
        <x:v>0.0350000000000001</x:v>
      </x:c>
      <x:c r="G574" t="n">
        <x:v>0.1850000000000002</x:v>
      </x:c>
      <x:c r="H574" t="n">
        <x:v>5.2252985954002747e-11</x:v>
      </x:c>
      <x:c r="I574" t="n">
        <x:v>2.77949171892227e-9</x:v>
      </x:c>
      <x:c r="J574" t="n">
        <x:v>1.7258542715674032</x:v>
      </x:c>
      <x:c r="K574" t="n">
        <x:v>11.521368451359862</x:v>
      </x:c>
      <x:c r="L574" t="n">
        <x:v>0.9999967076921688</x:v>
      </x:c>
      <x:c r="M574" t="n">
        <x:v>86.79524521950086</x:v>
      </x:c>
      <x:c r="N574" t="n">
        <x:v>0.000006914423934468279</x:v>
      </x:c>
      <x:c r="O574" t="str">
        <x:v>NO</x:v>
      </x:c>
      <x:c r="P574" t="str">
        <x:v>NO</x:v>
      </x:c>
    </x:row>
    <x:row r="575">
      <x:c r="A575" t="str">
        <x:v>LP</x:v>
      </x:c>
      <x:c r="B575" t="n">
        <x:v>31</x:v>
      </x:c>
      <x:c r="C575" t="n">
        <x:v>0.1500000000000001</x:v>
      </x:c>
      <x:c r="D575" t="n">
        <x:v>48</x:v>
      </x:c>
      <x:c r="E575" t="n">
        <x:v>79</x:v>
      </x:c>
      <x:c r="F575" t="n">
        <x:v>0.0400000000000001</x:v>
      </x:c>
      <x:c r="G575" t="n">
        <x:v>0.1900000000000002</x:v>
      </x:c>
      <x:c r="H575" t="n">
        <x:v>5.956275878741194e-11</x:v>
      </x:c>
      <x:c r="I575" t="n">
        <x:v>3.170935027767185e-9</x:v>
      </x:c>
      <x:c r="J575" t="n">
        <x:v>1.7262125385523834</x:v>
      </x:c>
      <x:c r="K575" t="n">
        <x:v>11.520524851385739</x:v>
      </x:c>
      <x:c r="L575" t="n">
        <x:v>0.9999964881918836</x:v>
      </x:c>
      <x:c r="M575" t="n">
        <x:v>86.80160087322025</x:v>
      </x:c>
      <x:c r="N575" t="n">
        <x:v>0.000007888200889887382</x:v>
      </x:c>
      <x:c r="O575" t="str">
        <x:v>NO</x:v>
      </x:c>
      <x:c r="P575" t="str">
        <x:v>NO</x:v>
      </x:c>
    </x:row>
    <x:row r="576">
      <x:c r="A576" t="str">
        <x:v>LP</x:v>
      </x:c>
      <x:c r="B576" t="n">
        <x:v>31</x:v>
      </x:c>
      <x:c r="C576" t="n">
        <x:v>0.1500000000000001</x:v>
      </x:c>
      <x:c r="D576" t="n">
        <x:v>49</x:v>
      </x:c>
      <x:c r="E576" t="n">
        <x:v>80</x:v>
      </x:c>
      <x:c r="F576" t="n">
        <x:v>0.0450000000000001</x:v>
      </x:c>
      <x:c r="G576" t="n">
        <x:v>0.1950000000000002</x:v>
      </x:c>
      <x:c r="H576" t="n">
        <x:v>6.791409370813255e-11</x:v>
      </x:c>
      <x:c r="I576" t="n">
        <x:v>3.617102566781934e-9</x:v>
      </x:c>
      <x:c r="J576" t="n">
        <x:v>1.7264009142712116</x:v>
      </x:c>
      <x:c r="K576" t="n">
        <x:v>11.518418755202678</x:v>
      </x:c>
      <x:c r="L576" t="n">
        <x:v>0.9999960501933854</x:v>
      </x:c>
      <x:c r="M576" t="n">
        <x:v>86.81747219411663</x:v>
      </x:c>
      <x:c r="N576" t="n">
        <x:v>0.000008998112997034287</x:v>
      </x:c>
      <x:c r="O576" t="str">
        <x:v>NO</x:v>
      </x:c>
      <x:c r="P576" t="str">
        <x:v>NO</x:v>
      </x:c>
    </x:row>
    <x:row r="577">
      <x:c r="A577" t="str">
        <x:v>LP</x:v>
      </x:c>
      <x:c r="B577" t="n">
        <x:v>31</x:v>
      </x:c>
      <x:c r="C577" t="n">
        <x:v>0.1500000000000002</x:v>
      </x:c>
      <x:c r="D577" t="n">
        <x:v>50</x:v>
      </x:c>
      <x:c r="E577" t="n">
        <x:v>81</x:v>
      </x:c>
      <x:c r="F577" t="n">
        <x:v>0.05</x:v>
      </x:c>
      <x:c r="G577" t="n">
        <x:v>0.2000000000000002</x:v>
      </x:c>
      <x:c r="H577" t="n">
        <x:v>7.745514553794716e-11</x:v>
      </x:c>
      <x:c r="I577" t="n">
        <x:v>4.125554792534778e-9</x:v>
      </x:c>
      <x:c r="J577" t="n">
        <x:v>1.7264320851480282</x:v>
      </x:c>
      <x:c r="K577" t="n">
        <x:v>11.51511900499379</x:v>
      </x:c>
      <x:c r="L577" t="n">
        <x:v>0.9999955416441924</x:v>
      </x:c>
      <x:c r="M577" t="n">
        <x:v>86.8423504408706</x:v>
      </x:c>
      <x:c r="N577" t="n">
        <x:v>0.000010262968083791771</x:v>
      </x:c>
      <x:c r="O577" t="str">
        <x:v>NO</x:v>
      </x:c>
      <x:c r="P577" t="str">
        <x:v>NO</x:v>
      </x:c>
    </x:row>
    <x:row r="578">
      <x:c r="A578" t="str">
        <x:v>LP</x:v>
      </x:c>
      <x:c r="B578" t="n">
        <x:v>31</x:v>
      </x:c>
      <x:c r="C578" t="n">
        <x:v>0.15000000000000022</x:v>
      </x:c>
      <x:c r="D578" t="n">
        <x:v>51</x:v>
      </x:c>
      <x:c r="E578" t="n">
        <x:v>82</x:v>
      </x:c>
      <x:c r="F578" t="n">
        <x:v>0.055</x:v>
      </x:c>
      <x:c r="G578" t="n">
        <x:v>0.2050000000000002</x:v>
      </x:c>
      <x:c r="H578" t="n">
        <x:v>8.835508707411416e-11</x:v>
      </x:c>
      <x:c r="I578" t="n">
        <x:v>4.7048777512138814e-9</x:v>
      </x:c>
      <x:c r="J578" t="n">
        <x:v>1.7263167842418117</x:v>
      </x:c>
      <x:c r="K578" t="n">
        <x:v>11.510683218195526</x:v>
      </x:c>
      <x:c r="L578" t="n">
        <x:v>0.9999951055357892</x:v>
      </x:c>
      <x:c r="M578" t="n">
        <x:v>86.8758162347174</x:v>
      </x:c>
      <x:c r="N578" t="n">
        <x:v>0.00001170412529394203</x:v>
      </x:c>
      <x:c r="O578" t="str">
        <x:v>NO</x:v>
      </x:c>
      <x:c r="P578" t="str">
        <x:v>NO</x:v>
      </x:c>
    </x:row>
    <x:row r="579">
      <x:c r="A579" t="str">
        <x:v>LP</x:v>
      </x:c>
      <x:c r="B579" t="n">
        <x:v>31</x:v>
      </x:c>
      <x:c r="C579" t="n">
        <x:v>0.1500000000000002</x:v>
      </x:c>
      <x:c r="D579" t="n">
        <x:v>52</x:v>
      </x:c>
      <x:c r="E579" t="n">
        <x:v>83</x:v>
      </x:c>
      <x:c r="F579" t="n">
        <x:v>0.06</x:v>
      </x:c>
      <x:c r="G579" t="n">
        <x:v>0.2100000000000002</x:v>
      </x:c>
      <x:c r="H579" t="n">
        <x:v>1.008070785903204e-10</x:v>
      </x:c>
      <x:c r="I579" t="n">
        <x:v>5.3648182780588584e-9</x:v>
      </x:c>
      <x:c r="J579" t="n">
        <x:v>1.7260639867562002</x:v>
      </x:c>
      <x:c r="K579" t="n">
        <x:v>11.505158929257393</x:v>
      </x:c>
      <x:c r="L579" t="n">
        <x:v>0.9999948831138831</x:v>
      </x:c>
      <x:c r="M579" t="n">
        <x:v>86.9175303139029</x:v>
      </x:c>
      <x:c r="N579" t="n">
        <x:v>0.000013345831417071561</x:v>
      </x:c>
      <x:c r="O579" t="str">
        <x:v>NO</x:v>
      </x:c>
      <x:c r="P579" t="str">
        <x:v>NO</x:v>
      </x:c>
    </x:row>
    <x:row r="580">
      <x:c r="A580" t="str">
        <x:v>LP</x:v>
      </x:c>
      <x:c r="B580" t="n">
        <x:v>31</x:v>
      </x:c>
      <x:c r="C580" t="n">
        <x:v>0.1500000000000002</x:v>
      </x:c>
      <x:c r="D580" t="n">
        <x:v>53</x:v>
      </x:c>
      <x:c r="E580" t="n">
        <x:v>84</x:v>
      </x:c>
      <x:c r="F580" t="n">
        <x:v>0.065</x:v>
      </x:c>
      <x:c r="G580" t="n">
        <x:v>0.2150000000000002</x:v>
      </x:c>
      <x:c r="H580" t="n">
        <x:v>1.1503165422272059e-10</x:v>
      </x:c>
      <x:c r="I580" t="n">
        <x:v>6.116436220906963e-9</x:v>
      </x:c>
      <x:c r="J580" t="n">
        <x:v>1.7256810862453875</x:v>
      </x:c>
      <x:c r="K580" t="n">
        <x:v>11.498584607742576</x:v>
      </x:c>
      <x:c r="L580" t="n">
        <x:v>0.9999950166770666</x:v>
      </x:c>
      <x:c r="M580" t="n">
        <x:v>86.96722545543994</x:v>
      </x:c>
      <x:c r="N580" t="n">
        <x:v>0.000015215599568645636</x:v>
      </x:c>
      <x:c r="O580" t="str">
        <x:v>NO</x:v>
      </x:c>
      <x:c r="P580" t="str">
        <x:v>NO</x:v>
      </x:c>
    </x:row>
    <x:row r="581">
      <x:c r="A581" t="str">
        <x:v>LP</x:v>
      </x:c>
      <x:c r="B581" t="n">
        <x:v>31</x:v>
      </x:c>
      <x:c r="C581" t="n">
        <x:v>0.1500000000000002</x:v>
      </x:c>
      <x:c r="D581" t="n">
        <x:v>54</x:v>
      </x:c>
      <x:c r="E581" t="n">
        <x:v>85</x:v>
      </x:c>
      <x:c r="F581" t="n">
        <x:v>0.07</x:v>
      </x:c>
      <x:c r="G581" t="n">
        <x:v>0.2200000000000002</x:v>
      </x:c>
      <x:c r="H581" t="n">
        <x:v>1.312805831898021e-10</x:v>
      </x:c>
      <x:c r="I581" t="n">
        <x:v>6.972275672665353e-9</x:v>
      </x:c>
      <x:c r="J581" t="n">
        <x:v>1.7251740527663806</x:v>
      </x:c>
      <x:c r="K581" t="n">
        <x:v>11.49099056337882</x:v>
      </x:c>
      <x:c r="L581" t="n">
        <x:v>0.9999956520709448</x:v>
      </x:c>
      <x:c r="M581" t="n">
        <x:v>87.024699436004</x:v>
      </x:c>
      <x:c r="N581" t="n">
        <x:v>0.000017344635157783836</x:v>
      </x:c>
      <x:c r="O581" t="str">
        <x:v>NO</x:v>
      </x:c>
      <x:c r="P581" t="str">
        <x:v>NO</x:v>
      </x:c>
    </x:row>
    <x:row r="582">
      <x:c r="A582" t="str">
        <x:v>LP</x:v>
      </x:c>
      <x:c r="B582" t="n">
        <x:v>31</x:v>
      </x:c>
      <x:c r="C582" t="n">
        <x:v>0.1500000000000001</x:v>
      </x:c>
      <x:c r="D582" t="n">
        <x:v>55</x:v>
      </x:c>
      <x:c r="E582" t="n">
        <x:v>86</x:v>
      </x:c>
      <x:c r="F582" t="n">
        <x:v>0.0750000000000001</x:v>
      </x:c>
      <x:c r="G582" t="n">
        <x:v>0.2250000000000002</x:v>
      </x:c>
      <x:c r="H582" t="n">
        <x:v>1.5105804807905818e-10</x:v>
      </x:c>
      <x:c r="I582" t="n">
        <x:v>7.946557398246181e-9</x:v>
      </x:c>
      <x:c r="J582" t="n">
        <x:v>1.7210351560713235</x:v>
      </x:c>
      <x:c r="K582" t="n">
        <x:v>11.482399748610735</x:v>
      </x:c>
      <x:c r="L582" t="n">
        <x:v>0.9999969409635212</x:v>
      </x:c>
      <x:c r="M582" t="n">
        <x:v>87.08980891568339</x:v>
      </x:c>
      <x:c r="N582" t="n">
        <x:v>0.000019768314579603883</x:v>
      </x:c>
      <x:c r="O582" t="str">
        <x:v>NO</x:v>
      </x:c>
      <x:c r="P582" t="str">
        <x:v>NO</x:v>
      </x:c>
    </x:row>
    <x:row r="583">
      <x:c r="A583" t="str">
        <x:v>LP</x:v>
      </x:c>
      <x:c r="B583" t="n">
        <x:v>31</x:v>
      </x:c>
      <x:c r="C583" t="n">
        <x:v>0.1500000000000001</x:v>
      </x:c>
      <x:c r="D583" t="n">
        <x:v>56</x:v>
      </x:c>
      <x:c r="E583" t="n">
        <x:v>87</x:v>
      </x:c>
      <x:c r="F583" t="n">
        <x:v>0.0800000000000001</x:v>
      </x:c>
      <x:c r="G583" t="n">
        <x:v>0.2300000000000002</x:v>
      </x:c>
      <x:c r="H583" t="n">
        <x:v>1.7243119146362487e-10</x:v>
      </x:c>
      <x:c r="I583" t="n">
        <x:v>9.055394856811717e-9</x:v>
      </x:c>
      <x:c r="J583" t="n">
        <x:v>1.720291563202741</x:v>
      </x:c>
      <x:c r="K583" t="n">
        <x:v>11.477360621542747</x:v>
      </x:c>
      <x:c r="L583" t="n">
        <x:v>0.9999961396947286</x:v>
      </x:c>
      <x:c r="M583" t="n">
        <x:v>87.12804563472743</x:v>
      </x:c>
      <x:c r="N583" t="n">
        <x:v>0.000022526722604619815</x:v>
      </x:c>
      <x:c r="O583" t="str">
        <x:v>NO</x:v>
      </x:c>
      <x:c r="P583" t="str">
        <x:v>NO</x:v>
      </x:c>
    </x:row>
    <x:row r="584">
      <x:c r="A584" t="str">
        <x:v>LP</x:v>
      </x:c>
      <x:c r="B584" t="n">
        <x:v>31</x:v>
      </x:c>
      <x:c r="C584" t="n">
        <x:v>0.1500000000000001</x:v>
      </x:c>
      <x:c r="D584" t="n">
        <x:v>57</x:v>
      </x:c>
      <x:c r="E584" t="n">
        <x:v>88</x:v>
      </x:c>
      <x:c r="F584" t="n">
        <x:v>0.0850000000000001</x:v>
      </x:c>
      <x:c r="G584" t="n">
        <x:v>0.2350000000000002</x:v>
      </x:c>
      <x:c r="H584" t="n">
        <x:v>1.9684298301248878e-10</x:v>
      </x:c>
      <x:c r="I584" t="n">
        <x:v>1.031703645006383e-8</x:v>
      </x:c>
      <x:c r="J584" t="n">
        <x:v>1.7194350270762344</x:v>
      </x:c>
      <x:c r="K584" t="n">
        <x:v>11.471636126206498</x:v>
      </x:c>
      <x:c r="L584" t="n">
        <x:v>0.9999952332368778</x:v>
      </x:c>
      <x:c r="M584" t="n">
        <x:v>87.17152366047766</x:v>
      </x:c>
      <x:c r="N584" t="n">
        <x:v>0.00002566525500956096</x:v>
      </x:c>
      <x:c r="O584" t="str">
        <x:v>NO</x:v>
      </x:c>
      <x:c r="P584" t="str">
        <x:v>NO</x:v>
      </x:c>
    </x:row>
    <x:row r="585">
      <x:c r="A585" t="str">
        <x:v>LP</x:v>
      </x:c>
      <x:c r="B585" t="n">
        <x:v>31</x:v>
      </x:c>
      <x:c r="C585" t="n">
        <x:v>0.15000000000000013</x:v>
      </x:c>
      <x:c r="D585" t="n">
        <x:v>58</x:v>
      </x:c>
      <x:c r="E585" t="n">
        <x:v>89</x:v>
      </x:c>
      <x:c r="F585" t="n">
        <x:v>0.0900000000000001</x:v>
      </x:c>
      <x:c r="G585" t="n">
        <x:v>0.2400000000000002</x:v>
      </x:c>
      <x:c r="H585" t="n">
        <x:v>2.2472416984666888e-10</x:v>
      </x:c>
      <x:c r="I585" t="n">
        <x:v>1.1752136871608331e-8</x:v>
      </x:c>
      <x:c r="J585" t="n">
        <x:v>1.7184670560593887</x:v>
      </x:c>
      <x:c r="K585" t="n">
        <x:v>11.465230561748404</x:v>
      </x:c>
      <x:c r="L585" t="n">
        <x:v>0.9999942154372031</x:v>
      </x:c>
      <x:c r="M585" t="n">
        <x:v>87.22022593564867</x:v>
      </x:c>
      <x:c r="N585" t="n">
        <x:v>0.00002923529360170339</x:v>
      </x:c>
      <x:c r="O585" t="str">
        <x:v>NO</x:v>
      </x:c>
      <x:c r="P585" t="str">
        <x:v>NO</x:v>
      </x:c>
    </x:row>
    <x:row r="586">
      <x:c r="A586" t="str">
        <x:v>LP</x:v>
      </x:c>
      <x:c r="B586" t="n">
        <x:v>31</x:v>
      </x:c>
      <x:c r="C586" t="n">
        <x:v>0.15000000000000008</x:v>
      </x:c>
      <x:c r="D586" t="n">
        <x:v>59</x:v>
      </x:c>
      <x:c r="E586" t="n">
        <x:v>90</x:v>
      </x:c>
      <x:c r="F586" t="n">
        <x:v>0.0950000000000001</x:v>
      </x:c>
      <x:c r="G586" t="n">
        <x:v>0.2450000000000002</x:v>
      </x:c>
      <x:c r="H586" t="n">
        <x:v>2.5656628572766e-10</x:v>
      </x:c>
      <x:c r="I586" t="n">
        <x:v>1.3384060690676641e-8</x:v>
      </x:c>
      <x:c r="J586" t="n">
        <x:v>1.7173883102705174</x:v>
      </x:c>
      <x:c r="K586" t="n">
        <x:v>11.458143263010667</x:v>
      </x:c>
      <x:c r="L586" t="n">
        <x:v>0.999993077547388</x:v>
      </x:c>
      <x:c r="M586" t="n">
        <x:v>87.27417497285215</x:v>
      </x:c>
      <x:c r="N586" t="n">
        <x:v>0.00003329496143124815</x:v>
      </x:c>
      <x:c r="O586" t="str">
        <x:v>NO</x:v>
      </x:c>
      <x:c r="P586" t="str">
        <x:v>NO</x:v>
      </x:c>
    </x:row>
    <x:row r="587">
      <x:c r="A587" t="str">
        <x:v>LP</x:v>
      </x:c>
      <x:c r="B587" t="n">
        <x:v>31</x:v>
      </x:c>
      <x:c r="C587" t="n">
        <x:v>0.15000000000000013</x:v>
      </x:c>
      <x:c r="D587" t="n">
        <x:v>60</x:v>
      </x:c>
      <x:c r="E587" t="n">
        <x:v>91</x:v>
      </x:c>
      <x:c r="F587" t="n">
        <x:v>0.1000000000000001</x:v>
      </x:c>
      <x:c r="G587" t="n">
        <x:v>0.2500000000000002</x:v>
      </x:c>
      <x:c r="H587" t="n">
        <x:v>2.929301697023655e-10</x:v>
      </x:c>
      <x:c r="I587" t="n">
        <x:v>1.523922157501657e-8</x:v>
      </x:c>
      <x:c r="J587" t="n">
        <x:v>1.7161986804542018</x:v>
      </x:c>
      <x:c r="K587" t="n">
        <x:v>11.450369030303975</x:v>
      </x:c>
      <x:c r="L587" t="n">
        <x:v>0.9999918084253665</x:v>
      </x:c>
      <x:c r="M587" t="n">
        <x:v>87.33342980941924</x:v>
      </x:c>
      <x:c r="N587" t="n">
        <x:v>0.00003790996666175234</x:v>
      </x:c>
      <x:c r="O587" t="str">
        <x:v>NO</x:v>
      </x:c>
      <x:c r="P587" t="str">
        <x:v>NO</x:v>
      </x:c>
    </x:row>
    <x:row r="588">
      <x:c r="A588" t="str">
        <x:v>LP</x:v>
      </x:c>
      <x:c r="B588" t="n">
        <x:v>31</x:v>
      </x:c>
      <x:c r="C588" t="n">
        <x:v>0.15000000000000013</x:v>
      </x:c>
      <x:c r="D588" t="n">
        <x:v>61</x:v>
      </x:c>
      <x:c r="E588" t="n">
        <x:v>92</x:v>
      </x:c>
      <x:c r="F588" t="n">
        <x:v>0.1050000000000001</x:v>
      </x:c>
      <x:c r="G588" t="n">
        <x:v>0.2550000000000002</x:v>
      </x:c>
      <x:c r="H588" t="n">
        <x:v>3.3445566569647457e-10</x:v>
      </x:c>
      <x:c r="I588" t="n">
        <x:v>1.7347460841589792e-8</x:v>
      </x:c>
      <x:c r="J588" t="n">
        <x:v>1.7148973585086091</x:v>
      </x:c>
      <x:c r="K588" t="n">
        <x:v>11.441898510897925</x:v>
      </x:c>
      <x:c r="L588" t="n">
        <x:v>0.9999903946575462</x:v>
      </x:c>
      <x:c r="M588" t="n">
        <x:v>87.39808337292472</x:v>
      </x:c>
      <x:c r="N588" t="n">
        <x:v>0.00004315454427468078</x:v>
      </x:c>
      <x:c r="O588" t="str">
        <x:v>NO</x:v>
      </x:c>
      <x:c r="P588" t="str">
        <x:v>NO</x:v>
      </x:c>
    </x:row>
    <x:row r="589">
      <x:c r="A589" t="str">
        <x:v>LP</x:v>
      </x:c>
      <x:c r="B589" t="n">
        <x:v>31</x:v>
      </x:c>
      <x:c r="C589" t="n">
        <x:v>0.15000000000000008</x:v>
      </x:c>
      <x:c r="D589" t="n">
        <x:v>62</x:v>
      </x:c>
      <x:c r="E589" t="n">
        <x:v>93</x:v>
      </x:c>
      <x:c r="F589" t="n">
        <x:v>0.1100000000000001</x:v>
      </x:c>
      <x:c r="G589" t="n">
        <x:v>0.2600000000000002</x:v>
      </x:c>
      <x:c r="H589" t="n">
        <x:v>3.8187266400736416e-10</x:v>
      </x:c>
      <x:c r="I589" t="n">
        <x:v>1.974246931861928e-8</x:v>
      </x:c>
      <x:c r="J589" t="n">
        <x:v>1.7134829008299555</x:v>
      </x:c>
      <x:c r="K589" t="n">
        <x:v>11.43271853925669</x:v>
      </x:c>
      <x:c r="L589" t="n">
        <x:v>0.9999888206194885</x:v>
      </x:c>
      <x:c r="M589" t="n">
        <x:v>87.46826020130607</x:v>
      </x:c>
      <x:c r="N589" t="n">
        <x:v>0.00004911250551777029</x:v>
      </x:c>
      <x:c r="O589" t="str">
        <x:v>NO</x:v>
      </x:c>
      <x:c r="P589" t="str">
        <x:v>NO</x:v>
      </x:c>
    </x:row>
    <x:row r="590">
      <x:c r="A590" t="str">
        <x:v>LP</x:v>
      </x:c>
      <x:c r="B590" t="n">
        <x:v>31</x:v>
      </x:c>
      <x:c r="C590" t="n">
        <x:v>0.15000000000000008</x:v>
      </x:c>
      <x:c r="D590" t="n">
        <x:v>63</x:v>
      </x:c>
      <x:c r="E590" t="n">
        <x:v>94</x:v>
      </x:c>
      <x:c r="F590" t="n">
        <x:v>0.1150000000000001</x:v>
      </x:c>
      <x:c r="G590" t="n">
        <x:v>0.2650000000000002</x:v>
      </x:c>
      <x:c r="H590" t="n">
        <x:v>4.3601366699345075e-10</x:v>
      </x:c>
      <x:c r="I590" t="n">
        <x:v>2.2462256806987223e-8</x:v>
      </x:c>
      <x:c r="J590" t="n">
        <x:v>1.7119532855621067</x:v>
      </x:c>
      <x:c r="K590" t="n">
        <x:v>11.422812442544746</x:v>
      </x:c>
      <x:c r="L590" t="n">
        <x:v>0.9999870684895679</x:v>
      </x:c>
      <x:c r="M590" t="n">
        <x:v>87.54411446654397</x:v>
      </x:c>
      <x:c r="N590" t="n">
        <x:v>0.00005587840576428388</x:v>
      </x:c>
      <x:c r="O590" t="str">
        <x:v>NO</x:v>
      </x:c>
      <x:c r="P590" t="str">
        <x:v>NO</x:v>
      </x:c>
    </x:row>
    <x:row r="591">
      <x:c r="A591" t="str">
        <x:v>LP</x:v>
      </x:c>
      <x:c r="B591" t="n">
        <x:v>31</x:v>
      </x:c>
      <x:c r="C591" t="n">
        <x:v>0.15000000000000008</x:v>
      </x:c>
      <x:c r="D591" t="n">
        <x:v>64</x:v>
      </x:c>
      <x:c r="E591" t="n">
        <x:v>95</x:v>
      </x:c>
      <x:c r="F591" t="n">
        <x:v>0.1200000000000001</x:v>
      </x:c>
      <x:c r="G591" t="n">
        <x:v>0.2700000000000002</x:v>
      </x:c>
      <x:c r="H591" t="n">
        <x:v>4.978280853064774e-10</x:v>
      </x:c>
      <x:c r="I591" t="n">
        <x:v>2.554967374128647e-8</x:v>
      </x:c>
      <x:c r="J591" t="n">
        <x:v>1.710305964766924</x:v>
      </x:c>
      <x:c r="K591" t="n">
        <x:v>11.412160317469118</x:v>
      </x:c>
      <x:c r="L591" t="n">
        <x:v>0.9999851182275621</x:v>
      </x:c>
      <x:c r="M591" t="n">
        <x:v>87.6258282552563</x:v>
      </x:c>
      <x:c r="N591" t="n">
        <x:v>0.0000635588422271343</x:v>
      </x:c>
      <x:c r="O591" t="str">
        <x:v>NO</x:v>
      </x:c>
      <x:c r="P591" t="str">
        <x:v>NO</x:v>
      </x:c>
    </x:row>
    <x:row r="592">
      <x:c r="A592" t="str">
        <x:v>LP</x:v>
      </x:c>
      <x:c r="B592" t="n">
        <x:v>31</x:v>
      </x:c>
      <x:c r="C592" t="n">
        <x:v>0.15000000000000008</x:v>
      </x:c>
      <x:c r="D592" t="n">
        <x:v>65</x:v>
      </x:c>
      <x:c r="E592" t="n">
        <x:v>96</x:v>
      </x:c>
      <x:c r="F592" t="n">
        <x:v>0.1250000000000001</x:v>
      </x:c>
      <x:c r="G592" t="n">
        <x:v>0.2750000000000002</x:v>
      </x:c>
      <x:c r="H592" t="n">
        <x:v>5.683984980839916e-10</x:v>
      </x:c>
      <x:c r="I592" t="n">
        <x:v>2.9052989969066852e-8</x:v>
      </x:c>
      <x:c r="J592" t="n">
        <x:v>1.7085379124604314</x:v>
      </x:c>
      <x:c r="K592" t="n">
        <x:v>11.4007392841048</x:v>
      </x:c>
      <x:c r="L592" t="n">
        <x:v>0.9999829475283094</x:v>
      </x:c>
      <x:c r="M592" t="n">
        <x:v>87.71361006336014</x:v>
      </x:c>
      <x:c r="N592" t="n">
        <x:v>0.00007227389376352393</x:v>
      </x:c>
      <x:c r="O592" t="str">
        <x:v>NO</x:v>
      </x:c>
      <x:c r="P592" t="str">
        <x:v>NO</x:v>
      </x:c>
    </x:row>
    <x:row r="593">
      <x:c r="A593" t="str">
        <x:v>LP</x:v>
      </x:c>
      <x:c r="B593" t="n">
        <x:v>31</x:v>
      </x:c>
      <x:c r="C593" t="n">
        <x:v>0.1500000000000001</x:v>
      </x:c>
      <x:c r="D593" t="n">
        <x:v>66</x:v>
      </x:c>
      <x:c r="E593" t="n">
        <x:v>97</x:v>
      </x:c>
      <x:c r="F593" t="n">
        <x:v>0.1300000000000001</x:v>
      </x:c>
      <x:c r="G593" t="n">
        <x:v>0.2800000000000002</x:v>
      </x:c>
      <x:c r="H593" t="n">
        <x:v>6.48959140958066e-10</x:v>
      </x:c>
      <x:c r="I593" t="n">
        <x:v>3.3026535889044646e-8</x:v>
      </x:c>
      <x:c r="J593" t="n">
        <x:v>1.7066456693933638</x:v>
      </x:c>
      <x:c r="K593" t="n">
        <x:v>11.38852372197336</x:v>
      </x:c>
      <x:c r="L593" t="n">
        <x:v>0.9999805317593624</x:v>
      </x:c>
      <x:c r="M593" t="n">
        <x:v>87.80769346518284</x:v>
      </x:c>
      <x:c r="N593" t="n">
        <x:v>0.00008215871580733862</x:v>
      </x:c>
      <x:c r="O593" t="str">
        <x:v>NO</x:v>
      </x:c>
      <x:c r="P593" t="str">
        <x:v>NO</x:v>
      </x:c>
    </x:row>
    <x:row r="594">
      <x:c r="A594" t="str">
        <x:v>LP</x:v>
      </x:c>
      <x:c r="B594" t="n">
        <x:v>31</x:v>
      </x:c>
      <x:c r="C594" t="n">
        <x:v>0.15000000000000022</x:v>
      </x:c>
      <x:c r="D594" t="n">
        <x:v>67</x:v>
      </x:c>
      <x:c r="E594" t="n">
        <x:v>98</x:v>
      </x:c>
      <x:c r="F594" t="n">
        <x:v>0.1350000000000001</x:v>
      </x:c>
      <x:c r="G594" t="n">
        <x:v>0.2850000000000003</x:v>
      </x:c>
      <x:c r="H594" t="n">
        <x:v>7.409169199265799e-10</x:v>
      </x:c>
      <x:c r="I594" t="n">
        <x:v>3.753141151336801e-8</x:v>
      </x:c>
      <x:c r="J594" t="n">
        <x:v>1.7046253853895914</x:v>
      </x:c>
      <x:c r="K594" t="n">
        <x:v>11.375485493300383</x:v>
      </x:c>
      <x:c r="L594" t="n">
        <x:v>0.9999778438908551</x:v>
      </x:c>
      <x:c r="M594" t="n">
        <x:v>87.90833592016378</x:v>
      </x:c>
      <x:c r="N594" t="n">
        <x:v>0.00009336530427334128</x:v>
      </x:c>
      <x:c r="O594" t="str">
        <x:v>NO</x:v>
      </x:c>
      <x:c r="P594" t="str">
        <x:v>NO</x:v>
      </x:c>
    </x:row>
    <x:row r="595">
      <x:c r="A595" t="str">
        <x:v>LP</x:v>
      </x:c>
      <x:c r="B595" t="n">
        <x:v>31</x:v>
      </x:c>
      <x:c r="C595" t="n">
        <x:v>0.1500000000000001</x:v>
      </x:c>
      <x:c r="D595" t="n">
        <x:v>68</x:v>
      </x:c>
      <x:c r="E595" t="n">
        <x:v>99</x:v>
      </x:c>
      <x:c r="F595" t="n">
        <x:v>0.1400000000000002</x:v>
      </x:c>
      <x:c r="G595" t="n">
        <x:v>0.2900000000000003</x:v>
      </x:c>
      <x:c r="H595" t="n">
        <x:v>8.458752874830023e-10</x:v>
      </x:c>
      <x:c r="I595" t="n">
        <x:v>4.263626934374696e-8</x:v>
      </x:c>
      <x:c r="J595" t="n">
        <x:v>1.7024728599972985</x:v>
      </x:c>
      <x:c r="K595" t="n">
        <x:v>11.361594158069105</x:v>
      </x:c>
      <x:c r="L595" t="n">
        <x:v>0.9999748544254812</x:v>
      </x:c>
      <x:c r="M595" t="n">
        <x:v>88.01581768257329</x:v>
      </x:c>
      <x:c r="N595" t="n">
        <x:v>0.00010606444308499287</x:v>
      </x:c>
      <x:c r="O595" t="str">
        <x:v>NO</x:v>
      </x:c>
      <x:c r="P595" t="str">
        <x:v>NO</x:v>
      </x:c>
    </x:row>
    <x:row r="596">
      <x:c r="A596" t="str">
        <x:v>LP</x:v>
      </x:c>
      <x:c r="B596" t="n">
        <x:v>31</x:v>
      </x:c>
      <x:c r="C596" t="n">
        <x:v>0.1500000000000001</x:v>
      </x:c>
      <x:c r="D596" t="n">
        <x:v>69</x:v>
      </x:c>
      <x:c r="E596" t="n">
        <x:v>100</x:v>
      </x:c>
      <x:c r="F596" t="n">
        <x:v>0.1450000000000002</x:v>
      </x:c>
      <x:c r="G596" t="n">
        <x:v>0.2950000000000003</x:v>
      </x:c>
      <x:c r="H596" t="n">
        <x:v>9.656613603731478e-10</x:v>
      </x:c>
      <x:c r="I596" t="n">
        <x:v>4.841817727521244e-8</x:v>
      </x:c>
      <x:c r="J596" t="n">
        <x:v>1.7001835821463</x:v>
      </x:c>
      <x:c r="K596" t="n">
        <x:v>11.346817185197148</x:v>
      </x:c>
      <x:c r="L596" t="n">
        <x:v>0.9999715313364884</x:v>
      </x:c>
      <x:c r="M596" t="n">
        <x:v>88.1304407816301</x:v>
      </x:c>
      <x:c r="N596" t="n">
        <x:v>0.00012044785078361998</x:v>
      </x:c>
      <x:c r="O596" t="str">
        <x:v>NO</x:v>
      </x:c>
      <x:c r="P596" t="str">
        <x:v>NO</x:v>
      </x:c>
    </x:row>
    <x:row r="597">
      <x:c r="A597" t="str">
        <x:v>LP</x:v>
      </x:c>
      <x:c r="B597" t="n">
        <x:v>31</x:v>
      </x:c>
      <x:c r="C597" t="n">
        <x:v>0.15000000000000013</x:v>
      </x:c>
      <x:c r="D597" t="n">
        <x:v>70</x:v>
      </x:c>
      <x:c r="E597" t="n">
        <x:v>101</x:v>
      </x:c>
      <x:c r="F597" t="n">
        <x:v>0.1500000000000002</x:v>
      </x:c>
      <x:c r="G597" t="n">
        <x:v>0.3000000000000003</x:v>
      </x:c>
      <x:c r="H597" t="n">
        <x:v>1.102356706418941e-9</x:v>
      </x:c>
      <x:c r="I597" t="n">
        <x:v>5.4963568063869245e-8</x:v>
      </x:c>
      <x:c r="J597" t="n">
        <x:v>1.6977527694482726</x:v>
      </x:c>
      <x:c r="K597" t="n">
        <x:v>11.33112016389526</x:v>
      </x:c>
      <x:c r="L597" t="n">
        <x:v>0.9999678400218536</x:v>
      </x:c>
      <x:c r="M597" t="n">
        <x:v>88.25252804099055</x:v>
      </x:c>
      <x:c r="N597" t="n">
        <x:v>0.0001367305424791668</x:v>
      </x:c>
      <x:c r="O597" t="str">
        <x:v>NO</x:v>
      </x:c>
      <x:c r="P597" t="str">
        <x:v>NO</x:v>
      </x:c>
    </x:row>
    <x:row r="598">
      <x:c r="A598" t="str">
        <x:v>LP</x:v>
      </x:c>
      <x:c r="B598" t="n">
        <x:v>31</x:v>
      </x:c>
      <x:c r="C598" t="n">
        <x:v>0.15000000000000013</x:v>
      </x:c>
      <x:c r="D598" t="n">
        <x:v>71</x:v>
      </x:c>
      <x:c r="E598" t="n">
        <x:v>102</x:v>
      </x:c>
      <x:c r="F598" t="n">
        <x:v>0.1550000000000002</x:v>
      </x:c>
      <x:c r="G598" t="n">
        <x:v>0.3050000000000003</x:v>
      </x:c>
      <x:c r="H598" t="n">
        <x:v>1.258332281556775e-9</x:v>
      </x:c>
      <x:c r="I598" t="n">
        <x:v>6.236928221678175e-8</x:v>
      </x:c>
      <x:c r="J598" t="n">
        <x:v>1.695175407716924</x:v>
      </x:c>
      <x:c r="K598" t="n">
        <x:v>11.314467019000732</x:v>
      </x:c>
      <x:c r="L598" t="n">
        <x:v>0.9999637432832544</x:v>
      </x:c>
      <x:c r="M598" t="n">
        <x:v>88.38242210796754</x:v>
      </x:c>
      <x:c r="N598" t="n">
        <x:v>0.00015515342420323382</x:v>
      </x:c>
      <x:c r="O598" t="str">
        <x:v>NO</x:v>
      </x:c>
      <x:c r="P598" t="str">
        <x:v>NO</x:v>
      </x:c>
    </x:row>
    <x:row r="599">
      <x:c r="A599" t="str">
        <x:v>LP</x:v>
      </x:c>
      <x:c r="B599" t="n">
        <x:v>31</x:v>
      </x:c>
      <x:c r="C599" t="n">
        <x:v>0.15000000000000008</x:v>
      </x:c>
      <x:c r="D599" t="n">
        <x:v>72</x:v>
      </x:c>
      <x:c r="E599" t="n">
        <x:v>103</x:v>
      </x:c>
      <x:c r="F599" t="n">
        <x:v>0.1600000000000002</x:v>
      </x:c>
      <x:c r="G599" t="n">
        <x:v>0.3100000000000003</x:v>
      </x:c>
      <x:c r="H599" t="n">
        <x:v>1.436288058139643e-9</x:v>
      </x:c>
      <x:c r="I599" t="n">
        <x:v>7.074371148474389e-8</x:v>
      </x:c>
      <x:c r="J599" t="n">
        <x:v>1.6924462912241545</x:v>
      </x:c>
      <x:c r="K599" t="n">
        <x:v>11.296820233812264</x:v>
      </x:c>
      <x:c r="L599" t="n">
        <x:v>0.9999592013390451</x:v>
      </x:c>
      <x:c r="M599" t="n">
        <x:v>88.52048446401953</x:v>
      </x:c>
      <x:c r="N599" t="n">
        <x:v>0.00017598613752765457</x:v>
      </x:c>
      <x:c r="O599" t="str">
        <x:v>NO</x:v>
      </x:c>
      <x:c r="P599" t="str">
        <x:v>NO</x:v>
      </x:c>
    </x:row>
    <x:row r="600">
      <x:c r="A600" t="str">
        <x:v>LP</x:v>
      </x:c>
      <x:c r="B600" t="n">
        <x:v>31</x:v>
      </x:c>
      <x:c r="C600" t="n">
        <x:v>0.15000000000000008</x:v>
      </x:c>
      <x:c r="D600" t="n">
        <x:v>73</x:v>
      </x:c>
      <x:c r="E600" t="n">
        <x:v>104</x:v>
      </x:c>
      <x:c r="F600" t="n">
        <x:v>0.1650000000000002</x:v>
      </x:c>
      <x:c r="G600" t="n">
        <x:v>0.3150000000000003</x:v>
      </x:c>
      <x:c r="H600" t="n">
        <x:v>1.639297952254774e-9</x:v>
      </x:c>
      <x:c r="I600" t="n">
        <x:v>8.020805046558592e-8</x:v>
      </x:c>
      <x:c r="J600" t="n">
        <x:v>1.6895600641429924</x:v>
      </x:c>
      <x:c r="K600" t="n">
        <x:v>11.27814108367227</x:v>
      </x:c>
      <x:c r="L600" t="n">
        <x:v>0.9999541718810948</x:v>
      </x:c>
      <x:c r="M600" t="n">
        <x:v>88.6670943891394</x:v>
      </x:c>
      <x:c r="N600" t="n">
        <x:v>0.00019953017312508004</x:v>
      </x:c>
      <x:c r="O600" t="str">
        <x:v>NO</x:v>
      </x:c>
      <x:c r="P600" t="str">
        <x:v>NO</x:v>
      </x:c>
    </x:row>
    <x:row r="601">
      <x:c r="A601" t="str">
        <x:v>LP</x:v>
      </x:c>
      <x:c r="B601" t="n">
        <x:v>31</x:v>
      </x:c>
      <x:c r="C601" t="n">
        <x:v>0.15000000000000008</x:v>
      </x:c>
      <x:c r="D601" t="n">
        <x:v>74</x:v>
      </x:c>
      <x:c r="E601" t="n">
        <x:v>105</x:v>
      </x:c>
      <x:c r="F601" t="n">
        <x:v>0.1700000000000002</x:v>
      </x:c>
      <x:c r="G601" t="n">
        <x:v>0.3200000000000003</x:v>
      </x:c>
      <x:c r="H601" t="n">
        <x:v>1.870860731940521e-9</x:v>
      </x:c>
      <x:c r="I601" t="n">
        <x:v>9.08976641617378e-8</x:v>
      </x:c>
      <x:c r="J601" t="n">
        <x:v>1.686511263557665</x:v>
      </x:c>
      <x:c r="K601" t="n">
        <x:v>11.258389883236635</x:v>
      </x:c>
      <x:c r="L601" t="n">
        <x:v>0.9999486101860074</x:v>
      </x:c>
      <x:c r="M601" t="n">
        <x:v>88.82264785384334</x:v>
      </x:c>
      <x:c r="N601" t="n">
        <x:v>0.0002261222727840607</x:v>
      </x:c>
      <x:c r="O601" t="str">
        <x:v>NO</x:v>
      </x:c>
      <x:c r="P601" t="str">
        <x:v>NO</x:v>
      </x:c>
    </x:row>
    <x:row r="602">
      <x:c r="A602" t="str">
        <x:v>LP</x:v>
      </x:c>
      <x:c r="B602" t="n">
        <x:v>31</x:v>
      </x:c>
      <x:c r="C602" t="n">
        <x:v>0.15000000000000008</x:v>
      </x:c>
      <x:c r="D602" t="n">
        <x:v>75</x:v>
      </x:c>
      <x:c r="E602" t="n">
        <x:v>106</x:v>
      </x:c>
      <x:c r="F602" t="n">
        <x:v>0.1750000000000002</x:v>
      </x:c>
      <x:c r="G602" t="n">
        <x:v>0.3250000000000003</x:v>
      </x:c>
      <x:c r="H602" t="n">
        <x:v>2.134957670422552e-9</x:v>
      </x:c>
      <x:c r="I602" t="n">
        <x:v>1.029635796884623e-7</x:v>
      </x:c>
      <x:c r="J602" t="n">
        <x:v>1.6832943643435643</x:v>
      </x:c>
      <x:c r="K602" t="n">
        <x:v>11.237526250028225</x:v>
      </x:c>
      <x:c r="L602" t="n">
        <x:v>0.9999424692918121</x:v>
      </x:c>
      <x:c r="M602" t="n">
        <x:v>88.9875563136049</x:v>
      </x:c>
      <x:c r="N602" t="n">
        <x:v>0.00025613814026849603</x:v>
      </x:c>
      <x:c r="O602" t="str">
        <x:v>NO</x:v>
      </x:c>
      <x:c r="P602" t="str">
        <x:v>NO</x:v>
      </x:c>
    </x:row>
    <x:row r="603">
      <x:c r="A603" t="str">
        <x:v>LP</x:v>
      </x:c>
      <x:c r="B603" t="n">
        <x:v>31</x:v>
      </x:c>
      <x:c r="C603" t="n">
        <x:v>0.1500000000000001</x:v>
      </x:c>
      <x:c r="D603" t="n">
        <x:v>76</x:v>
      </x:c>
      <x:c r="E603" t="n">
        <x:v>107</x:v>
      </x:c>
      <x:c r="F603" t="n">
        <x:v>0.1800000000000002</x:v>
      </x:c>
      <x:c r="G603" t="n">
        <x:v>0.3300000000000003</x:v>
      </x:c>
      <x:c r="H603" t="n">
        <x:v>2.436117799521789e-9</x:v>
      </x:c>
      <x:c r="I603" t="n">
        <x:v>1.165741107072096e-7</x:v>
      </x:c>
      <x:c r="J603" t="n">
        <x:v>1.6799038261322652</x:v>
      </x:c>
      <x:c r="K603" t="n">
        <x:v>11.215509386477782</x:v>
      </x:c>
      <x:c r="L603" t="n">
        <x:v>0.9999357002516102</x:v>
      </x:c>
      <x:c r="M603" t="n">
        <x:v>89.16224538188798</x:v>
      </x:c>
      <x:c r="N603" t="n">
        <x:v>0.0002899964823517527</x:v>
      </x:c>
      <x:c r="O603" t="str">
        <x:v>NO</x:v>
      </x:c>
      <x:c r="P603" t="str">
        <x:v>NO</x:v>
      </x:c>
    </x:row>
    <x:row r="604">
      <x:c r="A604" t="str">
        <x:v>LP</x:v>
      </x:c>
      <x:c r="B604" t="n">
        <x:v>31</x:v>
      </x:c>
      <x:c r="C604" t="n">
        <x:v>0.1500000000000001</x:v>
      </x:c>
      <x:c r="D604" t="n">
        <x:v>77</x:v>
      </x:c>
      <x:c r="E604" t="n">
        <x:v>108</x:v>
      </x:c>
      <x:c r="F604" t="n">
        <x:v>0.1850000000000002</x:v>
      </x:c>
      <x:c r="G604" t="n">
        <x:v>0.3350000000000003</x:v>
      </x:c>
      <x:c r="H604" t="n">
        <x:v>2.77949171892227e-9</x:v>
      </x:c>
      <x:c r="I604" t="n">
        <x:v>1.319166235729035e-7</x:v>
      </x:c>
      <x:c r="J604" t="n">
        <x:v>1.6763341424805471</x:v>
      </x:c>
      <x:c r="K604" t="n">
        <x:v>11.19229838219914</x:v>
      </x:c>
      <x:c r="L604" t="n">
        <x:v>0.999928252475774</x:v>
      </x:c>
      <x:c r="M604" t="n">
        <x:v>89.34715335953302</x:v>
      </x:c>
      <x:c r="N604" t="n">
        <x:v>0.0003281634023865334</x:v>
      </x:c>
      <x:c r="O604" t="str">
        <x:v>NO</x:v>
      </x:c>
      <x:c r="P604" t="str">
        <x:v>NO</x:v>
      </x:c>
    </x:row>
    <x:row r="605">
      <x:c r="A605" t="str">
        <x:v>LP</x:v>
      </x:c>
      <x:c r="B605" t="n">
        <x:v>31</x:v>
      </x:c>
      <x:c r="C605" t="n">
        <x:v>0.1500000000000001</x:v>
      </x:c>
      <x:c r="D605" t="n">
        <x:v>78</x:v>
      </x:c>
      <x:c r="E605" t="n">
        <x:v>109</x:v>
      </x:c>
      <x:c r="F605" t="n">
        <x:v>0.1900000000000002</x:v>
      </x:c>
      <x:c r="G605" t="n">
        <x:v>0.3400000000000003</x:v>
      </x:c>
      <x:c r="H605" t="n">
        <x:v>3.170935027767185e-9</x:v>
      </x:c>
      <x:c r="I605" t="n">
        <x:v>1.491994546466443e-7</x:v>
      </x:c>
      <x:c r="J605" t="n">
        <x:v>1.6725798922525295</x:v>
      </x:c>
      <x:c r="K605" t="n">
        <x:v>11.167852537715518</x:v>
      </x:c>
      <x:c r="L605" t="n">
        <x:v>0.9999200741739896</x:v>
      </x:c>
      <x:c r="M605" t="n">
        <x:v>89.54272960023869</x:v>
      </x:c>
      <x:c r="N605" t="n">
        <x:v>0.00037115716992255655</x:v>
      </x:c>
      <x:c r="O605" t="str">
        <x:v>NO</x:v>
      </x:c>
      <x:c r="P605" t="str">
        <x:v>NO</x:v>
      </x:c>
    </x:row>
    <x:row r="606">
      <x:c r="A606" t="str">
        <x:v>LP</x:v>
      </x:c>
      <x:c r="B606" t="n">
        <x:v>31</x:v>
      </x:c>
      <x:c r="C606" t="n">
        <x:v>0.1500000000000001</x:v>
      </x:c>
      <x:c r="D606" t="n">
        <x:v>79</x:v>
      </x:c>
      <x:c r="E606" t="n">
        <x:v>110</x:v>
      </x:c>
      <x:c r="F606" t="n">
        <x:v>0.1950000000000002</x:v>
      </x:c>
      <x:c r="G606" t="n">
        <x:v>0.3450000000000003</x:v>
      </x:c>
      <x:c r="H606" t="n">
        <x:v>3.617102566781934e-9</x:v>
      </x:c>
      <x:c r="I606" t="n">
        <x:v>1.686539887478547e-7</x:v>
      </x:c>
      <x:c r="J606" t="n">
        <x:v>1.6686357931026592</x:v>
      </x:c>
      <x:c r="K606" t="n">
        <x:v>11.142131710234764</x:v>
      </x:c>
      <x:c r="L606" t="n">
        <x:v>0.9999111129075781</x:v>
      </x:c>
      <x:c r="M606" t="n">
        <x:v>89.74943269441302</x:v>
      </x:c>
      <x:c r="N606" t="n">
        <x:v>0.0004195533911840096</x:v>
      </x:c>
      <x:c r="O606" t="str">
        <x:v>NO</x:v>
      </x:c>
      <x:c r="P606" t="str">
        <x:v>NO</x:v>
      </x:c>
    </x:row>
    <x:row r="607">
      <x:c r="A607" t="str">
        <x:v>LP</x:v>
      </x:c>
      <x:c r="B607" t="n">
        <x:v>31</x:v>
      </x:c>
      <x:c r="C607" t="n">
        <x:v>0.1500000000000001</x:v>
      </x:c>
      <x:c r="D607" t="n">
        <x:v>80</x:v>
      </x:c>
      <x:c r="E607" t="n">
        <x:v>111</x:v>
      </x:c>
      <x:c r="F607" t="n">
        <x:v>0.2000000000000002</x:v>
      </x:c>
      <x:c r="G607" t="n">
        <x:v>0.3500000000000003</x:v>
      </x:c>
      <x:c r="H607" t="n">
        <x:v>4.125554792534778e-9</x:v>
      </x:c>
      <x:c r="I607" t="n">
        <x:v>1.905369055394056e-7</x:v>
      </x:c>
      <x:c r="J607" t="n">
        <x:v>1.6644967482103725</x:v>
      </x:c>
      <x:c r="K607" t="n">
        <x:v>11.115096670951324</x:v>
      </x:c>
      <x:c r="L607" t="n">
        <x:v>0.9999013162351615</x:v>
      </x:c>
      <x:c r="M607" t="n">
        <x:v>89.96772854107904</x:v>
      </x:c>
      <x:c r="N607" t="n">
        <x:v>0.00047399059730677</x:v>
      </x:c>
      <x:c r="O607" t="str">
        <x:v>NO</x:v>
      </x:c>
      <x:c r="P607" t="str">
        <x:v>NO</x:v>
      </x:c>
    </x:row>
    <x:row r="608">
      <x:c r="A608" t="str">
        <x:v>LP</x:v>
      </x:c>
      <x:c r="B608" t="n">
        <x:v>31</x:v>
      </x:c>
      <x:c r="C608" t="n">
        <x:v>0.1500000000000001</x:v>
      </x:c>
      <x:c r="D608" t="n">
        <x:v>81</x:v>
      </x:c>
      <x:c r="E608" t="n">
        <x:v>112</x:v>
      </x:c>
      <x:c r="F608" t="n">
        <x:v>0.2050000000000002</x:v>
      </x:c>
      <x:c r="G608" t="n">
        <x:v>0.3550000000000003</x:v>
      </x:c>
      <x:c r="H608" t="n">
        <x:v>4.7048777512138814e-9</x:v>
      </x:c>
      <x:c r="I608" t="n">
        <x:v>2.15132598123149e-7</x:v>
      </x:c>
      <x:c r="J608" t="n">
        <x:v>1.6601578787038251</x:v>
      </x:c>
      <x:c r="K608" t="n">
        <x:v>11.086709454553546</x:v>
      </x:c>
      <x:c r="L608" t="n">
        <x:v>0.9998906324048713</x:v>
      </x:c>
      <x:c r="M608" t="n">
        <x:v>90.19808844988528</x:v>
      </x:c>
      <x:c r="N608" t="n">
        <x:v>0.0005351762609761695</x:v>
      </x:c>
      <x:c r="O608" t="str">
        <x:v>NO</x:v>
      </x:c>
      <x:c r="P608" t="str">
        <x:v>NO</x:v>
      </x:c>
    </x:row>
    <x:row r="609">
      <x:c r="A609" t="str">
        <x:v>LP</x:v>
      </x:c>
      <x:c r="B609" t="n">
        <x:v>31</x:v>
      </x:c>
      <x:c r="C609" t="n">
        <x:v>0.15000000000000013</x:v>
      </x:c>
      <x:c r="D609" t="n">
        <x:v>82</x:v>
      </x:c>
      <x:c r="E609" t="n">
        <x:v>113</x:v>
      </x:c>
      <x:c r="F609" t="n">
        <x:v>0.2100000000000002</x:v>
      </x:c>
      <x:c r="G609" t="n">
        <x:v>0.3600000000000003</x:v>
      </x:c>
      <x:c r="H609" t="n">
        <x:v>5.3648182780588584e-9</x:v>
      </x:c>
      <x:c r="I609" t="n">
        <x:v>2.427558290030328e-7</x:v>
      </x:c>
      <x:c r="J609" t="n">
        <x:v>1.6556146511564913</x:v>
      </x:c>
      <x:c r="K609" t="n">
        <x:v>11.056933814946298</x:v>
      </x:c>
      <x:c r="L609" t="n">
        <x:v>0.999879011399478</x:v>
      </x:c>
      <x:c r="M609" t="n">
        <x:v>90.44098632916135</x:v>
      </x:c>
      <x:c r="N609" t="n">
        <x:v>0.0006038934035540472</x:v>
      </x:c>
      <x:c r="O609" t="str">
        <x:v>NO</x:v>
      </x:c>
      <x:c r="P609" t="str">
        <x:v>NO</x:v>
      </x:c>
    </x:row>
    <x:row r="610">
      <x:c r="A610" t="str">
        <x:v>LP</x:v>
      </x:c>
      <x:c r="B610" t="n">
        <x:v>31</x:v>
      </x:c>
      <x:c r="C610" t="n">
        <x:v>0.15000000000000013</x:v>
      </x:c>
      <x:c r="D610" t="n">
        <x:v>83</x:v>
      </x:c>
      <x:c r="E610" t="n">
        <x:v>114</x:v>
      </x:c>
      <x:c r="F610" t="n">
        <x:v>0.2150000000000002</x:v>
      </x:c>
      <x:c r="G610" t="n">
        <x:v>0.3650000000000003</x:v>
      </x:c>
      <x:c r="H610" t="n">
        <x:v>6.116436220906963e-9</x:v>
      </x:c>
      <x:c r="I610" t="n">
        <x:v>2.737545560534216e-7</x:v>
      </x:c>
      <x:c r="J610" t="n">
        <x:v>1.6508629043108733</x:v>
      </x:c>
      <x:c r="K610" t="n">
        <x:v>11.025735656522839</x:v>
      </x:c>
      <x:c r="L610" t="n">
        <x:v>0.9998664060106777</x:v>
      </x:c>
      <x:c r="M610" t="n">
        <x:v>90.69689598520338</x:v>
      </x:c>
      <x:c r="N610" t="n">
        <x:v>0.0006810076251205593</x:v>
      </x:c>
      <x:c r="O610" t="str">
        <x:v>NO</x:v>
      </x:c>
      <x:c r="P610" t="str">
        <x:v>NO</x:v>
      </x:c>
    </x:row>
    <x:row r="611">
      <x:c r="A611" t="str">
        <x:v>LP</x:v>
      </x:c>
      <x:c r="B611" t="n">
        <x:v>31</x:v>
      </x:c>
      <x:c r="C611" t="n">
        <x:v>0.15000000000000008</x:v>
      </x:c>
      <x:c r="D611" t="n">
        <x:v>84</x:v>
      </x:c>
      <x:c r="E611" t="n">
        <x:v>115</x:v>
      </x:c>
      <x:c r="F611" t="n">
        <x:v>0.2200000000000002</x:v>
      </x:c>
      <x:c r="G611" t="n">
        <x:v>0.3700000000000003</x:v>
      </x:c>
      <x:c r="H611" t="n">
        <x:v>6.972275672665353e-9</x:v>
      </x:c>
      <x:c r="I611" t="n">
        <x:v>3.085129870941359e-7</x:v>
      </x:c>
      <x:c r="J611" t="n">
        <x:v>1.6458989006291347</x:v>
      </x:c>
      <x:c r="K611" t="n">
        <x:v>10.993083470334806</x:v>
      </x:c>
      <x:c r="L611" t="n">
        <x:v>0.9998527730136186</x:v>
      </x:c>
      <x:c r="M611" t="n">
        <x:v>90.96628827558096</x:v>
      </x:c>
      <x:c r="N611" t="n">
        <x:v>0.0007674747032112501</x:v>
      </x:c>
      <x:c r="O611" t="str">
        <x:v>NO</x:v>
      </x:c>
      <x:c r="P611" t="str">
        <x:v>NO</x:v>
      </x:c>
    </x:row>
    <x:row r="612">
      <x:c r="A612" t="str">
        <x:v>LP</x:v>
      </x:c>
      <x:c r="B612" t="n">
        <x:v>31</x:v>
      </x:c>
      <x:c r="C612" t="n">
        <x:v>0.15000000000000008</x:v>
      </x:c>
      <x:c r="D612" t="n">
        <x:v>85</x:v>
      </x:c>
      <x:c r="E612" t="n">
        <x:v>116</x:v>
      </x:c>
      <x:c r="F612" t="n">
        <x:v>0.2250000000000002</x:v>
      </x:c>
      <x:c r="G612" t="n">
        <x:v>0.3750000000000003</x:v>
      </x:c>
      <x:c r="H612" t="n">
        <x:v>7.946557398246181e-9</x:v>
      </x:c>
      <x:c r="I612" t="n">
        <x:v>3.474548724799429e-7</x:v>
      </x:c>
      <x:c r="J612" t="n">
        <x:v>1.6407193816575107</x:v>
      </x:c>
      <x:c r="K612" t="n">
        <x:v>10.958948777079437</x:v>
      </x:c>
      <x:c r="L612" t="n">
        <x:v>0.9998380744454974</x:v>
      </x:c>
      <x:c r="M612" t="n">
        <x:v>91.24962807486544</x:v>
      </x:c>
      <x:c r="N612" t="n">
        <x:v>0.0008643487836526008</x:v>
      </x:c>
      <x:c r="O612" t="str">
        <x:v>NO</x:v>
      </x:c>
      <x:c r="P612" t="str">
        <x:v>NO</x:v>
      </x:c>
    </x:row>
    <x:row r="613">
      <x:c r="A613" t="str">
        <x:v>LP</x:v>
      </x:c>
      <x:c r="B613" t="n">
        <x:v>31</x:v>
      </x:c>
      <x:c r="C613" t="n">
        <x:v>0.15000000000000008</x:v>
      </x:c>
      <x:c r="D613" t="n">
        <x:v>86</x:v>
      </x:c>
      <x:c r="E613" t="n">
        <x:v>117</x:v>
      </x:c>
      <x:c r="F613" t="n">
        <x:v>0.2300000000000002</x:v>
      </x:c>
      <x:c r="G613" t="n">
        <x:v>0.3800000000000003</x:v>
      </x:c>
      <x:c r="H613" t="n">
        <x:v>9.055394856811717e-9</x:v>
      </x:c>
      <x:c r="I613" t="n">
        <x:v>3.91047048787814e-7</x:v>
      </x:c>
      <x:c r="J613" t="n">
        <x:v>1.635321620340707</x:v>
      </x:c>
      <x:c r="K613" t="n">
        <x:v>10.923306570252803</x:v>
      </x:c>
      <x:c r="L613" t="n">
        <x:v>0.9998222789643604</x:v>
      </x:c>
      <x:c r="M613" t="n">
        <x:v>91.54737107931015</x:v>
      </x:c>
      <x:c r="N613" t="n">
        <x:v>0.0009727911960428693</x:v>
      </x:c>
      <x:c r="O613" t="str">
        <x:v>NO</x:v>
      </x:c>
      <x:c r="P613" t="str">
        <x:v>NO</x:v>
      </x:c>
    </x:row>
    <x:row r="614">
      <x:c r="A614" t="str">
        <x:v>LP</x:v>
      </x:c>
      <x:c r="B614" t="n">
        <x:v>31</x:v>
      </x:c>
      <x:c r="C614" t="n">
        <x:v>0.15000000000000008</x:v>
      </x:c>
      <x:c r="D614" t="n">
        <x:v>87</x:v>
      </x:c>
      <x:c r="E614" t="n">
        <x:v>118</x:v>
      </x:c>
      <x:c r="F614" t="n">
        <x:v>0.2350000000000002</x:v>
      </x:c>
      <x:c r="G614" t="n">
        <x:v>0.3850000000000003</x:v>
      </x:c>
      <x:c r="H614" t="n">
        <x:v>1.031703645006383e-8</x:v>
      </x:c>
      <x:c r="I614" t="n">
        <x:v>4.398032494401846e-7</x:v>
      </x:c>
      <x:c r="J614" t="n">
        <x:v>1.6297034688701606</x:v>
      </x:c>
      <x:c r="K614" t="n">
        <x:v>10.88613575143008</x:v>
      </x:c>
      <x:c r="L614" t="n">
        <x:v>0.9998053632541842</x:v>
      </x:c>
      <x:c r="M614" t="n">
        <x:v>91.8599604886089</x:v>
      </x:c>
      <x:c r="N614" t="n">
        <x:v>0.0010940799332783253</x:v>
      </x:c>
      <x:c r="O614" t="str">
        <x:v>NO</x:v>
      </x:c>
      <x:c r="P614" t="str">
        <x:v>NO</x:v>
      </x:c>
    </x:row>
    <x:row r="615">
      <x:c r="A615" t="str">
        <x:v>LP</x:v>
      </x:c>
      <x:c r="B615" t="n">
        <x:v>31</x:v>
      </x:c>
      <x:c r="C615" t="n">
        <x:v>0.15000000000000008</x:v>
      </x:c>
      <x:c r="D615" t="n">
        <x:v>88</x:v>
      </x:c>
      <x:c r="E615" t="n">
        <x:v>119</x:v>
      </x:c>
      <x:c r="F615" t="n">
        <x:v>0.2400000000000002</x:v>
      </x:c>
      <x:c r="G615" t="n">
        <x:v>0.3900000000000003</x:v>
      </x:c>
      <x:c r="H615" t="n">
        <x:v>1.1752136871608331e-8</x:v>
      </x:c>
      <x:c r="I615" t="n">
        <x:v>4.942881983435589e-7</x:v>
      </x:c>
      <x:c r="J615" t="n">
        <x:v>1.6238634005067754</x:v>
      </x:c>
      <x:c r="K615" t="n">
        <x:v>10.847419548232137</x:v>
      </x:c>
      <x:c r="L615" t="n">
        <x:v>0.9997873134311747</x:v>
      </x:c>
      <x:c r="M615" t="n">
        <x:v>92.1878236158917</x:v>
      </x:c>
      <x:c r="N615" t="n">
        <x:v>0.0012296198351247852</x:v>
      </x:c>
      <x:c r="O615" t="str">
        <x:v>NO</x:v>
      </x:c>
      <x:c r="P615" t="str">
        <x:v>NO</x:v>
      </x:c>
    </x:row>
    <x:row r="616">
      <x:c r="A616" t="str">
        <x:v>LP</x:v>
      </x:c>
      <x:c r="B616" t="n">
        <x:v>31</x:v>
      </x:c>
      <x:c r="C616" t="n">
        <x:v>0.15000000000000022</x:v>
      </x:c>
      <x:c r="D616" t="n">
        <x:v>89</x:v>
      </x:c>
      <x:c r="E616" t="n">
        <x:v>120</x:v>
      </x:c>
      <x:c r="F616" t="n">
        <x:v>0.2450000000000002</x:v>
      </x:c>
      <x:c r="G616" t="n">
        <x:v>0.3950000000000004</x:v>
      </x:c>
      <x:c r="H616" t="n">
        <x:v>1.3384060690676641e-8</x:v>
      </x:c>
      <x:c r="I616" t="n">
        <x:v>5.551220023358563e-7</x:v>
      </x:c>
      <x:c r="J616" t="n">
        <x:v>1.617800543705357</x:v>
      </x:c>
      <x:c r="K616" t="n">
        <x:v>10.80714590416411</x:v>
      </x:c>
      <x:c r="L616" t="n">
        <x:v>0.9997681263943916</x:v>
      </x:c>
      <x:c r="M616" t="n">
        <x:v>92.5313684915357</x:v>
      </x:c>
      <x:c r="N616" t="n">
        <x:v>0.001380953515123008</x:v>
      </x:c>
      <x:c r="O616" t="str">
        <x:v>NO</x:v>
      </x:c>
      <x:c r="P616" t="str">
        <x:v>NO</x:v>
      </x:c>
    </x:row>
    <x:row r="617">
      <x:c r="A617" t="str">
        <x:v>LP</x:v>
      </x:c>
      <x:c r="B617" t="n">
        <x:v>31</x:v>
      </x:c>
      <x:c r="C617" t="n">
        <x:v>0.1500000000000002</x:v>
      </x:c>
      <x:c r="D617" t="n">
        <x:v>90</x:v>
      </x:c>
      <x:c r="E617" t="n">
        <x:v>121</x:v>
      </x:c>
      <x:c r="F617" t="n">
        <x:v>0.2500000000000002</x:v>
      </x:c>
      <x:c r="G617" t="n">
        <x:v>0.4000000000000004</x:v>
      </x:c>
      <x:c r="H617" t="n">
        <x:v>1.523922157501657e-8</x:v>
      </x:c>
      <x:c r="I617" t="n">
        <x:v>6.229848571863765e-7</x:v>
      </x:c>
      <x:c r="J617" t="n">
        <x:v>1.6115147067968003</x:v>
      </x:c>
      <x:c r="K617" t="n">
        <x:v>10.765307828232324</x:v>
      </x:c>
      <x:c r="L617" t="n">
        <x:v>0.9997478110518383</x:v>
      </x:c>
      <x:c r="M617" t="n">
        <x:v>92.89098054190998</x:v>
      </x:c>
      <x:c r="N617" t="n">
        <x:v>0.0015497730675056737</x:v>
      </x:c>
      <x:c r="O617" t="str">
        <x:v>NO</x:v>
      </x:c>
      <x:c r="P617" t="str">
        <x:v>NO</x:v>
      </x:c>
    </x:row>
    <x:row r="618">
      <x:c r="A618" t="str">
        <x:v>LP</x:v>
      </x:c>
      <x:c r="B618" t="n">
        <x:v>31</x:v>
      </x:c>
      <x:c r="C618" t="n">
        <x:v>0.1500000000000002</x:v>
      </x:c>
      <x:c r="D618" t="n">
        <x:v>91</x:v>
      </x:c>
      <x:c r="E618" t="n">
        <x:v>122</x:v>
      </x:c>
      <x:c r="F618" t="n">
        <x:v>0.2550000000000002</x:v>
      </x:c>
      <x:c r="G618" t="n">
        <x:v>0.4050000000000004</x:v>
      </x:c>
      <x:c r="H618" t="n">
        <x:v>1.7347460841589792e-8</x:v>
      </x:c>
      <x:c r="I618" t="n">
        <x:v>6.986220797940975e-7</x:v>
      </x:c>
      <x:c r="J618" t="n">
        <x:v>1.605006391467379</x:v>
      </x:c>
      <x:c r="K618" t="n">
        <x:v>10.721903691123018</x:v>
      </x:c>
      <x:c r="L618" t="n">
        <x:v>0.9997263893417845</x:v>
      </x:c>
      <x:c r="M618" t="n">
        <x:v>93.26701944058028</x:v>
      </x:c>
      <x:c r="N618" t="n">
        <x:v>0.0017379325855841504</x:v>
      </x:c>
      <x:c r="O618" t="str">
        <x:v>NO</x:v>
      </x:c>
      <x:c r="P618" t="str">
        <x:v>NO</x:v>
      </x:c>
    </x:row>
    <x:row r="619">
      <x:c r="A619" t="str">
        <x:v>LP</x:v>
      </x:c>
      <x:c r="B619" t="n">
        <x:v>31</x:v>
      </x:c>
      <x:c r="C619" t="n">
        <x:v>0.15000000000000024</x:v>
      </x:c>
      <x:c r="D619" t="n">
        <x:v>92</x:v>
      </x:c>
      <x:c r="E619" t="n">
        <x:v>123</x:v>
      </x:c>
      <x:c r="F619" t="n">
        <x:v>0.2600000000000002</x:v>
      </x:c>
      <x:c r="G619" t="n">
        <x:v>0.4100000000000004</x:v>
      </x:c>
      <x:c r="H619" t="n">
        <x:v>1.974246931861928e-8</x:v>
      </x:c>
      <x:c r="I619" t="n">
        <x:v>7.82849475753335e-7</x:v>
      </x:c>
      <x:c r="J619" t="n">
        <x:v>1.5982767933223831</x:v>
      </x:c>
      <x:c r="K619" t="n">
        <x:v>10.676937453849645</x:v>
      </x:c>
      <x:c r="L619" t="n">
        <x:v>0.9997038969592702</x:v>
      </x:c>
      <x:c r="M619" t="n">
        <x:v>93.65981624622546</x:v>
      </x:c>
      <x:c r="N619" t="n">
        <x:v>0.001947461514414456</x:v>
      </x:c>
      <x:c r="O619" t="str">
        <x:v>NO</x:v>
      </x:c>
      <x:c r="P619" t="str">
        <x:v>NO</x:v>
      </x:c>
    </x:row>
    <x:row r="620">
      <x:c r="A620" t="str">
        <x:v>LP</x:v>
      </x:c>
      <x:c r="B620" t="n">
        <x:v>31</x:v>
      </x:c>
      <x:c r="C620" t="n">
        <x:v>0.15000000000000024</x:v>
      </x:c>
      <x:c r="D620" t="n">
        <x:v>93</x:v>
      </x:c>
      <x:c r="E620" t="n">
        <x:v>124</x:v>
      </x:c>
      <x:c r="F620" t="n">
        <x:v>0.2650000000000002</x:v>
      </x:c>
      <x:c r="G620" t="n">
        <x:v>0.4150000000000004</x:v>
      </x:c>
      <x:c r="H620" t="n">
        <x:v>2.2462256806987223e-8</x:v>
      </x:c>
      <x:c r="I620" t="n">
        <x:v>8.765590462403014e-7</x:v>
      </x:c>
      <x:c r="J620" t="n">
        <x:v>1.5913277879483179</x:v>
      </x:c>
      <x:c r="K620" t="n">
        <x:v>10.630418814224683</x:v>
      </x:c>
      <x:c r="L620" t="n">
        <x:v>0.9996803836905359</x:v>
      </x:c>
      <x:c r="M620" t="n">
        <x:v>94.06967095801426</x:v>
      </x:c>
      <x:c r="N620" t="n">
        <x:v>0.0021805788475774634</x:v>
      </x:c>
      <x:c r="O620" t="str">
        <x:v>NO</x:v>
      </x:c>
      <x:c r="P620" t="str">
        <x:v>NO</x:v>
      </x:c>
    </x:row>
    <x:row r="621">
      <x:c r="A621" t="str">
        <x:v>LP</x:v>
      </x:c>
      <x:c r="B621" t="n">
        <x:v>31</x:v>
      </x:c>
      <x:c r="C621" t="n">
        <x:v>0.1500000000000002</x:v>
      </x:c>
      <x:c r="D621" t="n">
        <x:v>94</x:v>
      </x:c>
      <x:c r="E621" t="n">
        <x:v>125</x:v>
      </x:c>
      <x:c r="F621" t="n">
        <x:v>0.2700000000000002</x:v>
      </x:c>
      <x:c r="G621" t="n">
        <x:v>0.4200000000000004</x:v>
      </x:c>
      <x:c r="H621" t="n">
        <x:v>2.554967374128647e-8</x:v>
      </x:c>
      <x:c r="I621" t="n">
        <x:v>9.807250308368829e-7</x:v>
      </x:c>
      <x:c r="J621" t="n">
        <x:v>1.584161901101277</x:v>
      </x:c>
      <x:c r="K621" t="n">
        <x:v>10.582363256388499</x:v>
      </x:c>
      <x:c r="L621" t="n">
        <x:v>0.9996559132547694</x:v>
      </x:c>
      <x:c r="M621" t="n">
        <x:v>94.4968506345978</x:v>
      </x:c>
      <x:c r="N621" t="n">
        <x:v>0.0024397081596559066</x:v>
      </x:c>
      <x:c r="O621" t="str">
        <x:v>NO</x:v>
      </x:c>
      <x:c r="P621" t="str">
        <x:v>NO</x:v>
      </x:c>
    </x:row>
    <x:row r="622">
      <x:c r="A622" t="str">
        <x:v>LP</x:v>
      </x:c>
      <x:c r="B622" t="n">
        <x:v>31</x:v>
      </x:c>
      <x:c r="C622" t="n">
        <x:v>0.1500000000000002</x:v>
      </x:c>
      <x:c r="D622" t="n">
        <x:v>95</x:v>
      </x:c>
      <x:c r="E622" t="n">
        <x:v>126</x:v>
      </x:c>
      <x:c r="F622" t="n">
        <x:v>0.2750000000000002</x:v>
      </x:c>
      <x:c r="G622" t="n">
        <x:v>0.4250000000000004</x:v>
      </x:c>
      <x:c r="H622" t="n">
        <x:v>2.9052989969066852e-8</x:v>
      </x:c>
      <x:c r="I622" t="n">
        <x:v>0.000001096410273070978</x:v>
      </x:c>
      <x:c r="J622" t="n">
        <x:v>1.5767822619565885</x:v>
      </x:c>
      <x:c r="K622" t="n">
        <x:v>10.532791989019099</x:v>
      </x:c>
      <x:c r="L622" t="n">
        <x:v>0.9996305625542531</x:v>
      </x:c>
      <x:c r="M622" t="n">
        <x:v>94.9415882362952</x:v>
      </x:c>
      <x:c r="N622" t="n">
        <x:v>0.002727493441519723</x:v>
      </x:c>
      <x:c r="O622" t="str">
        <x:v>NO</x:v>
      </x:c>
      <x:c r="P622" t="str">
        <x:v>NO</x:v>
      </x:c>
    </x:row>
    <x:row r="623">
      <x:c r="A623" t="str">
        <x:v>LP</x:v>
      </x:c>
      <x:c r="B623" t="n">
        <x:v>31</x:v>
      </x:c>
      <x:c r="C623" t="n">
        <x:v>0.1500000000000002</x:v>
      </x:c>
      <x:c r="D623" t="n">
        <x:v>96</x:v>
      </x:c>
      <x:c r="E623" t="n">
        <x:v>127</x:v>
      </x:c>
      <x:c r="F623" t="n">
        <x:v>0.2800000000000002</x:v>
      </x:c>
      <x:c r="G623" t="n">
        <x:v>0.4300000000000004</x:v>
      </x:c>
      <x:c r="H623" t="n">
        <x:v>3.3026535889044646e-8</x:v>
      </x:c>
      <x:c r="I623" t="n">
        <x:v>0.000001224772882773201</x:v>
      </x:c>
      <x:c r="J623" t="n">
        <x:v>1.5691925387595491</x:v>
      </x:c>
      <x:c r="K623" t="n">
        <x:v>10.481731758846315</x:v>
      </x:c>
      <x:c r="L623" t="n">
        <x:v>0.9996044202418741</x:v>
      </x:c>
      <x:c r="M623" t="n">
        <x:v>95.40408236034331</x:v>
      </x:c>
      <x:c r="N623" t="n">
        <x:v>0.0030468156739889033</x:v>
      </x:c>
      <x:c r="O623" t="str">
        <x:v>NO</x:v>
      </x:c>
      <x:c r="P623" t="str">
        <x:v>NO</x:v>
      </x:c>
    </x:row>
    <x:row r="624">
      <x:c r="A624" t="str">
        <x:v>LP</x:v>
      </x:c>
      <x:c r="B624" t="n">
        <x:v>31</x:v>
      </x:c>
      <x:c r="C624" t="n">
        <x:v>0.15000000000000008</x:v>
      </x:c>
      <x:c r="D624" t="n">
        <x:v>97</x:v>
      </x:c>
      <x:c r="E624" t="n">
        <x:v>128</x:v>
      </x:c>
      <x:c r="F624" t="n">
        <x:v>0.2850000000000003</x:v>
      </x:c>
      <x:c r="G624" t="n">
        <x:v>0.4350000000000004</x:v>
      </x:c>
      <x:c r="H624" t="n">
        <x:v>3.753141151336801e-8</x:v>
      </x:c>
      <x:c r="I624" t="n">
        <x:v>0.000001367073153552329</x:v>
      </x:c>
      <x:c r="J624" t="n">
        <x:v>1.5613968567157785</x:v>
      </x:c>
      <x:c r="K624" t="n">
        <x:v>10.429214527774873</x:v>
      </x:c>
      <x:c r="L624" t="n">
        <x:v>0.999577584529916</x:v>
      </x:c>
      <x:c r="M624" t="n">
        <x:v>95.88449804506564</x:v>
      </x:c>
      <x:c r="N624" t="n">
        <x:v>0.0034008100361444527</x:v>
      </x:c>
      <x:c r="O624" t="str">
        <x:v>NO</x:v>
      </x:c>
      <x:c r="P624" t="str">
        <x:v>NO</x:v>
      </x:c>
    </x:row>
    <x:row r="625">
      <x:c r="A625" t="str">
        <x:v>LP</x:v>
      </x:c>
      <x:c r="B625" t="n">
        <x:v>31</x:v>
      </x:c>
      <x:c r="C625" t="n">
        <x:v>0.15000000000000008</x:v>
      </x:c>
      <x:c r="D625" t="n">
        <x:v>98</x:v>
      </x:c>
      <x:c r="E625" t="n">
        <x:v>129</x:v>
      </x:c>
      <x:c r="F625" t="n">
        <x:v>0.2900000000000003</x:v>
      </x:c>
      <x:c r="G625" t="n">
        <x:v>0.4400000000000004</x:v>
      </x:c>
      <x:c r="H625" t="n">
        <x:v>4.263626934374696e-8</x:v>
      </x:c>
      <x:c r="I625" t="n">
        <x:v>0.000001524680674616621</x:v>
      </x:c>
      <x:c r="J625" t="n">
        <x:v>1.5533996985445038</x:v>
      </x:c>
      <x:c r="K625" t="n">
        <x:v>10.375277004342554</x:v>
      </x:c>
      <x:c r="L625" t="n">
        <x:v>0.9995501601865329</x:v>
      </x:c>
      <x:c r="M625" t="n">
        <x:v>96.38296881918929</x:v>
      </x:c>
      <x:c r="N625" t="n">
        <x:v>0.0037928835971053404</x:v>
      </x:c>
      <x:c r="O625" t="str">
        <x:v>NO</x:v>
      </x:c>
      <x:c r="P625" t="str">
        <x:v>NO</x:v>
      </x:c>
    </x:row>
    <x:row r="626">
      <x:c r="A626" t="str">
        <x:v>LP</x:v>
      </x:c>
      <x:c r="B626" t="n">
        <x:v>31</x:v>
      </x:c>
      <x:c r="C626" t="n">
        <x:v>0.15000000000000008</x:v>
      </x:c>
      <x:c r="D626" t="n">
        <x:v>99</x:v>
      </x:c>
      <x:c r="E626" t="n">
        <x:v>130</x:v>
      </x:c>
      <x:c r="F626" t="n">
        <x:v>0.2950000000000003</x:v>
      </x:c>
      <x:c r="G626" t="n">
        <x:v>0.4450000000000004</x:v>
      </x:c>
      <x:c r="H626" t="n">
        <x:v>4.841817727521244e-8</x:v>
      </x:c>
      <x:c r="I626" t="n">
        <x:v>0.000001699081553814694</x:v>
      </x:c>
      <x:c r="J626" t="n">
        <x:v>1.5452057887719128</x:v>
      </x:c>
      <x:c r="K626" t="n">
        <x:v>10.319960023429188</x:v>
      </x:c>
      <x:c r="L626" t="n">
        <x:v>0.9995222546962315</x:v>
      </x:c>
      <x:c r="M626" t="n">
        <x:v>96.89960016605889</x:v>
      </x:c>
      <x:c r="N626" t="n">
        <x:v>0.00422673328448165</x:v>
      </x:c>
      <x:c r="O626" t="str">
        <x:v>NO</x:v>
      </x:c>
      <x:c r="P626" t="str">
        <x:v>NO</x:v>
      </x:c>
    </x:row>
    <x:row r="627">
      <x:c r="A627" t="str">
        <x:v>LP</x:v>
      </x:c>
      <x:c r="B627" t="n">
        <x:v>31</x:v>
      </x:c>
      <x:c r="C627" t="n">
        <x:v>0.15000000000000008</x:v>
      </x:c>
      <x:c r="D627" t="n">
        <x:v>100</x:v>
      </x:c>
      <x:c r="E627" t="n">
        <x:v>131</x:v>
      </x:c>
      <x:c r="F627" t="n">
        <x:v>0.3000000000000003</x:v>
      </x:c>
      <x:c r="G627" t="n">
        <x:v>0.4500000000000004</x:v>
      </x:c>
      <x:c r="H627" t="n">
        <x:v>5.4963568063869245e-8</x:v>
      </x:c>
      <x:c r="I627" t="n">
        <x:v>0.000001891885643347979</x:v>
      </x:c>
      <x:c r="J627" t="n">
        <x:v>1.5368199635428175</x:v>
      </x:c>
      <x:c r="K627" t="n">
        <x:v>10.263307772083724</x:v>
      </x:c>
      <x:c r="L627" t="n">
        <x:v>0.9994939735971988</x:v>
      </x:c>
      <x:c r="M627" t="n">
        <x:v>97.43447455799851</x:v>
      </x:c>
      <x:c r="N627" t="n">
        <x:v>0.0047063638594736935</x:v>
      </x:c>
      <x:c r="O627" t="str">
        <x:v>NO</x:v>
      </x:c>
      <x:c r="P627" t="str">
        <x:v>NO</x:v>
      </x:c>
    </x:row>
    <x:row r="628">
      <x:c r="A628" t="str">
        <x:v>LP</x:v>
      </x:c>
      <x:c r="B628" t="n">
        <x:v>31</x:v>
      </x:c>
      <x:c r="C628" t="n">
        <x:v>0.15000000000000008</x:v>
      </x:c>
      <x:c r="D628" t="n">
        <x:v>101</x:v>
      </x:c>
      <x:c r="E628" t="n">
        <x:v>132</x:v>
      </x:c>
      <x:c r="F628" t="n">
        <x:v>0.3050000000000003</x:v>
      </x:c>
      <x:c r="G628" t="n">
        <x:v>0.4550000000000004</x:v>
      </x:c>
      <x:c r="H628" t="n">
        <x:v>6.236928221678175e-8</x:v>
      </x:c>
      <x:c r="I628" t="n">
        <x:v>0.000002104833631576693</x:v>
      </x:c>
      <x:c r="J628" t="n">
        <x:v>1.5282470284450111</x:v>
      </x:c>
      <x:c r="K628" t="n">
        <x:v>10.205366863997845</x:v>
      </x:c>
      <x:c r="L628" t="n">
        <x:v>0.9994654150497616</x:v>
      </x:c>
      <x:c r="M628" t="n">
        <x:v>97.9876581926483</x:v>
      </x:c>
      <x:c r="N628" t="n">
        <x:v>0.005236105558857639</x:v>
      </x:c>
      <x:c r="O628" t="str">
        <x:v>NO</x:v>
      </x:c>
      <x:c r="P628" t="str">
        <x:v>NO</x:v>
      </x:c>
    </x:row>
    <x:row r="629">
      <x:c r="A629" t="str">
        <x:v>LP</x:v>
      </x:c>
      <x:c r="B629" t="n">
        <x:v>31</x:v>
      </x:c>
      <x:c r="C629" t="n">
        <x:v>0.15000000000000013</x:v>
      </x:c>
      <x:c r="D629" t="n">
        <x:v>102</x:v>
      </x:c>
      <x:c r="E629" t="n">
        <x:v>133</x:v>
      </x:c>
      <x:c r="F629" t="n">
        <x:v>0.3100000000000003</x:v>
      </x:c>
      <x:c r="G629" t="n">
        <x:v>0.4600000000000004</x:v>
      </x:c>
      <x:c r="H629" t="n">
        <x:v>7.074371148474389e-8</x:v>
      </x:c>
      <x:c r="I629" t="n">
        <x:v>0.000002339803834458113</x:v>
      </x:c>
      <x:c r="J629" t="n">
        <x:v>1.519491607537078</x:v>
      </x:c>
      <x:c r="K629" t="n">
        <x:v>10.146185270431141</x:v>
      </x:c>
      <x:c r="L629" t="n">
        <x:v>0.9994366637341701</x:v>
      </x:c>
      <x:c r="M629" t="n">
        <x:v>98.55920953013576</x:v>
      </x:c>
      <x:c r="N629" t="n">
        <x:v>0.005820630989759127</x:v>
      </x:c>
      <x:c r="O629" t="str">
        <x:v>NO</x:v>
      </x:c>
      <x:c r="P629" t="str">
        <x:v>NO</x:v>
      </x:c>
    </x:row>
    <x:row r="630">
      <x:c r="A630" t="str">
        <x:v>LP</x:v>
      </x:c>
      <x:c r="B630" t="n">
        <x:v>31</x:v>
      </x:c>
      <x:c r="C630" t="n">
        <x:v>0.15000000000000013</x:v>
      </x:c>
      <x:c r="D630" t="n">
        <x:v>103</x:v>
      </x:c>
      <x:c r="E630" t="n">
        <x:v>134</x:v>
      </x:c>
      <x:c r="F630" t="n">
        <x:v>0.3150000000000003</x:v>
      </x:c>
      <x:c r="G630" t="n">
        <x:v>0.4650000000000004</x:v>
      </x:c>
      <x:c r="H630" t="n">
        <x:v>8.020805046558592e-8</x:v>
      </x:c>
      <x:c r="I630" t="n">
        <x:v>0.000002598818489486496</x:v>
      </x:c>
      <x:c r="J630" t="n">
        <x:v>1.5105579874045496</x:v>
      </x:c>
      <x:c r="K630" t="n">
        <x:v>10.085811121131316</x:v>
      </x:c>
      <x:c r="L630" t="n">
        <x:v>0.9994077842190485</x:v>
      </x:c>
      <x:c r="M630" t="n">
        <x:v>99.14918968736656</x:v>
      </x:c>
      <x:c r="N630" t="n">
        <x:v>0.006464970786821275</x:v>
      </x:c>
      <x:c r="O630" t="str">
        <x:v>NO</x:v>
      </x:c>
      <x:c r="P630" t="str">
        <x:v>NO</x:v>
      </x:c>
    </x:row>
    <x:row r="631">
      <x:c r="A631" t="str">
        <x:v>LP</x:v>
      </x:c>
      <x:c r="B631" t="n">
        <x:v>31</x:v>
      </x:c>
      <x:c r="C631" t="n">
        <x:v>0.15000000000000013</x:v>
      </x:c>
      <x:c r="D631" t="n">
        <x:v>104</x:v>
      </x:c>
      <x:c r="E631" t="n">
        <x:v>135</x:v>
      </x:c>
      <x:c r="F631" t="n">
        <x:v>0.3200000000000003</x:v>
      </x:c>
      <x:c r="G631" t="n">
        <x:v>0.4700000000000004</x:v>
      </x:c>
      <x:c r="H631" t="n">
        <x:v>9.08976641617378e-8</x:v>
      </x:c>
      <x:c r="I631" t="n">
        <x:v>0.000002884049324936066</x:v>
      </x:c>
      <x:c r="J631" t="n">
        <x:v>1.5014499606007075</x:v>
      </x:c>
      <x:c r="K631" t="n">
        <x:v>10.024291394798999</x:v>
      </x:c>
      <x:c r="L631" t="n">
        <x:v>0.9993788139805813</x:v>
      </x:c>
      <x:c r="M631" t="n">
        <x:v>99.75767469397785</x:v>
      </x:c>
      <x:c r="N631" t="n">
        <x:v>0.007174527466574794</x:v>
      </x:c>
      <x:c r="O631" t="str">
        <x:v>NO</x:v>
      </x:c>
      <x:c r="P631" t="str">
        <x:v>NO</x:v>
      </x:c>
    </x:row>
    <x:row r="632">
      <x:c r="A632" t="str">
        <x:v>LP</x:v>
      </x:c>
      <x:c r="B632" t="n">
        <x:v>31</x:v>
      </x:c>
      <x:c r="C632" t="n">
        <x:v>0.15000000000000013</x:v>
      </x:c>
      <x:c r="D632" t="n">
        <x:v>105</x:v>
      </x:c>
      <x:c r="E632" t="n">
        <x:v>136</x:v>
      </x:c>
      <x:c r="F632" t="n">
        <x:v>0.3250000000000003</x:v>
      </x:c>
      <x:c r="G632" t="n">
        <x:v>0.4750000000000004</x:v>
      </x:c>
      <x:c r="H632" t="n">
        <x:v>1.029635796884623e-7</x:v>
      </x:c>
      <x:c r="I632" t="n">
        <x:v>0.000003197822149427569</x:v>
      </x:c>
      <x:c r="J632" t="n">
        <x:v>1.4921706732129127</x:v>
      </x:c>
      <x:c r="K632" t="n">
        <x:v>9.961670524674556</x:v>
      </x:c>
      <x:c r="L632" t="n">
        <x:v>0.9993497562830207</x:v>
      </x:c>
      <x:c r="M632" t="n">
        <x:v>100.38476955476999</x:v>
      </x:c>
      <x:c r="N632" t="n">
        <x:v>0.007955086844708505</x:v>
      </x:c>
      <x:c r="O632" t="str">
        <x:v>NO</x:v>
      </x:c>
      <x:c r="P632" t="str">
        <x:v>NO</x:v>
      </x:c>
    </x:row>
    <x:row r="633">
      <x:c r="A633" t="str">
        <x:v>LP</x:v>
      </x:c>
      <x:c r="B633" t="n">
        <x:v>31</x:v>
      </x:c>
      <x:c r="C633" t="n">
        <x:v>0.15000000000000013</x:v>
      </x:c>
      <x:c r="D633" t="n">
        <x:v>106</x:v>
      </x:c>
      <x:c r="E633" t="n">
        <x:v>137</x:v>
      </x:c>
      <x:c r="F633" t="n">
        <x:v>0.3300000000000003</x:v>
      </x:c>
      <x:c r="G633" t="n">
        <x:v>0.4800000000000004</x:v>
      </x:c>
      <x:c r="H633" t="n">
        <x:v>1.165741107072096e-7</x:v>
      </x:c>
      <x:c r="I633" t="n">
        <x:v>0.000003542620183286753</x:v>
      </x:c>
      <x:c r="J633" t="n">
        <x:v>1.4827224815001587</x:v>
      </x:c>
      <x:c r="K633" t="n">
        <x:v>9.897988950597423</x:v>
      </x:c>
      <x:c r="L633" t="n">
        <x:v>0.9993205731500194</x:v>
      </x:c>
      <x:c r="M633" t="n">
        <x:v>101.03062399757903</x:v>
      </x:c>
      <x:c r="N633" t="n">
        <x:v>0.00881282632334885</x:v>
      </x:c>
      <x:c r="O633" t="str">
        <x:v>NO</x:v>
      </x:c>
      <x:c r="P633" t="str">
        <x:v>NO</x:v>
      </x:c>
    </x:row>
    <x:row r="634">
      <x:c r="A634" t="str">
        <x:v>LP</x:v>
      </x:c>
      <x:c r="B634" t="n">
        <x:v>31</x:v>
      </x:c>
      <x:c r="C634" t="n">
        <x:v>0.15000000000000008</x:v>
      </x:c>
      <x:c r="D634" t="n">
        <x:v>107</x:v>
      </x:c>
      <x:c r="E634" t="n">
        <x:v>138</x:v>
      </x:c>
      <x:c r="F634" t="n">
        <x:v>0.3350000000000003</x:v>
      </x:c>
      <x:c r="G634" t="n">
        <x:v>0.4850000000000004</x:v>
      </x:c>
      <x:c r="H634" t="n">
        <x:v>1.319166235729035e-7</x:v>
      </x:c>
      <x:c r="I634" t="n">
        <x:v>0.000003921085835950356</x:v>
      </x:c>
      <x:c r="J634" t="n">
        <x:v>1.4731068225430635</x:v>
      </x:c>
      <x:c r="K634" t="n">
        <x:v>9.833281654107115</x:v>
      </x:c>
      <x:c r="L634" t="n">
        <x:v>0.9992911786611399</x:v>
      </x:c>
      <x:c r="M634" t="n">
        <x:v>101.69544971615097</x:v>
      </x:c>
      <x:c r="N634" t="n">
        <x:v>0.009754319312637571</x:v>
      </x:c>
      <x:c r="O634" t="str">
        <x:v>NO</x:v>
      </x:c>
      <x:c r="P634" t="str">
        <x:v>YES</x:v>
      </x:c>
    </x:row>
    <x:row r="635">
      <x:c r="A635" t="str">
        <x:v>LP</x:v>
      </x:c>
      <x:c r="B635" t="n">
        <x:v>41</x:v>
      </x:c>
      <x:c r="C635" t="n">
        <x:v>0.20000000000000012</x:v>
      </x:c>
      <x:c r="D635" t="n">
        <x:v>0</x:v>
      </x:c>
      <x:c r="E635" t="n">
        <x:v>41</x:v>
      </x:c>
      <x:c r="F635" t="n">
        <x:v>-0.2</x:v>
      </x:c>
      <x:c r="G635" t="n">
        <x:v>9.887923813067799e-17</x:v>
      </x:c>
      <x:c r="H635" t="n">
        <x:v>1.114393572961754e-12</x:v>
      </x:c>
      <x:c r="I635" t="n">
        <x:v>2.115036673217059e-11</x:v>
      </x:c>
      <x:c r="J635" t="n">
        <x:v>1.2782793034127398</x:v>
      </x:c>
      <x:c r="K635" t="n">
        <x:v>6.495271976134732</x:v>
      </x:c>
      <x:c r="L635" t="n">
        <x:v>0.9399809073918753</x:v>
      </x:c>
      <x:c r="M635" t="n">
        <x:v>153.9581411947417</x:v>
      </x:c>
      <x:c r="N635" t="n">
        <x:v>5.261487233802826e-8</x:v>
      </x:c>
      <x:c r="O635" t="str">
        <x:v>YES</x:v>
      </x:c>
      <x:c r="P635" t="str">
        <x:v>NO</x:v>
      </x:c>
    </x:row>
    <x:row r="636">
      <x:c r="A636" t="str">
        <x:v>LP</x:v>
      </x:c>
      <x:c r="B636" t="n">
        <x:v>41</x:v>
      </x:c>
      <x:c r="C636" t="n">
        <x:v>0.2</x:v>
      </x:c>
      <x:c r="D636" t="n">
        <x:v>1</x:v>
      </x:c>
      <x:c r="E636" t="n">
        <x:v>42</x:v>
      </x:c>
      <x:c r="F636" t="n">
        <x:v>-0.195</x:v>
      </x:c>
      <x:c r="G636" t="n">
        <x:v>0.005</x:v>
      </x:c>
      <x:c r="H636" t="n">
        <x:v>1.124728504302294e-12</x:v>
      </x:c>
      <x:c r="I636" t="n">
        <x:v>2.4025571782320378e-11</x:v>
      </x:c>
      <x:c r="J636" t="n">
        <x:v>1.3296260304724559</x:v>
      </x:c>
      <x:c r="K636" t="n">
        <x:v>6.78374079243413</x:v>
      </x:c>
      <x:c r="L636" t="n">
        <x:v>0.9462018766923717</x:v>
      </x:c>
      <x:c r="M636" t="n">
        <x:v>147.41129276568094</x:v>
      </x:c>
      <x:c r="N636" t="n">
        <x:v>5.976739827646431e-8</x:v>
      </x:c>
      <x:c r="O636" t="str">
        <x:v>NO</x:v>
      </x:c>
      <x:c r="P636" t="str">
        <x:v>NO</x:v>
      </x:c>
    </x:row>
    <x:row r="637">
      <x:c r="A637" t="str">
        <x:v>LP</x:v>
      </x:c>
      <x:c r="B637" t="n">
        <x:v>41</x:v>
      </x:c>
      <x:c r="C637" t="n">
        <x:v>0.2000000000000001</x:v>
      </x:c>
      <x:c r="D637" t="n">
        <x:v>2</x:v>
      </x:c>
      <x:c r="E637" t="n">
        <x:v>43</x:v>
      </x:c>
      <x:c r="F637" t="n">
        <x:v>-0.19</x:v>
      </x:c>
      <x:c r="G637" t="n">
        <x:v>0.0100000000000001</x:v>
      </x:c>
      <x:c r="H637" t="n">
        <x:v>1.139010516579071e-12</x:v>
      </x:c>
      <x:c r="I637" t="n">
        <x:v>2.7310943261342637e-11</x:v>
      </x:c>
      <x:c r="J637" t="n">
        <x:v>1.3798089660229493</x:v>
      </x:c>
      <x:c r="K637" t="n">
        <x:v>7.067464500220345</x:v>
      </x:c>
      <x:c r="L637" t="n">
        <x:v>0.9519513483122206</x:v>
      </x:c>
      <x:c r="M637" t="n">
        <x:v>141.49345921282273</x:v>
      </x:c>
      <x:c r="N637" t="n">
        <x:v>6.794027788373982e-8</x:v>
      </x:c>
      <x:c r="O637" t="str">
        <x:v>NO</x:v>
      </x:c>
      <x:c r="P637" t="str">
        <x:v>NO</x:v>
      </x:c>
    </x:row>
    <x:row r="638">
      <x:c r="A638" t="str">
        <x:v>LP</x:v>
      </x:c>
      <x:c r="B638" t="n">
        <x:v>41</x:v>
      </x:c>
      <x:c r="C638" t="n">
        <x:v>0.2000000000000001</x:v>
      </x:c>
      <x:c r="D638" t="n">
        <x:v>3</x:v>
      </x:c>
      <x:c r="E638" t="n">
        <x:v>44</x:v>
      </x:c>
      <x:c r="F638" t="n">
        <x:v>-0.185</x:v>
      </x:c>
      <x:c r="G638" t="n">
        <x:v>0.0150000000000001</x:v>
      </x:c>
      <x:c r="H638" t="n">
        <x:v>1.155990295001871e-12</x:v>
      </x:c>
      <x:c r="I638" t="n">
        <x:v>3.106492981728692e-11</x:v>
      </x:c>
      <x:c r="J638" t="n">
        <x:v>1.4293161887556636</x:v>
      </x:c>
      <x:c r="K638" t="n">
        <x:v>7.345908250328576</x:v>
      </x:c>
      <x:c r="L638" t="n">
        <x:v>0.957281883669193</x:v>
      </x:c>
      <x:c r="M638" t="n">
        <x:v>136.13020554065196</x:v>
      </x:c>
      <x:c r="N638" t="n">
        <x:v>7.727891138834254e-8</x:v>
      </x:c>
      <x:c r="O638" t="str">
        <x:v>NO</x:v>
      </x:c>
      <x:c r="P638" t="str">
        <x:v>NO</x:v>
      </x:c>
    </x:row>
    <x:row r="639">
      <x:c r="A639" t="str">
        <x:v>LP</x:v>
      </x:c>
      <x:c r="B639" t="n">
        <x:v>41</x:v>
      </x:c>
      <x:c r="C639" t="n">
        <x:v>0.2000000000000001</x:v>
      </x:c>
      <x:c r="D639" t="n">
        <x:v>4</x:v>
      </x:c>
      <x:c r="E639" t="n">
        <x:v>45</x:v>
      </x:c>
      <x:c r="F639" t="n">
        <x:v>-0.18</x:v>
      </x:c>
      <x:c r="G639" t="n">
        <x:v>0.0200000000000001</x:v>
      </x:c>
      <x:c r="H639" t="n">
        <x:v>1.175859685930556e-12</x:v>
      </x:c>
      <x:c r="I639" t="n">
        <x:v>3.535429495798751e-11</x:v>
      </x:c>
      <x:c r="J639" t="n">
        <x:v>1.4780866799446581</x:v>
      </x:c>
      <x:c r="K639" t="n">
        <x:v>7.618172522189816</x:v>
      </x:c>
      <x:c r="L639" t="n">
        <x:v>0.9622048413242853</x:v>
      </x:c>
      <x:c r="M639" t="n">
        <x:v>131.2650766423643</x:v>
      </x:c>
      <x:c r="N639" t="n">
        <x:v>8.794938354360188e-8</x:v>
      </x:c>
      <x:c r="O639" t="str">
        <x:v>NO</x:v>
      </x:c>
      <x:c r="P639" t="str">
        <x:v>NO</x:v>
      </x:c>
    </x:row>
    <x:row r="640">
      <x:c r="A640" t="str">
        <x:v>LP</x:v>
      </x:c>
      <x:c r="B640" t="n">
        <x:v>41</x:v>
      </x:c>
      <x:c r="C640" t="n">
        <x:v>0.2000000000000001</x:v>
      </x:c>
      <x:c r="D640" t="n">
        <x:v>5</x:v>
      </x:c>
      <x:c r="E640" t="n">
        <x:v>46</x:v>
      </x:c>
      <x:c r="F640" t="n">
        <x:v>-0.175</x:v>
      </x:c>
      <x:c r="G640" t="n">
        <x:v>0.0250000000000001</x:v>
      </x:c>
      <x:c r="H640" t="n">
        <x:v>1.198891947305063e-12</x:v>
      </x:c>
      <x:c r="I640" t="n">
        <x:v>4.0255296840700295e-11</x:v>
      </x:c>
      <x:c r="J640" t="n">
        <x:v>1.5260429903118702</x:v>
      </x:c>
      <x:c r="K640" t="n">
        <x:v>7.883383018086473</x:v>
      </x:c>
      <x:c r="L640" t="n">
        <x:v>0.9667302469441471</x:v>
      </x:c>
      <x:c r="M640" t="n">
        <x:v>126.84909482461366</x:v>
      </x:c>
      <x:c r="N640" t="n">
        <x:v>1.0014139854044565e-7</x:v>
      </x:c>
      <x:c r="O640" t="str">
        <x:v>NO</x:v>
      </x:c>
      <x:c r="P640" t="str">
        <x:v>NO</x:v>
      </x:c>
    </x:row>
    <x:row r="641">
      <x:c r="A641" t="str">
        <x:v>LP</x:v>
      </x:c>
      <x:c r="B641" t="n">
        <x:v>41</x:v>
      </x:c>
      <x:c r="C641" t="n">
        <x:v>0.20000000000000012</x:v>
      </x:c>
      <x:c r="D641" t="n">
        <x:v>6</x:v>
      </x:c>
      <x:c r="E641" t="n">
        <x:v>47</x:v>
      </x:c>
      <x:c r="F641" t="n">
        <x:v>-0.17</x:v>
      </x:c>
      <x:c r="G641" t="n">
        <x:v>0.0300000000000001</x:v>
      </x:c>
      <x:c r="H641" t="n">
        <x:v>1.225439278370611e-12</x:v>
      </x:c>
      <x:c r="I641" t="n">
        <x:v>4.5855034789212085e-11</x:v>
      </x:c>
      <x:c r="J641" t="n">
        <x:v>1.5730952308364579</x:v>
      </x:c>
      <x:c r="K641" t="n">
        <x:v>8.140709462766964</x:v>
      </x:c>
      <x:c r="L641" t="n">
        <x:v>0.9708684189252175</x:v>
      </x:c>
      <x:c r="M641" t="n">
        <x:v>122.8394164628629</x:v>
      </x:c>
      <x:c r="N641" t="n">
        <x:v>1.1407162968103464e-7</x:v>
      </x:c>
      <x:c r="O641" t="str">
        <x:v>NO</x:v>
      </x:c>
      <x:c r="P641" t="str">
        <x:v>NO</x:v>
      </x:c>
    </x:row>
    <x:row r="642">
      <x:c r="A642" t="str">
        <x:v>LP</x:v>
      </x:c>
      <x:c r="B642" t="n">
        <x:v>41</x:v>
      </x:c>
      <x:c r="C642" t="n">
        <x:v>0.20000000000000012</x:v>
      </x:c>
      <x:c r="D642" t="n">
        <x:v>7</x:v>
      </x:c>
      <x:c r="E642" t="n">
        <x:v>48</x:v>
      </x:c>
      <x:c r="F642" t="n">
        <x:v>-0.165</x:v>
      </x:c>
      <x:c r="G642" t="n">
        <x:v>0.0350000000000001</x:v>
      </x:c>
      <x:c r="H642" t="n">
        <x:v>1.255933406559433e-12</x:v>
      </x:c>
      <x:c r="I642" t="n">
        <x:v>5.2252985954002747e-11</x:v>
      </x:c>
      <x:c r="J642" t="n">
        <x:v>1.6191445005075344</x:v>
      </x:c>
      <x:c r="K642" t="n">
        <x:v>8.389381605963148</x:v>
      </x:c>
      <x:c r="L642" t="n">
        <x:v>0.9746309424386627</x:v>
      </x:c>
      <x:c r="M642" t="n">
        <x:v>119.1982969625798</x:v>
      </x:c>
      <x:c r="N642" t="n">
        <x:v>1.2998754206322401e-7</x:v>
      </x:c>
      <x:c r="O642" t="str">
        <x:v>NO</x:v>
      </x:c>
      <x:c r="P642" t="str">
        <x:v>NO</x:v>
      </x:c>
    </x:row>
    <x:row r="643">
      <x:c r="A643" t="str">
        <x:v>LP</x:v>
      </x:c>
      <x:c r="B643" t="n">
        <x:v>41</x:v>
      </x:c>
      <x:c r="C643" t="n">
        <x:v>0.2000000000000001</x:v>
      </x:c>
      <x:c r="D643" t="n">
        <x:v>8</x:v>
      </x:c>
      <x:c r="E643" t="n">
        <x:v>49</x:v>
      </x:c>
      <x:c r="F643" t="n">
        <x:v>-0.16</x:v>
      </x:c>
      <x:c r="G643" t="n">
        <x:v>0.0400000000000001</x:v>
      </x:c>
      <x:c r="H643" t="n">
        <x:v>1.290888916606739e-12</x:v>
      </x:c>
      <x:c r="I643" t="n">
        <x:v>5.956275878741194e-11</x:v>
      </x:c>
      <x:c r="J643" t="n">
        <x:v>1.6640859328768602</x:v>
      </x:c>
      <x:c r="K643" t="n">
        <x:v>8.628702726814304</x:v>
      </x:c>
      <x:c r="L643" t="n">
        <x:v>0.978031187193726</x:v>
      </x:c>
      <x:c r="M643" t="n">
        <x:v>115.89227623897962</x:v>
      </x:c>
      <x:c r="N643" t="n">
        <x:v>1.4817175462653692e-7</x:v>
      </x:c>
      <x:c r="O643" t="str">
        <x:v>NO</x:v>
      </x:c>
      <x:c r="P643" t="str">
        <x:v>NO</x:v>
      </x:c>
    </x:row>
    <x:row r="644">
      <x:c r="A644" t="str">
        <x:v>LP</x:v>
      </x:c>
      <x:c r="B644" t="n">
        <x:v>41</x:v>
      </x:c>
      <x:c r="C644" t="n">
        <x:v>0.2000000000000001</x:v>
      </x:c>
      <x:c r="D644" t="n">
        <x:v>9</x:v>
      </x:c>
      <x:c r="E644" t="n">
        <x:v>50</x:v>
      </x:c>
      <x:c r="F644" t="n">
        <x:v>-0.155</x:v>
      </x:c>
      <x:c r="G644" t="n">
        <x:v>0.0450000000000001</x:v>
      </x:c>
      <x:c r="H644" t="n">
        <x:v>1.330909109242401e-12</x:v>
      </x:c>
      <x:c r="I644" t="n">
        <x:v>6.791409370813255e-11</x:v>
      </x:c>
      <x:c r="J644" t="n">
        <x:v>1.7078115119993758</x:v>
      </x:c>
      <x:c r="K644" t="n">
        <x:v>8.858060828598285</x:v>
      </x:c>
      <x:c r="L644" t="n">
        <x:v>0.9810845041490465</x:v>
      </x:c>
      <x:c r="M644" t="n">
        <x:v>112.89152550990573</x:v>
      </x:c>
      <x:c r="N644" t="n">
        <x:v>1.6894701712056637e-7</x:v>
      </x:c>
      <x:c r="O644" t="str">
        <x:v>NO</x:v>
      </x:c>
      <x:c r="P644" t="str">
        <x:v>NO</x:v>
      </x:c>
    </x:row>
    <x:row r="645">
      <x:c r="A645" t="str">
        <x:v>LP</x:v>
      </x:c>
      <x:c r="B645" t="n">
        <x:v>41</x:v>
      </x:c>
      <x:c r="C645" t="n">
        <x:v>0.2</x:v>
      </x:c>
      <x:c r="D645" t="n">
        <x:v>10</x:v>
      </x:c>
      <x:c r="E645" t="n">
        <x:v>51</x:v>
      </x:c>
      <x:c r="F645" t="n">
        <x:v>-0.15</x:v>
      </x:c>
      <x:c r="G645" t="n">
        <x:v>0.05</x:v>
      </x:c>
      <x:c r="H645" t="n">
        <x:v>1.376694269019026e-12</x:v>
      </x:c>
      <x:c r="I645" t="n">
        <x:v>7.745514553794716e-11</x:v>
      </x:c>
      <x:c r="J645" t="n">
        <x:v>1.7502127698037224</x:v>
      </x:c>
      <x:c r="K645" t="n">
        <x:v>9.076937616577958</x:v>
      </x:c>
      <x:c r="L645" t="n">
        <x:v>0.983808195842333</x:v>
      </x:c>
      <x:c r="M645" t="n">
        <x:v>110.16931505330804</x:v>
      </x:c>
      <x:c r="N645" t="n">
        <x:v>1.9268188802626286e-7</x:v>
      </x:c>
      <x:c r="O645" t="str">
        <x:v>NO</x:v>
      </x:c>
      <x:c r="P645" t="str">
        <x:v>NO</x:v>
      </x:c>
    </x:row>
    <x:row r="646">
      <x:c r="A646" t="str">
        <x:v>LP</x:v>
      </x:c>
      <x:c r="B646" t="n">
        <x:v>41</x:v>
      </x:c>
      <x:c r="C646" t="n">
        <x:v>0.19999999999999998</x:v>
      </x:c>
      <x:c r="D646" t="n">
        <x:v>11</x:v>
      </x:c>
      <x:c r="E646" t="n">
        <x:v>52</x:v>
      </x:c>
      <x:c r="F646" t="n">
        <x:v>-0.145</x:v>
      </x:c>
      <x:c r="G646" t="n">
        <x:v>0.055</x:v>
      </x:c>
      <x:c r="H646" t="n">
        <x:v>1.429052304852317e-12</x:v>
      </x:c>
      <x:c r="I646" t="n">
        <x:v>8.835508707411416e-11</x:v>
      </x:c>
      <x:c r="J646" t="n">
        <x:v>1.7911834344874684</x:v>
      </x:c>
      <x:c r="K646" t="n">
        <x:v>9.284915277989242</x:v>
      </x:c>
      <x:c r="L646" t="n">
        <x:v>0.9862213279301852</x:v>
      </x:c>
      <x:c r="M646" t="n">
        <x:v>107.70157508820714</x:v>
      </x:c>
      <x:c r="N646" t="n">
        <x:v>2.1979721135278858e-7</x:v>
      </x:c>
      <x:c r="O646" t="str">
        <x:v>NO</x:v>
      </x:c>
      <x:c r="P646" t="str">
        <x:v>NO</x:v>
      </x:c>
    </x:row>
    <x:row r="647">
      <x:c r="A647" t="str">
        <x:v>LP</x:v>
      </x:c>
      <x:c r="B647" t="n">
        <x:v>41</x:v>
      </x:c>
      <x:c r="C647" t="n">
        <x:v>0.2</x:v>
      </x:c>
      <x:c r="D647" t="n">
        <x:v>12</x:v>
      </x:c>
      <x:c r="E647" t="n">
        <x:v>53</x:v>
      </x:c>
      <x:c r="F647" t="n">
        <x:v>-0.14</x:v>
      </x:c>
      <x:c r="G647" t="n">
        <x:v>0.06</x:v>
      </x:c>
      <x:c r="H647" t="n">
        <x:v>1.488911804458349e-12</x:v>
      </x:c>
      <x:c r="I647" t="n">
        <x:v>1.008070785903204e-10</x:v>
      </x:c>
      <x:c r="J647" t="n">
        <x:v>1.830622055858404</x:v>
      </x:c>
      <x:c r="K647" t="n">
        <x:v>9.481681035747597</x:v>
      </x:c>
      <x:c r="L647" t="n">
        <x:v>0.9883444317500801</x:v>
      </x:c>
      <x:c r="M647" t="n">
        <x:v>105.46653027346363</x:v>
      </x:c>
      <x:c r="N647" t="n">
        <x:v>2.5077350373938233e-7</x:v>
      </x:c>
      <x:c r="O647" t="str">
        <x:v>NO</x:v>
      </x:c>
      <x:c r="P647" t="str">
        <x:v>NO</x:v>
      </x:c>
    </x:row>
    <x:row r="648">
      <x:c r="A648" t="str">
        <x:v>LP</x:v>
      </x:c>
      <x:c r="B648" t="n">
        <x:v>41</x:v>
      </x:c>
      <x:c r="C648" t="n">
        <x:v>0.2</x:v>
      </x:c>
      <x:c r="D648" t="n">
        <x:v>13</x:v>
      </x:c>
      <x:c r="E648" t="n">
        <x:v>54</x:v>
      </x:c>
      <x:c r="F648" t="n">
        <x:v>-0.135</x:v>
      </x:c>
      <x:c r="G648" t="n">
        <x:v>0.065</x:v>
      </x:c>
      <x:c r="H648" t="n">
        <x:v>1.557337616727506e-12</x:v>
      </x:c>
      <x:c r="I648" t="n">
        <x:v>1.1503165422272059e-10</x:v>
      </x:c>
      <x:c r="J648" t="n">
        <x:v>1.868434591350125</x:v>
      </x:c>
      <x:c r="K648" t="n">
        <x:v>9.66702942895349</x:v>
      </x:c>
      <x:c r="L648" t="n">
        <x:v>0.9901991362412778</x:v>
      </x:c>
      <x:c r="M648" t="n">
        <x:v>103.44439389052894</x:v>
      </x:c>
      <x:c r="N648" t="n">
        <x:v>2.8615937862461447e-7</x:v>
      </x:c>
      <x:c r="O648" t="str">
        <x:v>NO</x:v>
      </x:c>
      <x:c r="P648" t="str">
        <x:v>NO</x:v>
      </x:c>
    </x:row>
    <x:row r="649">
      <x:c r="A649" t="str">
        <x:v>LP</x:v>
      </x:c>
      <x:c r="B649" t="n">
        <x:v>41</x:v>
      </x:c>
      <x:c r="C649" t="n">
        <x:v>0.1999999999999999</x:v>
      </x:c>
      <x:c r="D649" t="n">
        <x:v>14</x:v>
      </x:c>
      <x:c r="E649" t="n">
        <x:v>55</x:v>
      </x:c>
      <x:c r="F649" t="n">
        <x:v>-0.1299999999999999</x:v>
      </x:c>
      <x:c r="G649" t="n">
        <x:v>0.07</x:v>
      </x:c>
      <x:c r="H649" t="n">
        <x:v>1.635549146188096e-12</x:v>
      </x:c>
      <x:c r="I649" t="n">
        <x:v>1.312805831898021e-10</x:v>
      </x:c>
      <x:c r="J649" t="n">
        <x:v>1.904536898664281</x:v>
      </x:c>
      <x:c r="K649" t="n">
        <x:v>9.840862284376154</x:v>
      </x:c>
      <x:c r="L649" t="n">
        <x:v>0.9918077601875739</x:v>
      </x:c>
      <x:c r="M649" t="n">
        <x:v>101.61711149922807</x:v>
      </x:c>
      <x:c r="N649" t="n">
        <x:v>3.265811516396558e-7</x:v>
      </x:c>
      <x:c r="O649" t="str">
        <x:v>NO</x:v>
      </x:c>
      <x:c r="P649" t="str">
        <x:v>NO</x:v>
      </x:c>
    </x:row>
    <x:row r="650">
      <x:c r="A650" t="str">
        <x:v>LP</x:v>
      </x:c>
      <x:c r="B650" t="n">
        <x:v>41</x:v>
      </x:c>
      <x:c r="C650" t="n">
        <x:v>0.2</x:v>
      </x:c>
      <x:c r="D650" t="n">
        <x:v>15</x:v>
      </x:c>
      <x:c r="E650" t="n">
        <x:v>56</x:v>
      </x:c>
      <x:c r="F650" t="n">
        <x:v>-0.1249999999999999</x:v>
      </x:c>
      <x:c r="G650" t="n">
        <x:v>0.0750000000000001</x:v>
      </x:c>
      <x:c r="H650" t="n">
        <x:v>1.724941612654433e-12</x:v>
      </x:c>
      <x:c r="I650" t="n">
        <x:v>1.5105804807905818e-10</x:v>
      </x:c>
      <x:c r="J650" t="n">
        <x:v>1.9423694693158868</x:v>
      </x:c>
      <x:c r="K650" t="n">
        <x:v>10.005634060424505</x:v>
      </x:c>
      <x:c r="L650" t="n">
        <x:v>0.9931614908741112</x:v>
      </x:c>
      <x:c r="M650" t="n">
        <x:v>99.9436911205179</x:v>
      </x:c>
      <x:c r="N650" t="n">
        <x:v>3.7578071415765543e-7</x:v>
      </x:c>
      <x:c r="O650" t="str">
        <x:v>NO</x:v>
      </x:c>
      <x:c r="P650" t="str">
        <x:v>NO</x:v>
      </x:c>
    </x:row>
    <x:row r="651">
      <x:c r="A651" t="str">
        <x:v>LP</x:v>
      </x:c>
      <x:c r="B651" t="n">
        <x:v>41</x:v>
      </x:c>
      <x:c r="C651" t="n">
        <x:v>0.2</x:v>
      </x:c>
      <x:c r="D651" t="n">
        <x:v>16</x:v>
      </x:c>
      <x:c r="E651" t="n">
        <x:v>57</x:v>
      </x:c>
      <x:c r="F651" t="n">
        <x:v>-0.1199999999999999</x:v>
      </x:c>
      <x:c r="G651" t="n">
        <x:v>0.0800000000000001</x:v>
      </x:c>
      <x:c r="H651" t="n">
        <x:v>1.827110598673053e-12</x:v>
      </x:c>
      <x:c r="I651" t="n">
        <x:v>1.7243119146362487e-10</x:v>
      </x:c>
      <x:c r="J651" t="n">
        <x:v>1.9748509922293653</x:v>
      </x:c>
      <x:c r="K651" t="n">
        <x:v>10.158882691981349</x:v>
      </x:c>
      <x:c r="L651" t="n">
        <x:v>0.994323925837394</x:v>
      </x:c>
      <x:c r="M651" t="n">
        <x:v>98.43602198392587</x:v>
      </x:c>
      <x:c r="N651" t="n">
        <x:v>4.289497785470151e-7</x:v>
      </x:c>
      <x:c r="O651" t="str">
        <x:v>NO</x:v>
      </x:c>
      <x:c r="P651" t="str">
        <x:v>NO</x:v>
      </x:c>
    </x:row>
    <x:row r="652">
      <x:c r="A652" t="str">
        <x:v>LP</x:v>
      </x:c>
      <x:c r="B652" t="n">
        <x:v>41</x:v>
      </x:c>
      <x:c r="C652" t="n">
        <x:v>0.2</x:v>
      </x:c>
      <x:c r="D652" t="n">
        <x:v>17</x:v>
      </x:c>
      <x:c r="E652" t="n">
        <x:v>58</x:v>
      </x:c>
      <x:c r="F652" t="n">
        <x:v>-0.1149999999999999</x:v>
      </x:c>
      <x:c r="G652" t="n">
        <x:v>0.0850000000000001</x:v>
      </x:c>
      <x:c r="H652" t="n">
        <x:v>1.943880279456145e-12</x:v>
      </x:c>
      <x:c r="I652" t="n">
        <x:v>1.9684298301248878e-10</x:v>
      </x:c>
      <x:c r="J652" t="n">
        <x:v>2.005450423932958</x:v>
      </x:c>
      <x:c r="K652" t="n">
        <x:v>10.30080867316419</x:v>
      </x:c>
      <x:c r="L652" t="n">
        <x:v>0.9953149291749883</x:v>
      </x:c>
      <x:c r="M652" t="n">
        <x:v>97.07975671902479</x:v>
      </x:c>
      <x:c r="N652" t="n">
        <x:v>4.896779593937505e-7</x:v>
      </x:c>
      <x:c r="O652" t="str">
        <x:v>NO</x:v>
      </x:c>
      <x:c r="P652" t="str">
        <x:v>NO</x:v>
      </x:c>
    </x:row>
    <x:row r="653">
      <x:c r="A653" t="str">
        <x:v>LP</x:v>
      </x:c>
      <x:c r="B653" t="n">
        <x:v>41</x:v>
      </x:c>
      <x:c r="C653" t="n">
        <x:v>0.2</x:v>
      </x:c>
      <x:c r="D653" t="n">
        <x:v>18</x:v>
      </x:c>
      <x:c r="E653" t="n">
        <x:v>59</x:v>
      </x:c>
      <x:c r="F653" t="n">
        <x:v>-0.1099999999999999</x:v>
      </x:c>
      <x:c r="G653" t="n">
        <x:v>0.0900000000000001</x:v>
      </x:c>
      <x:c r="H653" t="n">
        <x:v>2.077335806080723e-12</x:v>
      </x:c>
      <x:c r="I653" t="n">
        <x:v>2.2472416984666888e-10</x:v>
      </x:c>
      <x:c r="J653" t="n">
        <x:v>2.0341430778700964</x:v>
      </x:c>
      <x:c r="K653" t="n">
        <x:v>10.431697722487073</x:v>
      </x:c>
      <x:c r="L653" t="n">
        <x:v>0.9961538475767898</x:v>
      </x:c>
      <x:c r="M653" t="n">
        <x:v>95.8616733922755</x:v>
      </x:c>
      <x:c r="N653" t="n">
        <x:v>5.590368080836782e-7</x:v>
      </x:c>
      <x:c r="O653" t="str">
        <x:v>NO</x:v>
      </x:c>
      <x:c r="P653" t="str">
        <x:v>NO</x:v>
      </x:c>
    </x:row>
    <x:row r="654">
      <x:c r="A654" t="str">
        <x:v>LP</x:v>
      </x:c>
      <x:c r="B654" t="n">
        <x:v>41</x:v>
      </x:c>
      <x:c r="C654" t="n">
        <x:v>0.2</x:v>
      </x:c>
      <x:c r="D654" t="n">
        <x:v>19</x:v>
      </x:c>
      <x:c r="E654" t="n">
        <x:v>60</x:v>
      </x:c>
      <x:c r="F654" t="n">
        <x:v>-0.1049999999999999</x:v>
      </x:c>
      <x:c r="G654" t="n">
        <x:v>0.0950000000000001</x:v>
      </x:c>
      <x:c r="H654" t="n">
        <x:v>2.229860394880488e-12</x:v>
      </x:c>
      <x:c r="I654" t="n">
        <x:v>2.5656628572766e-10</x:v>
      </x:c>
      <x:c r="J654" t="n">
        <x:v>2.060921913041824</x:v>
      </x:c>
      <x:c r="K654" t="n">
        <x:v>10.551910703069685</x:v>
      </x:c>
      <x:c r="L654" t="n">
        <x:v>0.9968591689908043</x:v>
      </x:c>
      <x:c r="M654" t="n">
        <x:v>94.76956620842965</x:v>
      </x:c>
      <x:c r="N654" t="n">
        <x:v>6.382490923559288e-7</x:v>
      </x:c>
      <x:c r="O654" t="str">
        <x:v>NO</x:v>
      </x:c>
      <x:c r="P654" t="str">
        <x:v>NO</x:v>
      </x:c>
    </x:row>
    <x:row r="655">
      <x:c r="A655" t="str">
        <x:v>LP</x:v>
      </x:c>
      <x:c r="B655" t="n">
        <x:v>41</x:v>
      </x:c>
      <x:c r="C655" t="n">
        <x:v>0.2</x:v>
      </x:c>
      <x:c r="D655" t="n">
        <x:v>20</x:v>
      </x:c>
      <x:c r="E655" t="n">
        <x:v>61</x:v>
      </x:c>
      <x:c r="F655" t="n">
        <x:v>-0.0999999999999999</x:v>
      </x:c>
      <x:c r="G655" t="n">
        <x:v>0.1000000000000001</x:v>
      </x:c>
      <x:c r="H655" t="n">
        <x:v>2.404177765986292e-12</x:v>
      </x:c>
      <x:c r="I655" t="n">
        <x:v>2.929301697023655e-10</x:v>
      </x:c>
      <x:c r="J655" t="n">
        <x:v>2.0857975267483297</x:v>
      </x:c>
      <x:c r="K655" t="n">
        <x:v>10.661872385809623</x:v>
      </x:c>
      <x:c r="L655" t="n">
        <x:v>0.9974482533511467</x:v>
      </x:c>
      <x:c r="M655" t="n">
        <x:v>93.79215618177405</x:v>
      </x:c>
      <x:c r="N655" t="n">
        <x:v>7.287099877754783e-7</x:v>
      </x:c>
      <x:c r="O655" t="str">
        <x:v>NO</x:v>
      </x:c>
      <x:c r="P655" t="str">
        <x:v>NO</x:v>
      </x:c>
    </x:row>
    <x:row r="656">
      <x:c r="A656" t="str">
        <x:v>LP</x:v>
      </x:c>
      <x:c r="B656" t="n">
        <x:v>41</x:v>
      </x:c>
      <x:c r="C656" t="n">
        <x:v>0.2</x:v>
      </x:c>
      <x:c r="D656" t="n">
        <x:v>21</x:v>
      </x:c>
      <x:c r="E656" t="n">
        <x:v>62</x:v>
      </x:c>
      <x:c r="F656" t="n">
        <x:v>-0.0949999999999999</x:v>
      </x:c>
      <x:c r="G656" t="n">
        <x:v>0.1050000000000001</x:v>
      </x:c>
      <x:c r="H656" t="n">
        <x:v>2.60340067369274e-12</x:v>
      </x:c>
      <x:c r="I656" t="n">
        <x:v>3.3445566569647457e-10</x:v>
      </x:c>
      <x:c r="J656" t="n">
        <x:v>2.1087975444251654</x:v>
      </x:c>
      <x:c r="K656" t="n">
        <x:v>10.762059490334419</x:v>
      </x:c>
      <x:c r="L656" t="n">
        <x:v>0.9979371369019746</x:v>
      </x:c>
      <x:c r="M656" t="n">
        <x:v>92.91901804651017</x:v>
      </x:c>
      <x:c r="N656" t="n">
        <x:v>8.320112070011521e-7</x:v>
      </x:c>
      <x:c r="O656" t="str">
        <x:v>NO</x:v>
      </x:c>
      <x:c r="P656" t="str">
        <x:v>NO</x:v>
      </x:c>
    </x:row>
    <x:row r="657">
      <x:c r="A657" t="str">
        <x:v>LP</x:v>
      </x:c>
      <x:c r="B657" t="n">
        <x:v>41</x:v>
      </x:c>
      <x:c r="C657" t="n">
        <x:v>0.2</x:v>
      </x:c>
      <x:c r="D657" t="n">
        <x:v>22</x:v>
      </x:c>
      <x:c r="E657" t="n">
        <x:v>63</x:v>
      </x:c>
      <x:c r="F657" t="n">
        <x:v>-0.0899999999999999</x:v>
      </x:c>
      <x:c r="G657" t="n">
        <x:v>0.1100000000000001</x:v>
      </x:c>
      <x:c r="H657" t="n">
        <x:v>2.831086383090201e-12</x:v>
      </x:c>
      <x:c r="I657" t="n">
        <x:v>3.8187266400736416e-10</x:v>
      </x:c>
      <x:c r="J657" t="n">
        <x:v>2.1299654500159946</x:v>
      </x:c>
      <x:c r="K657" t="n">
        <x:v>10.852988457460578</x:v>
      </x:c>
      <x:c r="L657" t="n">
        <x:v>0.9983404078193666</x:v>
      </x:c>
      <x:c r="M657" t="n">
        <x:v>92.14051999775035</x:v>
      </x:c>
      <x:c r="N657" t="n">
        <x:v>9.499684672402951e-7</x:v>
      </x:c>
      <x:c r="O657" t="str">
        <x:v>NO</x:v>
      </x:c>
      <x:c r="P657" t="str">
        <x:v>NO</x:v>
      </x:c>
    </x:row>
    <x:row r="658">
      <x:c r="A658" t="str">
        <x:v>LP</x:v>
      </x:c>
      <x:c r="B658" t="n">
        <x:v>41</x:v>
      </x:c>
      <x:c r="C658" t="n">
        <x:v>0.2</x:v>
      </x:c>
      <x:c r="D658" t="n">
        <x:v>23</x:v>
      </x:c>
      <x:c r="E658" t="n">
        <x:v>64</x:v>
      </x:c>
      <x:c r="F658" t="n">
        <x:v>-0.0849999999999999</x:v>
      </x:c>
      <x:c r="G658" t="n">
        <x:v>0.1150000000000001</x:v>
      </x:c>
      <x:c r="H658" t="n">
        <x:v>3.091300073124645e-12</x:v>
      </x:c>
      <x:c r="I658" t="n">
        <x:v>4.3601366699345075e-10</x:v>
      </x:c>
      <x:c r="J658" t="n">
        <x:v>2.149358938424051</x:v>
      </x:c>
      <x:c r="K658" t="n">
        <x:v>10.935203394742304</x:v>
      </x:c>
      <x:c r="L658" t="n">
        <x:v>0.9986711474220568</x:v>
      </x:c>
      <x:c r="M658" t="n">
        <x:v>91.44777320564559</x:v>
      </x:c>
      <x:c r="N658" t="n">
        <x:v>0.0000010846527493824519</x:v>
      </x:c>
      <x:c r="O658" t="str">
        <x:v>NO</x:v>
      </x:c>
      <x:c r="P658" t="str">
        <x:v>NO</x:v>
      </x:c>
    </x:row>
    <x:row r="659">
      <x:c r="A659" t="str">
        <x:v>LP</x:v>
      </x:c>
      <x:c r="B659" t="n">
        <x:v>41</x:v>
      </x:c>
      <x:c r="C659" t="n">
        <x:v>0.2</x:v>
      </x:c>
      <x:c r="D659" t="n">
        <x:v>24</x:v>
      </x:c>
      <x:c r="E659" t="n">
        <x:v>65</x:v>
      </x:c>
      <x:c r="F659" t="n">
        <x:v>-0.0799999999999999</x:v>
      </x:c>
      <x:c r="G659" t="n">
        <x:v>0.1200000000000001</x:v>
      </x:c>
      <x:c r="H659" t="n">
        <x:v>3.388687288649685e-12</x:v>
      </x:c>
      <x:c r="I659" t="n">
        <x:v>4.978280853064774e-10</x:v>
      </x:c>
      <x:c r="J659" t="n">
        <x:v>2.167047900408855</x:v>
      </x:c>
      <x:c r="K659" t="n">
        <x:v>11.009264595245337</x:v>
      </x:c>
      <x:c r="L659" t="n">
        <x:v>0.9989409285793988</x:v>
      </x:c>
      <x:c r="M659" t="n">
        <x:v>90.83258843936572</x:v>
      </x:c>
      <x:c r="N659" t="n">
        <x:v>0.0000012384258621314808</x:v>
      </x:c>
      <x:c r="O659" t="str">
        <x:v>NO</x:v>
      </x:c>
      <x:c r="P659" t="str">
        <x:v>NO</x:v>
      </x:c>
    </x:row>
    <x:row r="660">
      <x:c r="A660" t="str">
        <x:v>LP</x:v>
      </x:c>
      <x:c r="B660" t="n">
        <x:v>41</x:v>
      </x:c>
      <x:c r="C660" t="n">
        <x:v>0.2</x:v>
      </x:c>
      <x:c r="D660" t="n">
        <x:v>25</x:v>
      </x:c>
      <x:c r="E660" t="n">
        <x:v>66</x:v>
      </x:c>
      <x:c r="F660" t="n">
        <x:v>-0.0749999999999999</x:v>
      </x:c>
      <x:c r="G660" t="n">
        <x:v>0.1250000000000001</x:v>
      </x:c>
      <x:c r="H660" t="n">
        <x:v>3.728556725636688e-12</x:v>
      </x:c>
      <x:c r="I660" t="n">
        <x:v>5.683984980839916e-10</x:v>
      </x:c>
      <x:c r="J660" t="n">
        <x:v>2.183112166932288</x:v>
      </x:c>
      <x:c r="K660" t="n">
        <x:v>11.075737964459513</x:v>
      </x:c>
      <x:c r="L660" t="n">
        <x:v>0.9991598611666079</x:v>
      </x:c>
      <x:c r="M660" t="n">
        <x:v>90.28743756929421</x:v>
      </x:c>
      <x:c r="N660" t="n">
        <x:v>0.000001413980891798326</x:v>
      </x:c>
      <x:c r="O660" t="str">
        <x:v>NO</x:v>
      </x:c>
      <x:c r="P660" t="str">
        <x:v>NO</x:v>
      </x:c>
    </x:row>
    <x:row r="661">
      <x:c r="A661" t="str">
        <x:v>LP</x:v>
      </x:c>
      <x:c r="B661" t="n">
        <x:v>41</x:v>
      </x:c>
      <x:c r="C661" t="n">
        <x:v>0.19999999999999998</x:v>
      </x:c>
      <x:c r="D661" t="n">
        <x:v>26</x:v>
      </x:c>
      <x:c r="E661" t="n">
        <x:v>67</x:v>
      </x:c>
      <x:c r="F661" t="n">
        <x:v>-0.0699999999999999</x:v>
      </x:c>
      <x:c r="G661" t="n">
        <x:v>0.1300000000000001</x:v>
      </x:c>
      <x:c r="H661" t="n">
        <x:v>4.116974817444895e-12</x:v>
      </x:c>
      <x:c r="I661" t="n">
        <x:v>6.48959140958066e-10</x:v>
      </x:c>
      <x:c r="J661" t="n">
        <x:v>2.1976391435664997</x:v>
      </x:c>
      <x:c r="K661" t="n">
        <x:v>11.135185609107072</x:v>
      </x:c>
      <x:c r="L661" t="n">
        <x:v>0.9993366736407173</x:v>
      </x:c>
      <x:c r="M661" t="n">
        <x:v>89.80541816762673</x:v>
      </x:c>
      <x:c r="N661" t="n">
        <x:v>0.0000016143881941379913</x:v>
      </x:c>
      <x:c r="O661" t="str">
        <x:v>NO</x:v>
      </x:c>
      <x:c r="P661" t="str">
        <x:v>NO</x:v>
      </x:c>
    </x:row>
    <x:row r="662">
      <x:c r="A662" t="str">
        <x:v>LP</x:v>
      </x:c>
      <x:c r="B662" t="n">
        <x:v>41</x:v>
      </x:c>
      <x:c r="C662" t="n">
        <x:v>0.1999999999999999</x:v>
      </x:c>
      <x:c r="D662" t="n">
        <x:v>27</x:v>
      </x:c>
      <x:c r="E662" t="n">
        <x:v>68</x:v>
      </x:c>
      <x:c r="F662" t="n">
        <x:v>-0.0649999999999998</x:v>
      </x:c>
      <x:c r="G662" t="n">
        <x:v>0.1350000000000001</x:v>
      </x:c>
      <x:c r="H662" t="n">
        <x:v>4.56087379943123e-12</x:v>
      </x:c>
      <x:c r="I662" t="n">
        <x:v>7.409169199265799e-10</x:v>
      </x:c>
      <x:c r="J662" t="n">
        <x:v>2.2107214572828138</x:v>
      </x:c>
      <x:c r="K662" t="n">
        <x:v>11.188157753505887</x:v>
      </x:c>
      <x:c r="L662" t="n">
        <x:v>0.9994788199427529</x:v>
      </x:c>
      <x:c r="M662" t="n">
        <x:v>89.380219874594</x:v>
      </x:c>
      <x:c r="N662" t="n">
        <x:v>0.0000018431476696679191</x:v>
      </x:c>
      <x:c r="O662" t="str">
        <x:v>NO</x:v>
      </x:c>
      <x:c r="P662" t="str">
        <x:v>NO</x:v>
      </x:c>
    </x:row>
    <x:row r="663">
      <x:c r="A663" t="str">
        <x:v>LP</x:v>
      </x:c>
      <x:c r="B663" t="n">
        <x:v>41</x:v>
      </x:c>
      <x:c r="C663" t="n">
        <x:v>0.2</x:v>
      </x:c>
      <x:c r="D663" t="n">
        <x:v>28</x:v>
      </x:c>
      <x:c r="E663" t="n">
        <x:v>69</x:v>
      </x:c>
      <x:c r="F663" t="n">
        <x:v>-0.0599999999999998</x:v>
      </x:c>
      <x:c r="G663" t="n">
        <x:v>0.1400000000000002</x:v>
      </x:c>
      <x:c r="H663" t="n">
        <x:v>5.068175167828729e-12</x:v>
      </x:c>
      <x:c r="I663" t="n">
        <x:v>8.458752874830023e-10</x:v>
      </x:c>
      <x:c r="J663" t="n">
        <x:v>2.2224547204025953</x:v>
      </x:c>
      <x:c r="K663" t="n">
        <x:v>11.235186062654735</x:v>
      </x:c>
      <x:c r="L663" t="n">
        <x:v>0.9995926018006888</x:v>
      </x:c>
      <x:c r="M663" t="n">
        <x:v>89.00609161462452</x:v>
      </x:c>
      <x:c r="N663" t="n">
        <x:v>0.00000210424815930573</x:v>
      </x:c>
      <x:c r="O663" t="str">
        <x:v>NO</x:v>
      </x:c>
      <x:c r="P663" t="str">
        <x:v>NO</x:v>
      </x:c>
    </x:row>
    <x:row r="664">
      <x:c r="A664" t="str">
        <x:v>LP</x:v>
      </x:c>
      <x:c r="B664" t="n">
        <x:v>41</x:v>
      </x:c>
      <x:c r="C664" t="n">
        <x:v>0.20000000000000012</x:v>
      </x:c>
      <x:c r="D664" t="n">
        <x:v>29</x:v>
      </x:c>
      <x:c r="E664" t="n">
        <x:v>70</x:v>
      </x:c>
      <x:c r="F664" t="n">
        <x:v>-0.0549999999999999</x:v>
      </x:c>
      <x:c r="G664" t="n">
        <x:v>0.1450000000000002</x:v>
      </x:c>
      <x:c r="H664" t="n">
        <x:v>5.647930720840611e-12</x:v>
      </x:c>
      <x:c r="I664" t="n">
        <x:v>9.656613603731478e-10</x:v>
      </x:c>
      <x:c r="J664" t="n">
        <x:v>2.232935493155411</x:v>
      </x:c>
      <x:c r="K664" t="n">
        <x:v>11.276778373379411</x:v>
      </x:c>
      <x:c r="L664" t="n">
        <x:v>0.9996832978871665</x:v>
      </x:c>
      <x:c r="M664" t="n">
        <x:v>88.67780911263233</x:v>
      </x:c>
      <x:c r="N664" t="n">
        <x:v>0.0000024022349040652123</x:v>
      </x:c>
      <x:c r="O664" t="str">
        <x:v>NO</x:v>
      </x:c>
      <x:c r="P664" t="str">
        <x:v>NO</x:v>
      </x:c>
    </x:row>
    <x:row r="665">
      <x:c r="A665" t="str">
        <x:v>LP</x:v>
      </x:c>
      <x:c r="B665" t="n">
        <x:v>41</x:v>
      </x:c>
      <x:c r="C665" t="n">
        <x:v>0.2000000000000001</x:v>
      </x:c>
      <x:c r="D665" t="n">
        <x:v>30</x:v>
      </x:c>
      <x:c r="E665" t="n">
        <x:v>71</x:v>
      </x:c>
      <x:c r="F665" t="n">
        <x:v>-0.0499999999999999</x:v>
      </x:c>
      <x:c r="G665" t="n">
        <x:v>0.1500000000000002</x:v>
      </x:c>
      <x:c r="H665" t="n">
        <x:v>6.310483680331215e-12</x:v>
      </x:c>
      <x:c r="I665" t="n">
        <x:v>1.102356706418941e-9</x:v>
      </x:c>
      <x:c r="J665" t="n">
        <x:v>2.24225950062878</x:v>
      </x:c>
      <x:c r="K665" t="n">
        <x:v>11.313414770558289</x:v>
      </x:c>
      <x:c r="L665" t="n">
        <x:v>0.9997552929392719</x:v>
      </x:c>
      <x:c r="M665" t="n">
        <x:v>88.39064246122857</x:v>
      </x:c>
      <x:c r="N665" t="n">
        <x:v>0.000002742286132135048</x:v>
      </x:c>
      <x:c r="O665" t="str">
        <x:v>NO</x:v>
      </x:c>
      <x:c r="P665" t="str">
        <x:v>NO</x:v>
      </x:c>
    </x:row>
    <x:row r="666">
      <x:c r="A666" t="str">
        <x:v>LP</x:v>
      </x:c>
      <x:c r="B666" t="n">
        <x:v>41</x:v>
      </x:c>
      <x:c r="C666" t="n">
        <x:v>0.2000000000000001</x:v>
      </x:c>
      <x:c r="D666" t="n">
        <x:v>31</x:v>
      </x:c>
      <x:c r="E666" t="n">
        <x:v>72</x:v>
      </x:c>
      <x:c r="F666" t="n">
        <x:v>-0.0449999999999999</x:v>
      </x:c>
      <x:c r="G666" t="n">
        <x:v>0.1550000000000002</x:v>
      </x:c>
      <x:c r="H666" t="n">
        <x:v>7.067652746641881e-12</x:v>
      </x:c>
      <x:c r="I666" t="n">
        <x:v>1.258332281556775e-9</x:v>
      </x:c>
      <x:c r="J666" t="n">
        <x:v>2.2505201349728807</x:v>
      </x:c>
      <x:c r="K666" t="n">
        <x:v>11.345544897135436</x:v>
      </x:c>
      <x:c r="L666" t="n">
        <x:v>0.9998122016641868</x:v>
      </x:c>
      <x:c r="M666" t="n">
        <x:v>88.14032371882672</x:v>
      </x:c>
      <x:c r="N666" t="n">
        <x:v>0.000003130299970270773</x:v>
      </x:c>
      <x:c r="O666" t="str">
        <x:v>NO</x:v>
      </x:c>
      <x:c r="P666" t="str">
        <x:v>NO</x:v>
      </x:c>
    </x:row>
    <x:row r="667">
      <x:c r="A667" t="str">
        <x:v>LP</x:v>
      </x:c>
      <x:c r="B667" t="n">
        <x:v>41</x:v>
      </x:c>
      <x:c r="C667" t="n">
        <x:v>0.2000000000000001</x:v>
      </x:c>
      <x:c r="D667" t="n">
        <x:v>32</x:v>
      </x:c>
      <x:c r="E667" t="n">
        <x:v>73</x:v>
      </x:c>
      <x:c r="F667" t="n">
        <x:v>-0.0399999999999999</x:v>
      </x:c>
      <x:c r="G667" t="n">
        <x:v>0.1600000000000002</x:v>
      </x:c>
      <x:c r="H667" t="n">
        <x:v>7.932942342892279e-12</x:v>
      </x:c>
      <x:c r="I667" t="n">
        <x:v>1.436288058139643e-9</x:v>
      </x:c>
      <x:c r="J667" t="n">
        <x:v>2.2578072517771943</x:v>
      </x:c>
      <x:c r="K667" t="n">
        <x:v>11.373586354679881</x:v>
      </x:c>
      <x:c r="L667" t="n">
        <x:v>0.9998569838711073</x:v>
      </x:c>
      <x:c r="M667" t="n">
        <x:v>87.92301467764658</x:v>
      </x:c>
      <x:c r="N667" t="n">
        <x:v>0.000003572993025445111</x:v>
      </x:c>
      <x:c r="O667" t="str">
        <x:v>NO</x:v>
      </x:c>
      <x:c r="P667" t="str">
        <x:v>NO</x:v>
      </x:c>
    </x:row>
    <x:row r="668">
      <x:c r="A668" t="str">
        <x:v>LP</x:v>
      </x:c>
      <x:c r="B668" t="n">
        <x:v>41</x:v>
      </x:c>
      <x:c r="C668" t="n">
        <x:v>0.2000000000000001</x:v>
      </x:c>
      <x:c r="D668" t="n">
        <x:v>33</x:v>
      </x:c>
      <x:c r="E668" t="n">
        <x:v>74</x:v>
      </x:c>
      <x:c r="F668" t="n">
        <x:v>-0.0349999999999999</x:v>
      </x:c>
      <x:c r="G668" t="n">
        <x:v>0.1650000000000002</x:v>
      </x:c>
      <x:c r="H668" t="n">
        <x:v>8.921782765968998e-12</x:v>
      </x:c>
      <x:c r="I668" t="n">
        <x:v>1.639297952254774e-9</x:v>
      </x:c>
      <x:c r="J668" t="n">
        <x:v>2.2642062518593935</x:v>
      </x:c>
      <x:c r="K668" t="n">
        <x:v>11.397924034345012</x:v>
      </x:c>
      <x:c r="L668" t="n">
        <x:v>0.9998920486789316</x:v>
      </x:c>
      <x:c r="M668" t="n">
        <x:v>87.73527503664097</x:v>
      </x:c>
      <x:c r="N668" t="n">
        <x:v>0.000004078012148634946</x:v>
      </x:c>
      <x:c r="O668" t="str">
        <x:v>NO</x:v>
      </x:c>
      <x:c r="P668" t="str">
        <x:v>NO</x:v>
      </x:c>
    </x:row>
    <x:row r="669">
      <x:c r="A669" t="str">
        <x:v>LP</x:v>
      </x:c>
      <x:c r="B669" t="n">
        <x:v>41</x:v>
      </x:c>
      <x:c r="C669" t="n">
        <x:v>0.2000000000000001</x:v>
      </x:c>
      <x:c r="D669" t="n">
        <x:v>34</x:v>
      </x:c>
      <x:c r="E669" t="n">
        <x:v>75</x:v>
      </x:c>
      <x:c r="F669" t="n">
        <x:v>-0.0299999999999999</x:v>
      </x:c>
      <x:c r="G669" t="n">
        <x:v>0.1700000000000002</x:v>
      </x:c>
      <x:c r="H669" t="n">
        <x:v>1.005180448712331e-11</x:v>
      </x:c>
      <x:c r="I669" t="n">
        <x:v>1.870860731940521e-9</x:v>
      </x:c>
      <x:c r="J669" t="n">
        <x:v>2.269797426799652</x:v>
      </x:c>
      <x:c r="K669" t="n">
        <x:v>11.418910213853428</x:v>
      </x:c>
      <x:c r="L669" t="n">
        <x:v>0.9999193467961494</x:v>
      </x:c>
      <x:c r="M669" t="n">
        <x:v>87.57403125797411</x:v>
      </x:c>
      <x:c r="N669" t="n">
        <x:v>0.000004654061077038288</x:v>
      </x:c>
      <x:c r="O669" t="str">
        <x:v>NO</x:v>
      </x:c>
      <x:c r="P669" t="str">
        <x:v>NO</x:v>
      </x:c>
    </x:row>
    <x:row r="670">
      <x:c r="A670" t="str">
        <x:v>LP</x:v>
      </x:c>
      <x:c r="B670" t="n">
        <x:v>41</x:v>
      </x:c>
      <x:c r="C670" t="n">
        <x:v>0.20000000000000012</x:v>
      </x:c>
      <x:c r="D670" t="n">
        <x:v>35</x:v>
      </x:c>
      <x:c r="E670" t="n">
        <x:v>76</x:v>
      </x:c>
      <x:c r="F670" t="n">
        <x:v>-0.0249999999999999</x:v>
      </x:c>
      <x:c r="G670" t="n">
        <x:v>0.1750000000000002</x:v>
      </x:c>
      <x:c r="H670" t="n">
        <x:v>1.134315144431181e-11</x:v>
      </x:c>
      <x:c r="I670" t="n">
        <x:v>2.134957670422552e-9</x:v>
      </x:c>
      <x:c r="J670" t="n">
        <x:v>2.27465553827699</x:v>
      </x:c>
      <x:c r="K670" t="n">
        <x:v>11.436865261709569</x:v>
      </x:c>
      <x:c r="L670" t="n">
        <x:v>0.9999404507420578</x:v>
      </x:c>
      <x:c r="M670" t="n">
        <x:v>87.43654638898153</x:v>
      </x:c>
      <x:c r="N670" t="n">
        <x:v>0.000005311043855590332</x:v>
      </x:c>
      <x:c r="O670" t="str">
        <x:v>NO</x:v>
      </x:c>
      <x:c r="P670" t="str">
        <x:v>NO</x:v>
      </x:c>
    </x:row>
    <x:row r="671">
      <x:c r="A671" t="str">
        <x:v>LP</x:v>
      </x:c>
      <x:c r="B671" t="n">
        <x:v>41</x:v>
      </x:c>
      <x:c r="C671" t="n">
        <x:v>0.2000000000000001</x:v>
      </x:c>
      <x:c r="D671" t="n">
        <x:v>36</x:v>
      </x:c>
      <x:c r="E671" t="n">
        <x:v>77</x:v>
      </x:c>
      <x:c r="F671" t="n">
        <x:v>-0.0199999999999999</x:v>
      </x:c>
      <x:c r="G671" t="n">
        <x:v>0.1800000000000002</x:v>
      </x:c>
      <x:c r="H671" t="n">
        <x:v>1.281883885238538e-11</x:v>
      </x:c>
      <x:c r="I671" t="n">
        <x:v>2.436117799521789e-9</x:v>
      </x:c>
      <x:c r="J671" t="n">
        <x:v>2.2788495969768956</x:v>
      </x:c>
      <x:c r="K671" t="n">
        <x:v>11.452078802267385</x:v>
      </x:c>
      <x:c r="L671" t="n">
        <x:v>0.9999566234949668</x:v>
      </x:c>
      <x:c r="M671" t="n">
        <x:v>87.32039110681032</x:v>
      </x:c>
      <x:c r="N671" t="n">
        <x:v>0.000006060227165105187</x:v>
      </x:c>
      <x:c r="O671" t="str">
        <x:v>NO</x:v>
      </x:c>
      <x:c r="P671" t="str">
        <x:v>NO</x:v>
      </x:c>
    </x:row>
    <x:row r="672">
      <x:c r="A672" t="str">
        <x:v>LP</x:v>
      </x:c>
      <x:c r="B672" t="n">
        <x:v>41</x:v>
      </x:c>
      <x:c r="C672" t="n">
        <x:v>0.2000000000000001</x:v>
      </x:c>
      <x:c r="D672" t="n">
        <x:v>37</x:v>
      </x:c>
      <x:c r="E672" t="n">
        <x:v>78</x:v>
      </x:c>
      <x:c r="F672" t="n">
        <x:v>-0.0149999999999999</x:v>
      </x:c>
      <x:c r="G672" t="n">
        <x:v>0.1850000000000002</x:v>
      </x:c>
      <x:c r="H672" t="n">
        <x:v>1.4505161836316829e-11</x:v>
      </x:c>
      <x:c r="I672" t="n">
        <x:v>2.77949171892227e-9</x:v>
      </x:c>
      <x:c r="J672" t="n">
        <x:v>2.2824428058054824</x:v>
      </x:c>
      <x:c r="K672" t="n">
        <x:v>11.46481121193771</x:v>
      </x:c>
      <x:c r="L672" t="n">
        <x:v>0.9999688764494348</x:v>
      </x:c>
      <x:c r="M672" t="n">
        <x:v>87.22341620058708</x:v>
      </x:c>
      <x:c r="N672" t="n">
        <x:v>0.000006914423934468279</x:v>
      </x:c>
      <x:c r="O672" t="str">
        <x:v>NO</x:v>
      </x:c>
      <x:c r="P672" t="str">
        <x:v>NO</x:v>
      </x:c>
    </x:row>
    <x:row r="673">
      <x:c r="A673" t="str">
        <x:v>LP</x:v>
      </x:c>
      <x:c r="B673" t="n">
        <x:v>41</x:v>
      </x:c>
      <x:c r="C673" t="n">
        <x:v>0.2000000000000001</x:v>
      </x:c>
      <x:c r="D673" t="n">
        <x:v>38</x:v>
      </x:c>
      <x:c r="E673" t="n">
        <x:v>79</x:v>
      </x:c>
      <x:c r="F673" t="n">
        <x:v>-0.0099999999999999</x:v>
      </x:c>
      <x:c r="G673" t="n">
        <x:v>0.1900000000000002</x:v>
      </x:c>
      <x:c r="H673" t="n">
        <x:v>1.643216208159562e-11</x:v>
      </x:c>
      <x:c r="I673" t="n">
        <x:v>3.170935027767185e-9</x:v>
      </x:c>
      <x:c r="J673" t="n">
        <x:v>2.285492633438947</x:v>
      </x:c>
      <x:c r="K673" t="n">
        <x:v>11.47529533545592</x:v>
      </x:c>
      <x:c r="L673" t="n">
        <x:v>0.9999780177841905</x:v>
      </x:c>
      <x:c r="M673" t="n">
        <x:v>87.14372665514229</x:v>
      </x:c>
      <x:c r="N673" t="n">
        <x:v>0.000007888200889887382</x:v>
      </x:c>
      <x:c r="O673" t="str">
        <x:v>NO</x:v>
      </x:c>
      <x:c r="P673" t="str">
        <x:v>NO</x:v>
      </x:c>
    </x:row>
    <x:row r="674">
      <x:c r="A674" t="str">
        <x:v>LP</x:v>
      </x:c>
      <x:c r="B674" t="n">
        <x:v>41</x:v>
      </x:c>
      <x:c r="C674" t="n">
        <x:v>0.2000000000000001</x:v>
      </x:c>
      <x:c r="D674" t="n">
        <x:v>39</x:v>
      </x:c>
      <x:c r="E674" t="n">
        <x:v>80</x:v>
      </x:c>
      <x:c r="F674" t="n">
        <x:v>-0.0049999999999999</x:v>
      </x:c>
      <x:c r="G674" t="n">
        <x:v>0.1950000000000002</x:v>
      </x:c>
      <x:c r="H674" t="n">
        <x:v>1.8634160708620268e-11</x:v>
      </x:c>
      <x:c r="I674" t="n">
        <x:v>3.617102566781934e-9</x:v>
      </x:c>
      <x:c r="J674" t="n">
        <x:v>2.2880509871149215</x:v>
      </x:c>
      <x:c r="K674" t="n">
        <x:v>11.483738330089428</x:v>
      </x:c>
      <x:c r="L674" t="n">
        <x:v>0.9999846924290642</x:v>
      </x:c>
      <x:c r="M674" t="n">
        <x:v>87.07965744742049</x:v>
      </x:c>
      <x:c r="N674" t="n">
        <x:v>0.000008998112997034287</x:v>
      </x:c>
      <x:c r="O674" t="str">
        <x:v>NO</x:v>
      </x:c>
      <x:c r="P674" t="str">
        <x:v>NO</x:v>
      </x:c>
    </x:row>
    <x:row r="675">
      <x:c r="A675" t="str">
        <x:v>LP</x:v>
      </x:c>
      <x:c r="B675" t="n">
        <x:v>41</x:v>
      </x:c>
      <x:c r="C675" t="n">
        <x:v>0.2000000000000001</x:v>
      </x:c>
      <x:c r="D675" t="n">
        <x:v>40</x:v>
      </x:c>
      <x:c r="E675" t="n">
        <x:v>81</x:v>
      </x:c>
      <x:c r="F675" t="n">
        <x:v>9.887923813067799e-17</x:v>
      </x:c>
      <x:c r="G675" t="n">
        <x:v>0.2000000000000002</x:v>
      </x:c>
      <x:c r="H675" t="n">
        <x:v>2.115036673217059e-11</x:v>
      </x:c>
      <x:c r="I675" t="n">
        <x:v>4.125554792534778e-9</x:v>
      </x:c>
      <x:c r="J675" t="n">
        <x:v>2.2901644573333506</x:v>
      </x:c>
      <x:c r="K675" t="n">
        <x:v>11.490323563731357</x:v>
      </x:c>
      <x:c r="L675" t="n">
        <x:v>0.9999894148123123</x:v>
      </x:c>
      <x:c r="M675" t="n">
        <x:v>87.02975111653522</x:v>
      </x:c>
      <x:c r="N675" t="n">
        <x:v>0.000010262968083791771</x:v>
      </x:c>
      <x:c r="O675" t="str">
        <x:v>NO</x:v>
      </x:c>
      <x:c r="P675" t="str">
        <x:v>NO</x:v>
      </x:c>
    </x:row>
    <x:row r="676">
      <x:c r="A676" t="str">
        <x:v>LP</x:v>
      </x:c>
      <x:c r="B676" t="n">
        <x:v>41</x:v>
      </x:c>
      <x:c r="C676" t="n">
        <x:v>0.2000000000000002</x:v>
      </x:c>
      <x:c r="D676" t="n">
        <x:v>41</x:v>
      </x:c>
      <x:c r="E676" t="n">
        <x:v>82</x:v>
      </x:c>
      <x:c r="F676" t="n">
        <x:v>0.005</x:v>
      </x:c>
      <x:c r="G676" t="n">
        <x:v>0.2050000000000002</x:v>
      </x:c>
      <x:c r="H676" t="n">
        <x:v>2.4025571782320378e-11</x:v>
      </x:c>
      <x:c r="I676" t="n">
        <x:v>4.7048777512138814e-9</x:v>
      </x:c>
      <x:c r="J676" t="n">
        <x:v>2.2918746112595336</x:v>
      </x:c>
      <x:c r="K676" t="n">
        <x:v>11.495212509257874</x:v>
      </x:c>
      <x:c r="L676" t="n">
        <x:v>0.9999925955020249</x:v>
      </x:c>
      <x:c r="M676" t="n">
        <x:v>86.99273712379238</x:v>
      </x:c>
      <x:c r="N676" t="n">
        <x:v>0.00001170412529394203</x:v>
      </x:c>
      <x:c r="O676" t="str">
        <x:v>NO</x:v>
      </x:c>
      <x:c r="P676" t="str">
        <x:v>NO</x:v>
      </x:c>
    </x:row>
    <x:row r="677">
      <x:c r="A677" t="str">
        <x:v>LP</x:v>
      </x:c>
      <x:c r="B677" t="n">
        <x:v>41</x:v>
      </x:c>
      <x:c r="C677" t="n">
        <x:v>0.2000000000000001</x:v>
      </x:c>
      <x:c r="D677" t="n">
        <x:v>42</x:v>
      </x:c>
      <x:c r="E677" t="n">
        <x:v>83</x:v>
      </x:c>
      <x:c r="F677" t="n">
        <x:v>0.0100000000000001</x:v>
      </x:c>
      <x:c r="G677" t="n">
        <x:v>0.2100000000000002</x:v>
      </x:c>
      <x:c r="H677" t="n">
        <x:v>2.7310943261342637e-11</x:v>
      </x:c>
      <x:c r="I677" t="n">
        <x:v>5.3648182780588584e-9</x:v>
      </x:c>
      <x:c r="J677" t="n">
        <x:v>2.2932183157407966</x:v>
      </x:c>
      <x:c r="K677" t="n">
        <x:v>11.498546591916886</x:v>
      </x:c>
      <x:c r="L677" t="n">
        <x:v>0.9999945627524609</x:v>
      </x:c>
      <x:c r="M677" t="n">
        <x:v>86.96751298142048</x:v>
      </x:c>
      <x:c r="N677" t="n">
        <x:v>0.000013345831417071561</x:v>
      </x:c>
      <x:c r="O677" t="str">
        <x:v>NO</x:v>
      </x:c>
      <x:c r="P677" t="str">
        <x:v>NO</x:v>
      </x:c>
    </x:row>
    <x:row r="678">
      <x:c r="A678" t="str">
        <x:v>LP</x:v>
      </x:c>
      <x:c r="B678" t="n">
        <x:v>41</x:v>
      </x:c>
      <x:c r="C678" t="n">
        <x:v>0.2000000000000001</x:v>
      </x:c>
      <x:c r="D678" t="n">
        <x:v>43</x:v>
      </x:c>
      <x:c r="E678" t="n">
        <x:v>84</x:v>
      </x:c>
      <x:c r="F678" t="n">
        <x:v>0.0150000000000001</x:v>
      </x:c>
      <x:c r="G678" t="n">
        <x:v>0.2150000000000002</x:v>
      </x:c>
      <x:c r="H678" t="n">
        <x:v>3.106492981728692e-11</x:v>
      </x:c>
      <x:c r="I678" t="n">
        <x:v>6.116436220906963e-9</x:v>
      </x:c>
      <x:c r="J678" t="n">
        <x:v>2.2942280747106203</x:v>
      </x:c>
      <x:c r="K678" t="n">
        <x:v>11.500448958733688</x:v>
      </x:c>
      <x:c r="L678" t="n">
        <x:v>0.9999955798469886</x:v>
      </x:c>
      <x:c r="M678" t="n">
        <x:v>86.95312709862327</x:v>
      </x:c>
      <x:c r="N678" t="n">
        <x:v>0.000015215599568645636</x:v>
      </x:c>
      <x:c r="O678" t="str">
        <x:v>NO</x:v>
      </x:c>
      <x:c r="P678" t="str">
        <x:v>NO</x:v>
      </x:c>
    </x:row>
    <x:row r="679">
      <x:c r="A679" t="str">
        <x:v>LP</x:v>
      </x:c>
      <x:c r="B679" t="n">
        <x:v>41</x:v>
      </x:c>
      <x:c r="C679" t="n">
        <x:v>0.2000000000000001</x:v>
      </x:c>
      <x:c r="D679" t="n">
        <x:v>44</x:v>
      </x:c>
      <x:c r="E679" t="n">
        <x:v>85</x:v>
      </x:c>
      <x:c r="F679" t="n">
        <x:v>0.0200000000000001</x:v>
      </x:c>
      <x:c r="G679" t="n">
        <x:v>0.2200000000000002</x:v>
      </x:c>
      <x:c r="H679" t="n">
        <x:v>3.535429495798751e-11</x:v>
      </x:c>
      <x:c r="I679" t="n">
        <x:v>6.972275672665353e-9</x:v>
      </x:c>
      <x:c r="J679" t="n">
        <x:v>2.2949323692049575</x:v>
      </x:c>
      <x:c r="K679" t="n">
        <x:v>11.50102614899659</x:v>
      </x:c>
      <x:c r="L679" t="n">
        <x:v>0.9999958590068565</x:v>
      </x:c>
      <x:c r="M679" t="n">
        <x:v>86.94876327076652</x:v>
      </x:c>
      <x:c r="N679" t="n">
        <x:v>0.000017344635157783836</x:v>
      </x:c>
      <x:c r="O679" t="str">
        <x:v>NO</x:v>
      </x:c>
      <x:c r="P679" t="str">
        <x:v>NO</x:v>
      </x:c>
    </x:row>
    <x:row r="680">
      <x:c r="A680" t="str">
        <x:v>LP</x:v>
      </x:c>
      <x:c r="B680" t="n">
        <x:v>41</x:v>
      </x:c>
      <x:c r="C680" t="n">
        <x:v>0.2000000000000001</x:v>
      </x:c>
      <x:c r="D680" t="n">
        <x:v>45</x:v>
      </x:c>
      <x:c r="E680" t="n">
        <x:v>86</x:v>
      </x:c>
      <x:c r="F680" t="n">
        <x:v>0.0250000000000001</x:v>
      </x:c>
      <x:c r="G680" t="n">
        <x:v>0.2250000000000002</x:v>
      </x:c>
      <x:c r="H680" t="n">
        <x:v>4.0255296840700295e-11</x:v>
      </x:c>
      <x:c r="I680" t="n">
        <x:v>7.946557398246181e-9</x:v>
      </x:c>
      <x:c r="J680" t="n">
        <x:v>2.2953559912049037</x:v>
      </x:c>
      <x:c r="K680" t="n">
        <x:v>11.500369652999177</x:v>
      </x:c>
      <x:c r="L680" t="n">
        <x:v>0.9999955725176595</x:v>
      </x:c>
      <x:c r="M680" t="n">
        <x:v>86.9537267212285</x:v>
      </x:c>
      <x:c r="N680" t="n">
        <x:v>0.000019768314579603883</x:v>
      </x:c>
      <x:c r="O680" t="str">
        <x:v>NO</x:v>
      </x:c>
      <x:c r="P680" t="str">
        <x:v>NO</x:v>
      </x:c>
    </x:row>
    <x:row r="681">
      <x:c r="A681" t="str">
        <x:v>LP</x:v>
      </x:c>
      <x:c r="B681" t="n">
        <x:v>41</x:v>
      </x:c>
      <x:c r="C681" t="n">
        <x:v>0.2000000000000001</x:v>
      </x:c>
      <x:c r="D681" t="n">
        <x:v>46</x:v>
      </x:c>
      <x:c r="E681" t="n">
        <x:v>87</x:v>
      </x:c>
      <x:c r="F681" t="n">
        <x:v>0.0300000000000001</x:v>
      </x:c>
      <x:c r="G681" t="n">
        <x:v>0.2300000000000002</x:v>
      </x:c>
      <x:c r="H681" t="n">
        <x:v>4.5855034789212085e-11</x:v>
      </x:c>
      <x:c r="I681" t="n">
        <x:v>9.055394856811717e-9</x:v>
      </x:c>
      <x:c r="J681" t="n">
        <x:v>2.295520365025686</x:v>
      </x:c>
      <x:c r="K681" t="n">
        <x:v>11.498557352575506</x:v>
      </x:c>
      <x:c r="L681" t="n">
        <x:v>0.9999948616179722</x:v>
      </x:c>
      <x:c r="M681" t="n">
        <x:v>86.9674315948874</x:v>
      </x:c>
      <x:c r="N681" t="n">
        <x:v>0.000022526722604619815</x:v>
      </x:c>
      <x:c r="O681" t="str">
        <x:v>NO</x:v>
      </x:c>
      <x:c r="P681" t="str">
        <x:v>NO</x:v>
      </x:c>
    </x:row>
    <x:row r="682">
      <x:c r="A682" t="str">
        <x:v>LP</x:v>
      </x:c>
      <x:c r="B682" t="n">
        <x:v>41</x:v>
      </x:c>
      <x:c r="C682" t="n">
        <x:v>0.20000000000000012</x:v>
      </x:c>
      <x:c r="D682" t="n">
        <x:v>47</x:v>
      </x:c>
      <x:c r="E682" t="n">
        <x:v>88</x:v>
      </x:c>
      <x:c r="F682" t="n">
        <x:v>0.0350000000000001</x:v>
      </x:c>
      <x:c r="G682" t="n">
        <x:v>0.2350000000000002</x:v>
      </x:c>
      <x:c r="H682" t="n">
        <x:v>5.2252985954002747e-11</x:v>
      </x:c>
      <x:c r="I682" t="n">
        <x:v>1.031703645006383e-8</x:v>
      </x:c>
      <x:c r="J682" t="n">
        <x:v>2.295443852011716</x:v>
      </x:c>
      <x:c r="K682" t="n">
        <x:v>11.495654841818107</x:v>
      </x:c>
      <x:c r="L682" t="n">
        <x:v>0.999993843599563</x:v>
      </x:c>
      <x:c r="M682" t="n">
        <x:v>86.98938979641842</x:v>
      </x:c>
      <x:c r="N682" t="n">
        <x:v>0.00002566525500956096</x:v>
      </x:c>
      <x:c r="O682" t="str">
        <x:v>NO</x:v>
      </x:c>
      <x:c r="P682" t="str">
        <x:v>NO</x:v>
      </x:c>
    </x:row>
    <x:row r="683">
      <x:c r="A683" t="str">
        <x:v>LP</x:v>
      </x:c>
      <x:c r="B683" t="n">
        <x:v>41</x:v>
      </x:c>
      <x:c r="C683" t="n">
        <x:v>0.20000000000000012</x:v>
      </x:c>
      <x:c r="D683" t="n">
        <x:v>48</x:v>
      </x:c>
      <x:c r="E683" t="n">
        <x:v>89</x:v>
      </x:c>
      <x:c r="F683" t="n">
        <x:v>0.0400000000000001</x:v>
      </x:c>
      <x:c r="G683" t="n">
        <x:v>0.2400000000000002</x:v>
      </x:c>
      <x:c r="H683" t="n">
        <x:v>5.956275878741194e-11</x:v>
      </x:c>
      <x:c r="I683" t="n">
        <x:v>1.1752136871608331e-8</x:v>
      </x:c>
      <x:c r="J683" t="n">
        <x:v>2.2951420359322565</x:v>
      </x:c>
      <x:c r="K683" t="n">
        <x:v>11.491716629981424</x:v>
      </x:c>
      <x:c r="L683" t="n">
        <x:v>0.9999926174865587</x:v>
      </x:c>
      <x:c r="M683" t="n">
        <x:v>87.01920106444676</x:v>
      </x:c>
      <x:c r="N683" t="n">
        <x:v>0.00002923529360170339</x:v>
      </x:c>
      <x:c r="O683" t="str">
        <x:v>NO</x:v>
      </x:c>
      <x:c r="P683" t="str">
        <x:v>NO</x:v>
      </x:c>
    </x:row>
    <x:row r="684">
      <x:c r="A684" t="str">
        <x:v>LP</x:v>
      </x:c>
      <x:c r="B684" t="n">
        <x:v>41</x:v>
      </x:c>
      <x:c r="C684" t="n">
        <x:v>0.2000000000000001</x:v>
      </x:c>
      <x:c r="D684" t="n">
        <x:v>49</x:v>
      </x:c>
      <x:c r="E684" t="n">
        <x:v>90</x:v>
      </x:c>
      <x:c r="F684" t="n">
        <x:v>0.0450000000000001</x:v>
      </x:c>
      <x:c r="G684" t="n">
        <x:v>0.2450000000000002</x:v>
      </x:c>
      <x:c r="H684" t="n">
        <x:v>6.791409370813255e-11</x:v>
      </x:c>
      <x:c r="I684" t="n">
        <x:v>1.3384060690676641e-8</x:v>
      </x:c>
      <x:c r="J684" t="n">
        <x:v>2.294627987742392</x:v>
      </x:c>
      <x:c r="K684" t="n">
        <x:v>11.486787231152043</x:v>
      </x:c>
      <x:c r="L684" t="n">
        <x:v>0.9999912685915023</x:v>
      </x:c>
      <x:c r="M684" t="n">
        <x:v>87.0565441734666</x:v>
      </x:c>
      <x:c r="N684" t="n">
        <x:v>0.00003329496143124815</x:v>
      </x:c>
      <x:c r="O684" t="str">
        <x:v>NO</x:v>
      </x:c>
      <x:c r="P684" t="str">
        <x:v>NO</x:v>
      </x:c>
    </x:row>
    <x:row r="685">
      <x:c r="A685" t="str">
        <x:v>LP</x:v>
      </x:c>
      <x:c r="B685" t="n">
        <x:v>41</x:v>
      </x:c>
      <x:c r="C685" t="n">
        <x:v>0.20000000000000023</x:v>
      </x:c>
      <x:c r="D685" t="n">
        <x:v>50</x:v>
      </x:c>
      <x:c r="E685" t="n">
        <x:v>91</x:v>
      </x:c>
      <x:c r="F685" t="n">
        <x:v>0.05</x:v>
      </x:c>
      <x:c r="G685" t="n">
        <x:v>0.2500000000000002</x:v>
      </x:c>
      <x:c r="H685" t="n">
        <x:v>7.745514553794716e-11</x:v>
      </x:c>
      <x:c r="I685" t="n">
        <x:v>1.523922157501657e-8</x:v>
      </x:c>
      <x:c r="J685" t="n">
        <x:v>2.293912509333863</x:v>
      </x:c>
      <x:c r="K685" t="n">
        <x:v>11.480902147038762</x:v>
      </x:c>
      <x:c r="L685" t="n">
        <x:v>0.9999898721884181</x:v>
      </x:c>
      <x:c r="M685" t="n">
        <x:v>87.10116915837727</x:v>
      </x:c>
      <x:c r="N685" t="n">
        <x:v>0.00003790996666175234</x:v>
      </x:c>
      <x:c r="O685" t="str">
        <x:v>NO</x:v>
      </x:c>
      <x:c r="P685" t="str">
        <x:v>NO</x:v>
      </x:c>
    </x:row>
    <x:row r="686">
      <x:c r="A686" t="str">
        <x:v>LP</x:v>
      </x:c>
      <x:c r="B686" t="n">
        <x:v>41</x:v>
      </x:c>
      <x:c r="C686" t="n">
        <x:v>0.20000000000000023</x:v>
      </x:c>
      <x:c r="D686" t="n">
        <x:v>51</x:v>
      </x:c>
      <x:c r="E686" t="n">
        <x:v>92</x:v>
      </x:c>
      <x:c r="F686" t="n">
        <x:v>0.055</x:v>
      </x:c>
      <x:c r="G686" t="n">
        <x:v>0.2550000000000002</x:v>
      </x:c>
      <x:c r="H686" t="n">
        <x:v>8.835508707411416e-11</x:v>
      </x:c>
      <x:c r="I686" t="n">
        <x:v>1.7347460841589792e-8</x:v>
      </x:c>
      <x:c r="J686" t="n">
        <x:v>2.2930043566160476</x:v>
      </x:c>
      <x:c r="K686" t="n">
        <x:v>11.474088750370974</x:v>
      </x:c>
      <x:c r="L686" t="n">
        <x:v>0.9999884964954704</x:v>
      </x:c>
      <x:c r="M686" t="n">
        <x:v>87.15289046092384</x:v>
      </x:c>
      <x:c r="N686" t="n">
        <x:v>0.00004315454427468078</x:v>
      </x:c>
      <x:c r="O686" t="str">
        <x:v>NO</x:v>
      </x:c>
      <x:c r="P686" t="str">
        <x:v>NO</x:v>
      </x:c>
    </x:row>
    <x:row r="687">
      <x:c r="A687" t="str">
        <x:v>LP</x:v>
      </x:c>
      <x:c r="B687" t="n">
        <x:v>41</x:v>
      </x:c>
      <x:c r="C687" t="n">
        <x:v>0.20000000000000018</x:v>
      </x:c>
      <x:c r="D687" t="n">
        <x:v>52</x:v>
      </x:c>
      <x:c r="E687" t="n">
        <x:v>93</x:v>
      </x:c>
      <x:c r="F687" t="n">
        <x:v>0.06</x:v>
      </x:c>
      <x:c r="G687" t="n">
        <x:v>0.2600000000000002</x:v>
      </x:c>
      <x:c r="H687" t="n">
        <x:v>1.008070785903204e-10</x:v>
      </x:c>
      <x:c r="I687" t="n">
        <x:v>1.974246931861928e-8</x:v>
      </x:c>
      <x:c r="J687" t="n">
        <x:v>2.2919104427748476</x:v>
      </x:c>
      <x:c r="K687" t="n">
        <x:v>11.46636707704412</x:v>
      </x:c>
      <x:c r="L687" t="n">
        <x:v>0.9999872051211636</x:v>
      </x:c>
      <x:c r="M687" t="n">
        <x:v>87.21158090272712</x:v>
      </x:c>
      <x:c r="N687" t="n">
        <x:v>0.00004911250551777029</x:v>
      </x:c>
      <x:c r="O687" t="str">
        <x:v>NO</x:v>
      </x:c>
      <x:c r="P687" t="str">
        <x:v>NO</x:v>
      </x:c>
    </x:row>
    <x:row r="688">
      <x:c r="A688" t="str">
        <x:v>LP</x:v>
      </x:c>
      <x:c r="B688" t="n">
        <x:v>41</x:v>
      </x:c>
      <x:c r="C688" t="n">
        <x:v>0.20000000000000018</x:v>
      </x:c>
      <x:c r="D688" t="n">
        <x:v>53</x:v>
      </x:c>
      <x:c r="E688" t="n">
        <x:v>94</x:v>
      </x:c>
      <x:c r="F688" t="n">
        <x:v>0.065</x:v>
      </x:c>
      <x:c r="G688" t="n">
        <x:v>0.2650000000000002</x:v>
      </x:c>
      <x:c r="H688" t="n">
        <x:v>1.1503165422272059e-10</x:v>
      </x:c>
      <x:c r="I688" t="n">
        <x:v>2.2462256806987223e-8</x:v>
      </x:c>
      <x:c r="J688" t="n">
        <x:v>2.2906360229032057</x:v>
      </x:c>
      <x:c r="K688" t="n">
        <x:v>11.457750535438967</x:v>
      </x:c>
      <x:c r="L688" t="n">
        <x:v>0.9999860590969183</x:v>
      </x:c>
      <x:c r="M688" t="n">
        <x:v>87.27716639553178</x:v>
      </x:c>
      <x:c r="N688" t="n">
        <x:v>0.00005587840576428388</x:v>
      </x:c>
      <x:c r="O688" t="str">
        <x:v>NO</x:v>
      </x:c>
      <x:c r="P688" t="str">
        <x:v>NO</x:v>
      </x:c>
    </x:row>
    <x:row r="689">
      <x:c r="A689" t="str">
        <x:v>LP</x:v>
      </x:c>
      <x:c r="B689" t="n">
        <x:v>41</x:v>
      </x:c>
      <x:c r="C689" t="n">
        <x:v>0.20000000000000018</x:v>
      </x:c>
      <x:c r="D689" t="n">
        <x:v>54</x:v>
      </x:c>
      <x:c r="E689" t="n">
        <x:v>95</x:v>
      </x:c>
      <x:c r="F689" t="n">
        <x:v>0.07</x:v>
      </x:c>
      <x:c r="G689" t="n">
        <x:v>0.2700000000000002</x:v>
      </x:c>
      <x:c r="H689" t="n">
        <x:v>1.312805831898021e-10</x:v>
      </x:c>
      <x:c r="I689" t="n">
        <x:v>2.554967374128647e-8</x:v>
      </x:c>
      <x:c r="J689" t="n">
        <x:v>2.289184861423589</x:v>
      </x:c>
      <x:c r="K689" t="n">
        <x:v>11.448246541370754</x:v>
      </x:c>
      <x:c r="L689" t="n">
        <x:v>0.9999851185940201</x:v>
      </x:c>
      <x:c r="M689" t="n">
        <x:v>87.34962130543576</x:v>
      </x:c>
      <x:c r="N689" t="n">
        <x:v>0.0000635588422271343</x:v>
      </x:c>
      <x:c r="O689" t="str">
        <x:v>NO</x:v>
      </x:c>
      <x:c r="P689" t="str">
        <x:v>NO</x:v>
      </x:c>
    </x:row>
    <x:row r="690">
      <x:c r="A690" t="str">
        <x:v>LP</x:v>
      </x:c>
      <x:c r="B690" t="n">
        <x:v>41</x:v>
      </x:c>
      <x:c r="C690" t="n">
        <x:v>0.2000000000000001</x:v>
      </x:c>
      <x:c r="D690" t="n">
        <x:v>55</x:v>
      </x:c>
      <x:c r="E690" t="n">
        <x:v>96</x:v>
      </x:c>
      <x:c r="F690" t="n">
        <x:v>0.0750000000000001</x:v>
      </x:c>
      <x:c r="G690" t="n">
        <x:v>0.2750000000000002</x:v>
      </x:c>
      <x:c r="H690" t="n">
        <x:v>1.5105804807905818e-10</x:v>
      </x:c>
      <x:c r="I690" t="n">
        <x:v>2.9052989969066852e-8</x:v>
      </x:c>
      <x:c r="J690" t="n">
        <x:v>2.2840469655618785</x:v>
      </x:c>
      <x:c r="K690" t="n">
        <x:v>11.437857086962781</x:v>
      </x:c>
      <x:c r="L690" t="n">
        <x:v>0.9999844444032573</x:v>
      </x:c>
      <x:c r="M690" t="n">
        <x:v>87.42896439402365</x:v>
      </x:c>
      <x:c r="N690" t="n">
        <x:v>0.00007227389376352393</x:v>
      </x:c>
      <x:c r="O690" t="str">
        <x:v>NO</x:v>
      </x:c>
      <x:c r="P690" t="str">
        <x:v>NO</x:v>
      </x:c>
    </x:row>
    <x:row r="691">
      <x:c r="A691" t="str">
        <x:v>LP</x:v>
      </x:c>
      <x:c r="B691" t="n">
        <x:v>41</x:v>
      </x:c>
      <x:c r="C691" t="n">
        <x:v>0.2000000000000001</x:v>
      </x:c>
      <x:c r="D691" t="n">
        <x:v>56</x:v>
      </x:c>
      <x:c r="E691" t="n">
        <x:v>97</x:v>
      </x:c>
      <x:c r="F691" t="n">
        <x:v>0.0800000000000001</x:v>
      </x:c>
      <x:c r="G691" t="n">
        <x:v>0.2800000000000002</x:v>
      </x:c>
      <x:c r="H691" t="n">
        <x:v>1.7243119146362487e-10</x:v>
      </x:c>
      <x:c r="I691" t="n">
        <x:v>3.3026535889044646e-8</x:v>
      </x:c>
      <x:c r="J691" t="n">
        <x:v>2.2822471943949267</x:v>
      </x:c>
      <x:c r="K691" t="n">
        <x:v>11.429149313618865</x:v>
      </x:c>
      <x:c r="L691" t="n">
        <x:v>0.9999817224281636</x:v>
      </x:c>
      <x:c r="M691" t="n">
        <x:v>87.49557579131542</x:v>
      </x:c>
      <x:c r="N691" t="n">
        <x:v>0.00008215871580733862</x:v>
      </x:c>
      <x:c r="O691" t="str">
        <x:v>NO</x:v>
      </x:c>
      <x:c r="P691" t="str">
        <x:v>NO</x:v>
      </x:c>
    </x:row>
    <x:row r="692">
      <x:c r="A692" t="str">
        <x:v>LP</x:v>
      </x:c>
      <x:c r="B692" t="n">
        <x:v>41</x:v>
      </x:c>
      <x:c r="C692" t="n">
        <x:v>0.2000000000000002</x:v>
      </x:c>
      <x:c r="D692" t="n">
        <x:v>57</x:v>
      </x:c>
      <x:c r="E692" t="n">
        <x:v>98</x:v>
      </x:c>
      <x:c r="F692" t="n">
        <x:v>0.0850000000000001</x:v>
      </x:c>
      <x:c r="G692" t="n">
        <x:v>0.2850000000000003</x:v>
      </x:c>
      <x:c r="H692" t="n">
        <x:v>1.9684298301248878e-10</x:v>
      </x:c>
      <x:c r="I692" t="n">
        <x:v>3.753141151336801e-8</x:v>
      </x:c>
      <x:c r="J692" t="n">
        <x:v>2.280274960208435</x:v>
      </x:c>
      <x:c r="K692" t="n">
        <x:v>11.419669049217168</x:v>
      </x:c>
      <x:c r="L692" t="n">
        <x:v>0.9999786958066289</x:v>
      </x:c>
      <x:c r="M692" t="n">
        <x:v>87.56821197620881</x:v>
      </x:c>
      <x:c r="N692" t="n">
        <x:v>0.00009336530427334128</x:v>
      </x:c>
      <x:c r="O692" t="str">
        <x:v>NO</x:v>
      </x:c>
      <x:c r="P692" t="str">
        <x:v>NO</x:v>
      </x:c>
    </x:row>
    <x:row r="693">
      <x:c r="A693" t="str">
        <x:v>LP</x:v>
      </x:c>
      <x:c r="B693" t="n">
        <x:v>41</x:v>
      </x:c>
      <x:c r="C693" t="n">
        <x:v>0.20000000000000023</x:v>
      </x:c>
      <x:c r="D693" t="n">
        <x:v>58</x:v>
      </x:c>
      <x:c r="E693" t="n">
        <x:v>99</x:v>
      </x:c>
      <x:c r="F693" t="n">
        <x:v>0.0900000000000001</x:v>
      </x:c>
      <x:c r="G693" t="n">
        <x:v>0.2900000000000003</x:v>
      </x:c>
      <x:c r="H693" t="n">
        <x:v>2.2472416984666888e-10</x:v>
      </x:c>
      <x:c r="I693" t="n">
        <x:v>4.263626934374696e-8</x:v>
      </x:c>
      <x:c r="J693" t="n">
        <x:v>2.2781294123143923</x:v>
      </x:c>
      <x:c r="K693" t="n">
        <x:v>11.409404575600615</x:v>
      </x:c>
      <x:c r="L693" t="n">
        <x:v>0.9999753336967628</x:v>
      </x:c>
      <x:c r="M693" t="n">
        <x:v>87.64699273952759</x:v>
      </x:c>
      <x:c r="N693" t="n">
        <x:v>0.00010606444308499287</x:v>
      </x:c>
      <x:c r="O693" t="str">
        <x:v>NO</x:v>
      </x:c>
      <x:c r="P693" t="str">
        <x:v>NO</x:v>
      </x:c>
    </x:row>
    <x:row r="694">
      <x:c r="A694" t="str">
        <x:v>LP</x:v>
      </x:c>
      <x:c r="B694" t="n">
        <x:v>41</x:v>
      </x:c>
      <x:c r="C694" t="n">
        <x:v>0.20000000000000023</x:v>
      </x:c>
      <x:c r="D694" t="n">
        <x:v>59</x:v>
      </x:c>
      <x:c r="E694" t="n">
        <x:v>100</x:v>
      </x:c>
      <x:c r="F694" t="n">
        <x:v>0.0950000000000001</x:v>
      </x:c>
      <x:c r="G694" t="n">
        <x:v>0.2950000000000003</x:v>
      </x:c>
      <x:c r="H694" t="n">
        <x:v>2.5656628572766e-10</x:v>
      </x:c>
      <x:c r="I694" t="n">
        <x:v>4.841817727521244e-8</x:v>
      </x:c>
      <x:c r="J694" t="n">
        <x:v>2.275808849178002</x:v>
      </x:c>
      <x:c r="K694" t="n">
        <x:v>11.398340530859524</x:v>
      </x:c>
      <x:c r="L694" t="n">
        <x:v>0.9999716011147124</x:v>
      </x:c>
      <x:c r="M694" t="n">
        <x:v>87.7320691808277</x:v>
      </x:c>
      <x:c r="N694" t="n">
        <x:v>0.00012044785078361998</x:v>
      </x:c>
      <x:c r="O694" t="str">
        <x:v>NO</x:v>
      </x:c>
      <x:c r="P694" t="str">
        <x:v>NO</x:v>
      </x:c>
    </x:row>
    <x:row r="695">
      <x:c r="A695" t="str">
        <x:v>LP</x:v>
      </x:c>
      <x:c r="B695" t="n">
        <x:v>41</x:v>
      </x:c>
      <x:c r="C695" t="n">
        <x:v>0.20000000000000023</x:v>
      </x:c>
      <x:c r="D695" t="n">
        <x:v>60</x:v>
      </x:c>
      <x:c r="E695" t="n">
        <x:v>101</x:v>
      </x:c>
      <x:c r="F695" t="n">
        <x:v>0.1000000000000001</x:v>
      </x:c>
      <x:c r="G695" t="n">
        <x:v>0.3000000000000003</x:v>
      </x:c>
      <x:c r="H695" t="n">
        <x:v>2.929301697023655e-10</x:v>
      </x:c>
      <x:c r="I695" t="n">
        <x:v>5.4963568063869245e-8</x:v>
      </x:c>
      <x:c r="J695" t="n">
        <x:v>2.273310814817715</x:v>
      </x:c>
      <x:c r="K695" t="n">
        <x:v>11.386458257268805</x:v>
      </x:c>
      <x:c r="L695" t="n">
        <x:v>0.9999674590004858</x:v>
      </x:c>
      <x:c r="M695" t="n">
        <x:v>87.82362148138797</x:v>
      </x:c>
      <x:c r="N695" t="n">
        <x:v>0.0001367305424791668</x:v>
      </x:c>
      <x:c r="O695" t="str">
        <x:v>NO</x:v>
      </x:c>
      <x:c r="P695" t="str">
        <x:v>NO</x:v>
      </x:c>
    </x:row>
    <x:row r="696">
      <x:c r="A696" t="str">
        <x:v>LP</x:v>
      </x:c>
      <x:c r="B696" t="n">
        <x:v>41</x:v>
      </x:c>
      <x:c r="C696" t="n">
        <x:v>0.20000000000000023</x:v>
      </x:c>
      <x:c r="D696" t="n">
        <x:v>61</x:v>
      </x:c>
      <x:c r="E696" t="n">
        <x:v>102</x:v>
      </x:c>
      <x:c r="F696" t="n">
        <x:v>0.1050000000000001</x:v>
      </x:c>
      <x:c r="G696" t="n">
        <x:v>0.3050000000000003</x:v>
      </x:c>
      <x:c r="H696" t="n">
        <x:v>3.3445566569647457e-10</x:v>
      </x:c>
      <x:c r="I696" t="n">
        <x:v>6.236928221678175e-8</x:v>
      </x:c>
      <x:c r="J696" t="n">
        <x:v>2.270632188635531</x:v>
      </x:c>
      <x:c r="K696" t="n">
        <x:v>11.373736125407268</x:v>
      </x:c>
      <x:c r="L696" t="n">
        <x:v>0.9999628642450891</x:v>
      </x:c>
      <x:c r="M696" t="n">
        <x:v>87.92185689679803</x:v>
      </x:c>
      <x:c r="N696" t="n">
        <x:v>0.00015515342420323382</x:v>
      </x:c>
      <x:c r="O696" t="str">
        <x:v>NO</x:v>
      </x:c>
      <x:c r="P696" t="str">
        <x:v>NO</x:v>
      </x:c>
    </x:row>
    <x:row r="697">
      <x:c r="A697" t="str">
        <x:v>LP</x:v>
      </x:c>
      <x:c r="B697" t="n">
        <x:v>41</x:v>
      </x:c>
      <x:c r="C697" t="n">
        <x:v>0.20000000000000018</x:v>
      </x:c>
      <x:c r="D697" t="n">
        <x:v>62</x:v>
      </x:c>
      <x:c r="E697" t="n">
        <x:v>103</x:v>
      </x:c>
      <x:c r="F697" t="n">
        <x:v>0.1100000000000001</x:v>
      </x:c>
      <x:c r="G697" t="n">
        <x:v>0.3100000000000003</x:v>
      </x:c>
      <x:c r="H697" t="n">
        <x:v>3.8187266400736416e-10</x:v>
      </x:c>
      <x:c r="I697" t="n">
        <x:v>7.074371148474389e-8</x:v>
      </x:c>
      <x:c r="J697" t="n">
        <x:v>2.2677692698930603</x:v>
      </x:c>
      <x:c r="K697" t="n">
        <x:v>11.360149839927033</x:v>
      </x:c>
      <x:c r="L697" t="n">
        <x:v>0.9999577696990213</x:v>
      </x:c>
      <x:c r="M697" t="n">
        <x:v>88.0270079260172</x:v>
      </x:c>
      <x:c r="N697" t="n">
        <x:v>0.00017598613752765457</x:v>
      </x:c>
      <x:c r="O697" t="str">
        <x:v>NO</x:v>
      </x:c>
      <x:c r="P697" t="str">
        <x:v>NO</x:v>
      </x:c>
    </x:row>
    <x:row r="698">
      <x:c r="A698" t="str">
        <x:v>LP</x:v>
      </x:c>
      <x:c r="B698" t="n">
        <x:v>41</x:v>
      </x:c>
      <x:c r="C698" t="n">
        <x:v>0.20000000000000018</x:v>
      </x:c>
      <x:c r="D698" t="n">
        <x:v>63</x:v>
      </x:c>
      <x:c r="E698" t="n">
        <x:v>104</x:v>
      </x:c>
      <x:c r="F698" t="n">
        <x:v>0.1150000000000001</x:v>
      </x:c>
      <x:c r="G698" t="n">
        <x:v>0.3150000000000003</x:v>
      </x:c>
      <x:c r="H698" t="n">
        <x:v>4.3601366699345075e-10</x:v>
      </x:c>
      <x:c r="I698" t="n">
        <x:v>8.020805046558592e-8</x:v>
      </x:c>
      <x:c r="J698" t="n">
        <x:v>2.264717857933042</x:v>
      </x:c>
      <x:c r="K698" t="n">
        <x:v>11.345672732014837</x:v>
      </x:c>
      <x:c r="L698" t="n">
        <x:v>0.9999521241803713</x:v>
      </x:c>
      <x:c r="M698" t="n">
        <x:v>88.1393306170584</x:v>
      </x:c>
      <x:c r="N698" t="n">
        <x:v>0.00019953017312508004</x:v>
      </x:c>
      <x:c r="O698" t="str">
        <x:v>NO</x:v>
      </x:c>
      <x:c r="P698" t="str">
        <x:v>NO</x:v>
      </x:c>
    </x:row>
    <x:row r="699">
      <x:c r="A699" t="str">
        <x:v>LP</x:v>
      </x:c>
      <x:c r="B699" t="n">
        <x:v>41</x:v>
      </x:c>
      <x:c r="C699" t="n">
        <x:v>0.20000000000000018</x:v>
      </x:c>
      <x:c r="D699" t="n">
        <x:v>64</x:v>
      </x:c>
      <x:c r="E699" t="n">
        <x:v>105</x:v>
      </x:c>
      <x:c r="F699" t="n">
        <x:v>0.1200000000000001</x:v>
      </x:c>
      <x:c r="G699" t="n">
        <x:v>0.3200000000000003</x:v>
      </x:c>
      <x:c r="H699" t="n">
        <x:v>4.978280853064774e-10</x:v>
      </x:c>
      <x:c r="I699" t="n">
        <x:v>9.08976641617378e-8</x:v>
      </x:c>
      <x:c r="J699" t="n">
        <x:v>2.261473329125029</x:v>
      </x:c>
      <x:c r="K699" t="n">
        <x:v>11.330276043159964</x:v>
      </x:c>
      <x:c r="L699" t="n">
        <x:v>0.9999458724996444</x:v>
      </x:c>
      <x:c r="M699" t="n">
        <x:v>88.25910297249072</x:v>
      </x:c>
      <x:c r="N699" t="n">
        <x:v>0.0002261222727840607</x:v>
      </x:c>
      <x:c r="O699" t="str">
        <x:v>NO</x:v>
      </x:c>
      <x:c r="P699" t="str">
        <x:v>NO</x:v>
      </x:c>
    </x:row>
    <x:row r="700">
      <x:c r="A700" t="str">
        <x:v>LP</x:v>
      </x:c>
      <x:c r="B700" t="n">
        <x:v>41</x:v>
      </x:c>
      <x:c r="C700" t="n">
        <x:v>0.20000000000000018</x:v>
      </x:c>
      <x:c r="D700" t="n">
        <x:v>65</x:v>
      </x:c>
      <x:c r="E700" t="n">
        <x:v>106</x:v>
      </x:c>
      <x:c r="F700" t="n">
        <x:v>0.1250000000000001</x:v>
      </x:c>
      <x:c r="G700" t="n">
        <x:v>0.3250000000000003</x:v>
      </x:c>
      <x:c r="H700" t="n">
        <x:v>5.683984980839916e-10</x:v>
      </x:c>
      <x:c r="I700" t="n">
        <x:v>1.029635796884623e-7</x:v>
      </x:c>
      <x:c r="J700" t="n">
        <x:v>2.2580307113870832</x:v>
      </x:c>
      <x:c r="K700" t="n">
        <x:v>11.313929204417619</x:v>
      </x:c>
      <x:c r="L700" t="n">
        <x:v>0.9999389555178381</x:v>
      </x:c>
      <x:c r="M700" t="n">
        <x:v>88.3866234207601</x:v>
      </x:c>
      <x:c r="N700" t="n">
        <x:v>0.00025613814026849603</x:v>
      </x:c>
      <x:c r="O700" t="str">
        <x:v>NO</x:v>
      </x:c>
      <x:c r="P700" t="str">
        <x:v>NO</x:v>
      </x:c>
    </x:row>
    <x:row r="701">
      <x:c r="A701" t="str">
        <x:v>LP</x:v>
      </x:c>
      <x:c r="B701" t="n">
        <x:v>41</x:v>
      </x:c>
      <x:c r="C701" t="n">
        <x:v>0.2000000000000002</x:v>
      </x:c>
      <x:c r="D701" t="n">
        <x:v>66</x:v>
      </x:c>
      <x:c r="E701" t="n">
        <x:v>107</x:v>
      </x:c>
      <x:c r="F701" t="n">
        <x:v>0.1300000000000001</x:v>
      </x:c>
      <x:c r="G701" t="n">
        <x:v>0.3300000000000003</x:v>
      </x:c>
      <x:c r="H701" t="n">
        <x:v>6.48959140958066e-10</x:v>
      </x:c>
      <x:c r="I701" t="n">
        <x:v>1.165741107072096e-7</x:v>
      </x:c>
      <x:c r="J701" t="n">
        <x:v>2.2543847570008078</x:v>
      </x:c>
      <x:c r="K701" t="n">
        <x:v>11.296600114916602</x:v>
      </x:c>
      <x:c r="L701" t="n">
        <x:v>0.9999313102539976</x:v>
      </x:c>
      <x:c r="M701" t="n">
        <x:v>88.52220932203747</x:v>
      </x:c>
      <x:c r="N701" t="n">
        <x:v>0.0002899964823517527</x:v>
      </x:c>
      <x:c r="O701" t="str">
        <x:v>NO</x:v>
      </x:c>
      <x:c r="P701" t="str">
        <x:v>NO</x:v>
      </x:c>
    </x:row>
    <x:row r="702">
      <x:c r="A702" t="str">
        <x:v>LP</x:v>
      </x:c>
      <x:c r="B702" t="n">
        <x:v>41</x:v>
      </x:c>
      <x:c r="C702" t="n">
        <x:v>0.2000000000000002</x:v>
      </x:c>
      <x:c r="D702" t="n">
        <x:v>67</x:v>
      </x:c>
      <x:c r="E702" t="n">
        <x:v>108</x:v>
      </x:c>
      <x:c r="F702" t="n">
        <x:v>0.1350000000000001</x:v>
      </x:c>
      <x:c r="G702" t="n">
        <x:v>0.3350000000000003</x:v>
      </x:c>
      <x:c r="H702" t="n">
        <x:v>7.409169199265799e-10</x:v>
      </x:c>
      <x:c r="I702" t="n">
        <x:v>1.319166235729035e-7</x:v>
      </x:c>
      <x:c r="J702" t="n">
        <x:v>2.2505300142936253</x:v>
      </x:c>
      <x:c r="K702" t="n">
        <x:v>11.278255422905794</x:v>
      </x:c>
      <x:c r="L702" t="n">
        <x:v>0.9999228700583677</x:v>
      </x:c>
      <x:c r="M702" t="n">
        <x:v>88.66619547993481</x:v>
      </x:c>
      <x:c r="N702" t="n">
        <x:v>0.0003281634023865334</x:v>
      </x:c>
      <x:c r="O702" t="str">
        <x:v>NO</x:v>
      </x:c>
      <x:c r="P702" t="str">
        <x:v>NO</x:v>
      </x:c>
    </x:row>
    <x:row r="703">
      <x:c r="A703" t="str">
        <x:v>LP</x:v>
      </x:c>
      <x:c r="B703" t="n">
        <x:v>41</x:v>
      </x:c>
      <x:c r="C703" t="n">
        <x:v>0.2000000000000001</x:v>
      </x:c>
      <x:c r="D703" t="n">
        <x:v>68</x:v>
      </x:c>
      <x:c r="E703" t="n">
        <x:v>109</x:v>
      </x:c>
      <x:c r="F703" t="n">
        <x:v>0.1400000000000002</x:v>
      </x:c>
      <x:c r="G703" t="n">
        <x:v>0.3400000000000003</x:v>
      </x:c>
      <x:c r="H703" t="n">
        <x:v>8.458752874830023e-10</x:v>
      </x:c>
      <x:c r="I703" t="n">
        <x:v>1.491994546466443e-7</x:v>
      </x:c>
      <x:c r="J703" t="n">
        <x:v>2.2464608986149512</x:v>
      </x:c>
      <x:c r="K703" t="n">
        <x:v>11.258860812151692</x:v>
      </x:c>
      <x:c r="L703" t="n">
        <x:v>0.9999135648671309</x:v>
      </x:c>
      <x:c r="M703" t="n">
        <x:v>88.81893263310438</x:v>
      </x:c>
      <x:c r="N703" t="n">
        <x:v>0.00037115716992255655</x:v>
      </x:c>
      <x:c r="O703" t="str">
        <x:v>NO</x:v>
      </x:c>
      <x:c r="P703" t="str">
        <x:v>NO</x:v>
      </x:c>
    </x:row>
    <x:row r="704">
      <x:c r="A704" t="str">
        <x:v>LP</x:v>
      </x:c>
      <x:c r="B704" t="n">
        <x:v>41</x:v>
      </x:c>
      <x:c r="C704" t="n">
        <x:v>0.2000000000000001</x:v>
      </x:c>
      <x:c r="D704" t="n">
        <x:v>69</x:v>
      </x:c>
      <x:c r="E704" t="n">
        <x:v>110</x:v>
      </x:c>
      <x:c r="F704" t="n">
        <x:v>0.1450000000000002</x:v>
      </x:c>
      <x:c r="G704" t="n">
        <x:v>0.3450000000000003</x:v>
      </x:c>
      <x:c r="H704" t="n">
        <x:v>9.656613603731478e-10</x:v>
      </x:c>
      <x:c r="I704" t="n">
        <x:v>1.686539887478547e-7</x:v>
      </x:c>
      <x:c r="J704" t="n">
        <x:v>2.242171762870294</x:v>
      </x:c>
      <x:c r="K704" t="n">
        <x:v>11.238381295979986</x:v>
      </x:c>
      <x:c r="L704" t="n">
        <x:v>0.9999033215544482</x:v>
      </x:c>
      <x:c r="M704" t="n">
        <x:v>88.98078590354503</x:v>
      </x:c>
      <x:c r="N704" t="n">
        <x:v>0.0004195533911840096</x:v>
      </x:c>
      <x:c r="O704" t="str">
        <x:v>NO</x:v>
      </x:c>
      <x:c r="P704" t="str">
        <x:v>NO</x:v>
      </x:c>
    </x:row>
    <x:row r="705">
      <x:c r="A705" t="str">
        <x:v>LP</x:v>
      </x:c>
      <x:c r="B705" t="n">
        <x:v>41</x:v>
      </x:c>
      <x:c r="C705" t="n">
        <x:v>0.20000000000000012</x:v>
      </x:c>
      <x:c r="D705" t="n">
        <x:v>70</x:v>
      </x:c>
      <x:c r="E705" t="n">
        <x:v>111</x:v>
      </x:c>
      <x:c r="F705" t="n">
        <x:v>0.1500000000000002</x:v>
      </x:c>
      <x:c r="G705" t="n">
        <x:v>0.3500000000000003</x:v>
      </x:c>
      <x:c r="H705" t="n">
        <x:v>1.102356706418941e-9</x:v>
      </x:c>
      <x:c r="I705" t="n">
        <x:v>1.905369055394056e-7</x:v>
      </x:c>
      <x:c r="J705" t="n">
        <x:v>2.237656959109297</x:v>
      </x:c>
      <x:c r="K705" t="n">
        <x:v>11.216781514698816</x:v>
      </x:c>
      <x:c r="L705" t="n">
        <x:v>0.9998920643803789</x:v>
      </x:c>
      <x:c r="M705" t="n">
        <x:v>89.15213322908797</x:v>
      </x:c>
      <x:c r="N705" t="n">
        <x:v>0.00047399059730677</x:v>
      </x:c>
      <x:c r="O705" t="str">
        <x:v>NO</x:v>
      </x:c>
      <x:c r="P705" t="str">
        <x:v>NO</x:v>
      </x:c>
    </x:row>
    <x:row r="706">
      <x:c r="A706" t="str">
        <x:v>LP</x:v>
      </x:c>
      <x:c r="B706" t="n">
        <x:v>41</x:v>
      </x:c>
      <x:c r="C706" t="n">
        <x:v>0.20000000000000012</x:v>
      </x:c>
      <x:c r="D706" t="n">
        <x:v>71</x:v>
      </x:c>
      <x:c r="E706" t="n">
        <x:v>112</x:v>
      </x:c>
      <x:c r="F706" t="n">
        <x:v>0.1550000000000002</x:v>
      </x:c>
      <x:c r="G706" t="n">
        <x:v>0.3550000000000003</x:v>
      </x:c>
      <x:c r="H706" t="n">
        <x:v>1.258332281556775e-9</x:v>
      </x:c>
      <x:c r="I706" t="n">
        <x:v>2.15132598123149e-7</x:v>
      </x:c>
      <x:c r="J706" t="n">
        <x:v>2.2329108839195912</x:v>
      </x:c>
      <x:c r="K706" t="n">
        <x:v>11.194026026829578</x:v>
      </x:c>
      <x:c r="L706" t="n">
        <x:v>0.9998797155135072</x:v>
      </x:c>
      <x:c r="M706" t="n">
        <x:v>89.33336384989848</x:v>
      </x:c>
      <x:c r="N706" t="n">
        <x:v>0.0005351762609761695</x:v>
      </x:c>
      <x:c r="O706" t="str">
        <x:v>NO</x:v>
      </x:c>
      <x:c r="P706" t="str">
        <x:v>NO</x:v>
      </x:c>
    </x:row>
    <x:row r="707">
      <x:c r="A707" t="str">
        <x:v>LP</x:v>
      </x:c>
      <x:c r="B707" t="n">
        <x:v>41</x:v>
      </x:c>
      <x:c r="C707" t="n">
        <x:v>0.20000000000000012</x:v>
      </x:c>
      <x:c r="D707" t="n">
        <x:v>72</x:v>
      </x:c>
      <x:c r="E707" t="n">
        <x:v>113</x:v>
      </x:c>
      <x:c r="F707" t="n">
        <x:v>0.1600000000000002</x:v>
      </x:c>
      <x:c r="G707" t="n">
        <x:v>0.3600000000000003</x:v>
      </x:c>
      <x:c r="H707" t="n">
        <x:v>1.436288058139643e-9</x:v>
      </x:c>
      <x:c r="I707" t="n">
        <x:v>2.427558290030328e-7</x:v>
      </x:c>
      <x:c r="J707" t="n">
        <x:v>2.2279281172988936</x:v>
      </x:c>
      <x:c r="K707" t="n">
        <x:v>11.17007966106088</x:v>
      </x:c>
      <x:c r="L707" t="n">
        <x:v>0.9998661958320568</x:v>
      </x:c>
      <x:c r="M707" t="n">
        <x:v>89.52487630737495</x:v>
      </x:c>
      <x:c r="N707" t="n">
        <x:v>0.0006038934035540472</x:v>
      </x:c>
      <x:c r="O707" t="str">
        <x:v>NO</x:v>
      </x:c>
      <x:c r="P707" t="str">
        <x:v>NO</x:v>
      </x:c>
    </x:row>
    <x:row r="708">
      <x:c r="A708" t="str">
        <x:v>LP</x:v>
      </x:c>
      <x:c r="B708" t="n">
        <x:v>41</x:v>
      </x:c>
      <x:c r="C708" t="n">
        <x:v>0.20000000000000012</x:v>
      </x:c>
      <x:c r="D708" t="n">
        <x:v>73</x:v>
      </x:c>
      <x:c r="E708" t="n">
        <x:v>114</x:v>
      </x:c>
      <x:c r="F708" t="n">
        <x:v>0.1650000000000002</x:v>
      </x:c>
      <x:c r="G708" t="n">
        <x:v>0.3650000000000003</x:v>
      </x:c>
      <x:c r="H708" t="n">
        <x:v>1.639297952254774e-9</x:v>
      </x:c>
      <x:c r="I708" t="n">
        <x:v>2.737545560534216e-7</x:v>
      </x:c>
      <x:c r="J708" t="n">
        <x:v>2.2227034594251123</x:v>
      </x:c>
      <x:c r="K708" t="n">
        <x:v>11.144907855847856</x:v>
      </x:c>
      <x:c r="L708" t="n">
        <x:v>0.9998514258140351</x:v>
      </x:c>
      <x:c r="M708" t="n">
        <x:v>89.72707652089639</x:v>
      </x:c>
      <x:c r="N708" t="n">
        <x:v>0.0006810076251205593</x:v>
      </x:c>
      <x:c r="O708" t="str">
        <x:v>NO</x:v>
      </x:c>
      <x:c r="P708" t="str">
        <x:v>NO</x:v>
      </x:c>
    </x:row>
    <x:row r="709">
      <x:c r="A709" t="str">
        <x:v>LP</x:v>
      </x:c>
      <x:c r="B709" t="n">
        <x:v>41</x:v>
      </x:c>
      <x:c r="C709" t="n">
        <x:v>0.20000000000000007</x:v>
      </x:c>
      <x:c r="D709" t="n">
        <x:v>74</x:v>
      </x:c>
      <x:c r="E709" t="n">
        <x:v>115</x:v>
      </x:c>
      <x:c r="F709" t="n">
        <x:v>0.1700000000000002</x:v>
      </x:c>
      <x:c r="G709" t="n">
        <x:v>0.3700000000000003</x:v>
      </x:c>
      <x:c r="H709" t="n">
        <x:v>1.870860731940521e-9</x:v>
      </x:c>
      <x:c r="I709" t="n">
        <x:v>3.085129870941359e-7</x:v>
      </x:c>
      <x:c r="J709" t="n">
        <x:v>2.217231991171486</x:v>
      </x:c>
      <x:c r="K709" t="n">
        <x:v>11.118477004450579</x:v>
      </x:c>
      <x:c r="L709" t="n">
        <x:v>0.9998353265694295</x:v>
      </x:c>
      <x:c r="M709" t="n">
        <x:v>89.9403757906513</x:v>
      </x:c>
      <x:c r="N709" t="n">
        <x:v>0.0007674747032112501</x:v>
      </x:c>
      <x:c r="O709" t="str">
        <x:v>NO</x:v>
      </x:c>
      <x:c r="P709" t="str">
        <x:v>NO</x:v>
      </x:c>
    </x:row>
    <x:row r="710">
      <x:c r="A710" t="str">
        <x:v>LP</x:v>
      </x:c>
      <x:c r="B710" t="n">
        <x:v>41</x:v>
      </x:c>
      <x:c r="C710" t="n">
        <x:v>0.20000000000000007</x:v>
      </x:c>
      <x:c r="D710" t="n">
        <x:v>75</x:v>
      </x:c>
      <x:c r="E710" t="n">
        <x:v>116</x:v>
      </x:c>
      <x:c r="F710" t="n">
        <x:v>0.1750000000000002</x:v>
      </x:c>
      <x:c r="G710" t="n">
        <x:v>0.3750000000000003</x:v>
      </x:c>
      <x:c r="H710" t="n">
        <x:v>2.134957670422552e-9</x:v>
      </x:c>
      <x:c r="I710" t="n">
        <x:v>3.474548724799429e-7</x:v>
      </x:c>
      <x:c r="J710" t="n">
        <x:v>2.2115091375838682</x:v>
      </x:c>
      <x:c r="K710" t="n">
        <x:v>11.09075480755711</x:v>
      </x:c>
      <x:c r="L710" t="n">
        <x:v>0.9998178210266006</x:v>
      </x:c>
      <x:c r="M710" t="n">
        <x:v>90.16518869559823</x:v>
      </x:c>
      <x:c r="N710" t="n">
        <x:v>0.0008643487836526008</x:v>
      </x:c>
      <x:c r="O710" t="str">
        <x:v>NO</x:v>
      </x:c>
      <x:c r="P710" t="str">
        <x:v>NO</x:v>
      </x:c>
    </x:row>
    <x:row r="711">
      <x:c r="A711" t="str">
        <x:v>LP</x:v>
      </x:c>
      <x:c r="B711" t="n">
        <x:v>41</x:v>
      </x:c>
      <x:c r="C711" t="n">
        <x:v>0.2000000000000001</x:v>
      </x:c>
      <x:c r="D711" t="n">
        <x:v>76</x:v>
      </x:c>
      <x:c r="E711" t="n">
        <x:v>117</x:v>
      </x:c>
      <x:c r="F711" t="n">
        <x:v>0.1800000000000002</x:v>
      </x:c>
      <x:c r="G711" t="n">
        <x:v>0.3800000000000003</x:v>
      </x:c>
      <x:c r="H711" t="n">
        <x:v>2.436117799521789e-9</x:v>
      </x:c>
      <x:c r="I711" t="n">
        <x:v>3.91047048787814e-7</x:v>
      </x:c>
      <x:c r="J711" t="n">
        <x:v>2.2055307276733425</x:v>
      </x:c>
      <x:c r="K711" t="n">
        <x:v>11.06171063061371</x:v>
      </x:c>
      <x:c r="L711" t="n">
        <x:v>0.9997988352670859</x:v>
      </x:c>
      <x:c r="M711" t="n">
        <x:v>90.40193089416582</x:v>
      </x:c>
      <x:c r="N711" t="n">
        <x:v>0.0009727911960428693</x:v>
      </x:c>
      <x:c r="O711" t="str">
        <x:v>NO</x:v>
      </x:c>
      <x:c r="P711" t="str">
        <x:v>NO</x:v>
      </x:c>
    </x:row>
    <x:row r="712">
      <x:c r="A712" t="str">
        <x:v>LP</x:v>
      </x:c>
      <x:c r="B712" t="n">
        <x:v>41</x:v>
      </x:c>
      <x:c r="C712" t="n">
        <x:v>0.2000000000000001</x:v>
      </x:c>
      <x:c r="D712" t="n">
        <x:v>77</x:v>
      </x:c>
      <x:c r="E712" t="n">
        <x:v>118</x:v>
      </x:c>
      <x:c r="F712" t="n">
        <x:v>0.1850000000000002</x:v>
      </x:c>
      <x:c r="G712" t="n">
        <x:v>0.3850000000000003</x:v>
      </x:c>
      <x:c r="H712" t="n">
        <x:v>2.77949171892227e-9</x:v>
      </x:c>
      <x:c r="I712" t="n">
        <x:v>4.398032494401846e-7</x:v>
      </x:c>
      <x:c r="J712" t="n">
        <x:v>2.1992930493144733</x:v>
      </x:c>
      <x:c r="K712" t="n">
        <x:v>11.031315862020646</x:v>
      </x:c>
      <x:c r="L712" t="n">
        <x:v>0.9997782999952226</x:v>
      </x:c>
      <x:c r="M712" t="n">
        <x:v>90.65101684223067</x:v>
      </x:c>
      <x:c r="N712" t="n">
        <x:v>0.0010940799332783253</x:v>
      </x:c>
      <x:c r="O712" t="str">
        <x:v>NO</x:v>
      </x:c>
      <x:c r="P712" t="str">
        <x:v>NO</x:v>
      </x:c>
    </x:row>
    <x:row r="713">
      <x:c r="A713" t="str">
        <x:v>LP</x:v>
      </x:c>
      <x:c r="B713" t="n">
        <x:v>41</x:v>
      </x:c>
      <x:c r="C713" t="n">
        <x:v>0.2000000000000001</x:v>
      </x:c>
      <x:c r="D713" t="n">
        <x:v>78</x:v>
      </x:c>
      <x:c r="E713" t="n">
        <x:v>119</x:v>
      </x:c>
      <x:c r="F713" t="n">
        <x:v>0.1900000000000002</x:v>
      </x:c>
      <x:c r="G713" t="n">
        <x:v>0.3900000000000003</x:v>
      </x:c>
      <x:c r="H713" t="n">
        <x:v>3.170935027767185e-9</x:v>
      </x:c>
      <x:c r="I713" t="n">
        <x:v>4.942881983435589e-7</x:v>
      </x:c>
      <x:c r="J713" t="n">
        <x:v>2.1927928978866484</x:v>
      </x:c>
      <x:c r="K713" t="n">
        <x:v>10.999544267362783</x:v>
      </x:c>
      <x:c r="L713" t="n">
        <x:v>0.9997561521197572</x:v>
      </x:c>
      <x:c r="M713" t="n">
        <x:v>90.91285745057117</x:v>
      </x:c>
      <x:c r="N713" t="n">
        <x:v>0.0012296198351247852</x:v>
      </x:c>
      <x:c r="O713" t="str">
        <x:v>NO</x:v>
      </x:c>
      <x:c r="P713" t="str">
        <x:v>NO</x:v>
      </x:c>
    </x:row>
    <x:row r="714">
      <x:c r="A714" t="str">
        <x:v>LP</x:v>
      </x:c>
      <x:c r="B714" t="n">
        <x:v>41</x:v>
      </x:c>
      <x:c r="C714" t="n">
        <x:v>0.2000000000000002</x:v>
      </x:c>
      <x:c r="D714" t="n">
        <x:v>79</x:v>
      </x:c>
      <x:c r="E714" t="n">
        <x:v>120</x:v>
      </x:c>
      <x:c r="F714" t="n">
        <x:v>0.1950000000000002</x:v>
      </x:c>
      <x:c r="G714" t="n">
        <x:v>0.3950000000000004</x:v>
      </x:c>
      <x:c r="H714" t="n">
        <x:v>3.617102566781934e-9</x:v>
      </x:c>
      <x:c r="I714" t="n">
        <x:v>5.551220023358563e-7</x:v>
      </x:c>
      <x:c r="J714" t="n">
        <x:v>2.1860276171765376</x:v>
      </x:c>
      <x:c r="K714" t="n">
        <x:v>10.966372333855695</x:v>
      </x:c>
      <x:c r="L714" t="n">
        <x:v>0.9997323364140541</x:v>
      </x:c>
      <x:c r="M714" t="n">
        <x:v>91.18785771232405</x:v>
      </x:c>
      <x:c r="N714" t="n">
        <x:v>0.001380953515123008</x:v>
      </x:c>
      <x:c r="O714" t="str">
        <x:v>NO</x:v>
      </x:c>
      <x:c r="P714" t="str">
        <x:v>NO</x:v>
      </x:c>
    </x:row>
    <x:row r="715">
      <x:c r="A715" t="str">
        <x:v>LP</x:v>
      </x:c>
      <x:c r="B715" t="n">
        <x:v>41</x:v>
      </x:c>
      <x:c r="C715" t="n">
        <x:v>0.2000000000000002</x:v>
      </x:c>
      <x:c r="D715" t="n">
        <x:v>80</x:v>
      </x:c>
      <x:c r="E715" t="n">
        <x:v>121</x:v>
      </x:c>
      <x:c r="F715" t="n">
        <x:v>0.2000000000000002</x:v>
      </x:c>
      <x:c r="G715" t="n">
        <x:v>0.4000000000000004</x:v>
      </x:c>
      <x:c r="H715" t="n">
        <x:v>4.125554792534778e-9</x:v>
      </x:c>
      <x:c r="I715" t="n">
        <x:v>6.229848571863765e-7</x:v>
      </x:c>
      <x:c r="J715" t="n">
        <x:v>2.178995130982635</x:v>
      </x:c>
      <x:c r="K715" t="n">
        <x:v>10.931779598227434</x:v>
      </x:c>
      <x:c r="L715" t="n">
        <x:v>0.9997068072098568</x:v>
      </x:c>
      <x:c r="M715" t="n">
        <x:v>91.47641433990746</x:v>
      </x:c>
      <x:c r="N715" t="n">
        <x:v>0.0015497730675056737</x:v>
      </x:c>
      <x:c r="O715" t="str">
        <x:v>NO</x:v>
      </x:c>
      <x:c r="P715" t="str">
        <x:v>NO</x:v>
      </x:c>
    </x:row>
    <x:row r="716">
      <x:c r="A716" t="str">
        <x:v>LP</x:v>
      </x:c>
      <x:c r="B716" t="n">
        <x:v>41</x:v>
      </x:c>
      <x:c r="C716" t="n">
        <x:v>0.2000000000000002</x:v>
      </x:c>
      <x:c r="D716" t="n">
        <x:v>81</x:v>
      </x:c>
      <x:c r="E716" t="n">
        <x:v>122</x:v>
      </x:c>
      <x:c r="F716" t="n">
        <x:v>0.2050000000000002</x:v>
      </x:c>
      <x:c r="G716" t="n">
        <x:v>0.4050000000000004</x:v>
      </x:c>
      <x:c r="H716" t="n">
        <x:v>4.7048777512138814e-9</x:v>
      </x:c>
      <x:c r="I716" t="n">
        <x:v>6.986220797940975e-7</x:v>
      </x:c>
      <x:c r="J716" t="n">
        <x:v>2.171693963841615</x:v>
      </x:c>
      <x:c r="K716" t="n">
        <x:v>10.895748950368706</x:v>
      </x:c>
      <x:c r="L716" t="n">
        <x:v>0.9996795300671839</x:v>
      </x:c>
      <x:c r="M716" t="n">
        <x:v>91.77891346020418</x:v>
      </x:c>
      <x:c r="N716" t="n">
        <x:v>0.0017379325855841504</x:v>
      </x:c>
      <x:c r="O716" t="str">
        <x:v>NO</x:v>
      </x:c>
      <x:c r="P716" t="str">
        <x:v>NO</x:v>
      </x:c>
    </x:row>
    <x:row r="717">
      <x:c r="A717" t="str">
        <x:v>LP</x:v>
      </x:c>
      <x:c r="B717" t="n">
        <x:v>41</x:v>
      </x:c>
      <x:c r="C717" t="n">
        <x:v>0.20000000000000023</x:v>
      </x:c>
      <x:c r="D717" t="n">
        <x:v>82</x:v>
      </x:c>
      <x:c r="E717" t="n">
        <x:v>123</x:v>
      </x:c>
      <x:c r="F717" t="n">
        <x:v>0.2100000000000002</x:v>
      </x:c>
      <x:c r="G717" t="n">
        <x:v>0.4100000000000004</x:v>
      </x:c>
      <x:c r="H717" t="n">
        <x:v>5.3648182780588584e-9</x:v>
      </x:c>
      <x:c r="I717" t="n">
        <x:v>7.82849475753335e-7</x:v>
      </x:c>
      <x:c r="J717" t="n">
        <x:v>2.1641232493410305</x:v>
      </x:c>
      <x:c r="K717" t="n">
        <x:v>10.858266904309097</x:v>
      </x:c>
      <x:c r="L717" t="n">
        <x:v>0.9996504833503937</x:v>
      </x:c>
      <x:c r="M717" t="n">
        <x:v>92.09572842634311</x:v>
      </x:c>
      <x:c r="N717" t="n">
        <x:v>0.001947461514414456</x:v>
      </x:c>
      <x:c r="O717" t="str">
        <x:v>NO</x:v>
      </x:c>
      <x:c r="P717" t="str">
        <x:v>NO</x:v>
      </x:c>
    </x:row>
    <x:row r="718">
      <x:c r="A718" t="str">
        <x:v>LP</x:v>
      </x:c>
      <x:c r="B718" t="n">
        <x:v>41</x:v>
      </x:c>
      <x:c r="C718" t="n">
        <x:v>0.20000000000000023</x:v>
      </x:c>
      <x:c r="D718" t="n">
        <x:v>83</x:v>
      </x:c>
      <x:c r="E718" t="n">
        <x:v>124</x:v>
      </x:c>
      <x:c r="F718" t="n">
        <x:v>0.2150000000000002</x:v>
      </x:c>
      <x:c r="G718" t="n">
        <x:v>0.4150000000000004</x:v>
      </x:c>
      <x:c r="H718" t="n">
        <x:v>6.116436220906963e-9</x:v>
      </x:c>
      <x:c r="I718" t="n">
        <x:v>8.765590462403014e-7</x:v>
      </x:c>
      <x:c r="J718" t="n">
        <x:v>2.156282724606136</x:v>
      </x:c>
      <x:c r="K718" t="n">
        <x:v>10.819323827470877</x:v>
      </x:c>
      <x:c r="L718" t="n">
        <x:v>0.999619659628433</x:v>
      </x:c>
      <x:c r="M718" t="n">
        <x:v>92.42721781382893</x:v>
      </x:c>
      <x:c r="N718" t="n">
        <x:v>0.0021805788475774634</x:v>
      </x:c>
      <x:c r="O718" t="str">
        <x:v>NO</x:v>
      </x:c>
      <x:c r="P718" t="str">
        <x:v>NO</x:v>
      </x:c>
    </x:row>
    <x:row r="719">
      <x:c r="A719" t="str">
        <x:v>LP</x:v>
      </x:c>
      <x:c r="B719" t="n">
        <x:v>41</x:v>
      </x:c>
      <x:c r="C719" t="n">
        <x:v>0.20000000000000018</x:v>
      </x:c>
      <x:c r="D719" t="n">
        <x:v>84</x:v>
      </x:c>
      <x:c r="E719" t="n">
        <x:v>125</x:v>
      </x:c>
      <x:c r="F719" t="n">
        <x:v>0.2200000000000002</x:v>
      </x:c>
      <x:c r="G719" t="n">
        <x:v>0.4200000000000004</x:v>
      </x:c>
      <x:c r="H719" t="n">
        <x:v>6.972275672665353e-9</x:v>
      </x:c>
      <x:c r="I719" t="n">
        <x:v>9.807250308368829e-7</x:v>
      </x:c>
      <x:c r="J719" t="n">
        <x:v>2.1481727097584855</x:v>
      </x:c>
      <x:c r="K719" t="n">
        <x:v>10.778914118766785</x:v>
      </x:c>
      <x:c r="L719" t="n">
        <x:v>0.9995870668066765</x:v>
      </x:c>
      <x:c r="M719" t="n">
        <x:v>92.77372367768804</x:v>
      </x:c>
      <x:c r="N719" t="n">
        <x:v>0.0024397081596559066</x:v>
      </x:c>
      <x:c r="O719" t="str">
        <x:v>NO</x:v>
      </x:c>
      <x:c r="P719" t="str">
        <x:v>NO</x:v>
      </x:c>
    </x:row>
    <x:row r="720">
      <x:c r="A720" t="str">
        <x:v>LP</x:v>
      </x:c>
      <x:c r="B720" t="n">
        <x:v>41</x:v>
      </x:c>
      <x:c r="C720" t="n">
        <x:v>0.20000000000000018</x:v>
      </x:c>
      <x:c r="D720" t="n">
        <x:v>85</x:v>
      </x:c>
      <x:c r="E720" t="n">
        <x:v>126</x:v>
      </x:c>
      <x:c r="F720" t="n">
        <x:v>0.2250000000000002</x:v>
      </x:c>
      <x:c r="G720" t="n">
        <x:v>0.4250000000000004</x:v>
      </x:c>
      <x:c r="H720" t="n">
        <x:v>7.946557398246181e-9</x:v>
      </x:c>
      <x:c r="I720" t="n">
        <x:v>0.000001096410273070978</x:v>
      </x:c>
      <x:c r="J720" t="n">
        <x:v>2.1397940714471435</x:v>
      </x:c>
      <x:c r="K720" t="n">
        <x:v>10.737036326001329</x:v>
      </x:c>
      <x:c r="L720" t="n">
        <x:v>0.9995527288895555</x:v>
      </x:c>
      <x:c r="M720" t="n">
        <x:v>93.13557015527194</x:v>
      </x:c>
      <x:c r="N720" t="n">
        <x:v>0.002727493441519723</x:v>
      </x:c>
      <x:c r="O720" t="str">
        <x:v>NO</x:v>
      </x:c>
      <x:c r="P720" t="str">
        <x:v>NO</x:v>
      </x:c>
    </x:row>
    <x:row r="721">
      <x:c r="A721" t="str">
        <x:v>LP</x:v>
      </x:c>
      <x:c r="B721" t="n">
        <x:v>41</x:v>
      </x:c>
      <x:c r="C721" t="n">
        <x:v>0.20000000000000018</x:v>
      </x:c>
      <x:c r="D721" t="n">
        <x:v>86</x:v>
      </x:c>
      <x:c r="E721" t="n">
        <x:v>127</x:v>
      </x:c>
      <x:c r="F721" t="n">
        <x:v>0.2300000000000002</x:v>
      </x:c>
      <x:c r="G721" t="n">
        <x:v>0.4300000000000004</x:v>
      </x:c>
      <x:c r="H721" t="n">
        <x:v>9.055394856811717e-9</x:v>
      </x:c>
      <x:c r="I721" t="n">
        <x:v>0.000001224772882773201</x:v>
      </x:c>
      <x:c r="J721" t="n">
        <x:v>2.131148169951735</x:v>
      </x:c>
      <x:c r="K721" t="n">
        <x:v>10.693693193264213</x:v>
      </x:c>
      <x:c r="L721" t="n">
        <x:v>0.9995166862684425</x:v>
      </x:c>
      <x:c r="M721" t="n">
        <x:v>93.51306250584074</x:v>
      </x:c>
      <x:c r="N721" t="n">
        <x:v>0.0030468156739889033</x:v>
      </x:c>
      <x:c r="O721" t="str">
        <x:v>NO</x:v>
      </x:c>
      <x:c r="P721" t="str">
        <x:v>NO</x:v>
      </x:c>
    </x:row>
    <x:row r="722">
      <x:c r="A722" t="str">
        <x:v>LP</x:v>
      </x:c>
      <x:c r="B722" t="n">
        <x:v>41</x:v>
      </x:c>
      <x:c r="C722" t="n">
        <x:v>0.20000000000000018</x:v>
      </x:c>
      <x:c r="D722" t="n">
        <x:v>87</x:v>
      </x:c>
      <x:c r="E722" t="n">
        <x:v>128</x:v>
      </x:c>
      <x:c r="F722" t="n">
        <x:v>0.2350000000000002</x:v>
      </x:c>
      <x:c r="G722" t="n">
        <x:v>0.4350000000000004</x:v>
      </x:c>
      <x:c r="H722" t="n">
        <x:v>1.031703645006383e-8</x:v>
      </x:c>
      <x:c r="I722" t="n">
        <x:v>0.000001367073153552329</x:v>
      </x:c>
      <x:c r="J722" t="n">
        <x:v>2.122236789847979</x:v>
      </x:c>
      <x:c r="K722" t="n">
        <x:v>10.648891629615479</x:v>
      </x:c>
      <x:c r="L722" t="n">
        <x:v>0.9994789954290944</x:v>
      </x:c>
      <x:c r="M722" t="n">
        <x:v>93.90648668251205</x:v>
      </x:c>
      <x:c r="N722" t="n">
        <x:v>0.0034008100361444527</x:v>
      </x:c>
      <x:c r="O722" t="str">
        <x:v>NO</x:v>
      </x:c>
      <x:c r="P722" t="str">
        <x:v>NO</x:v>
      </x:c>
    </x:row>
    <x:row r="723">
      <x:c r="A723" t="str">
        <x:v>LP</x:v>
      </x:c>
      <x:c r="B723" t="n">
        <x:v>41</x:v>
      </x:c>
      <x:c r="C723" t="n">
        <x:v>0.20000000000000018</x:v>
      </x:c>
      <x:c r="D723" t="n">
        <x:v>88</x:v>
      </x:c>
      <x:c r="E723" t="n">
        <x:v>129</x:v>
      </x:c>
      <x:c r="F723" t="n">
        <x:v>0.2400000000000002</x:v>
      </x:c>
      <x:c r="G723" t="n">
        <x:v>0.4400000000000004</x:v>
      </x:c>
      <x:c r="H723" t="n">
        <x:v>1.1752136871608331e-8</x:v>
      </x:c>
      <x:c r="I723" t="n">
        <x:v>0.000001524680674616621</x:v>
      </x:c>
      <x:c r="J723" t="n">
        <x:v>2.1130620547995074</x:v>
      </x:c>
      <x:c r="K723" t="n">
        <x:v>10.602642591400159</x:v>
      </x:c>
      <x:c r="L723" t="n">
        <x:v>0.9994397279783152</x:v>
      </x:c>
      <x:c r="M723" t="n">
        <x:v>94.3161095339669</x:v>
      </x:c>
      <x:c r="N723" t="n">
        <x:v>0.0037928835971053404</x:v>
      </x:c>
      <x:c r="O723" t="str">
        <x:v>NO</x:v>
      </x:c>
      <x:c r="P723" t="str">
        <x:v>NO</x:v>
      </x:c>
    </x:row>
    <x:row r="724">
      <x:c r="A724" t="str">
        <x:v>LP</x:v>
      </x:c>
      <x:c r="B724" t="n">
        <x:v>41</x:v>
      </x:c>
      <x:c r="C724" t="n">
        <x:v>0.2000000000000002</x:v>
      </x:c>
      <x:c r="D724" t="n">
        <x:v>89</x:v>
      </x:c>
      <x:c r="E724" t="n">
        <x:v>130</x:v>
      </x:c>
      <x:c r="F724" t="n">
        <x:v>0.2450000000000002</x:v>
      </x:c>
      <x:c r="G724" t="n">
        <x:v>0.4450000000000004</x:v>
      </x:c>
      <x:c r="H724" t="n">
        <x:v>1.3384060690676641e-8</x:v>
      </x:c>
      <x:c r="I724" t="n">
        <x:v>0.000001699081553814694</x:v>
      </x:c>
      <x:c r="J724" t="n">
        <x:v>2.1036263276793976</x:v>
      </x:c>
      <x:c r="K724" t="n">
        <x:v>10.554960872015895</x:v>
      </x:c>
      <x:c r="L724" t="n">
        <x:v>0.999398968901162</x:v>
      </x:c>
      <x:c r="M724" t="n">
        <x:v>94.74217973192825</x:v>
      </x:c>
      <x:c r="N724" t="n">
        <x:v>0.00422673328448165</x:v>
      </x:c>
      <x:c r="O724" t="str">
        <x:v>NO</x:v>
      </x:c>
      <x:c r="P724" t="str">
        <x:v>NO</x:v>
      </x:c>
    </x:row>
    <x:row r="725">
      <x:c r="A725" t="str">
        <x:v>LP</x:v>
      </x:c>
      <x:c r="B725" t="n">
        <x:v>41</x:v>
      </x:c>
      <x:c r="C725" t="n">
        <x:v>0.20000000000000018</x:v>
      </x:c>
      <x:c r="D725" t="n">
        <x:v>90</x:v>
      </x:c>
      <x:c r="E725" t="n">
        <x:v>131</x:v>
      </x:c>
      <x:c r="F725" t="n">
        <x:v>0.2500000000000002</x:v>
      </x:c>
      <x:c r="G725" t="n">
        <x:v>0.4500000000000004</x:v>
      </x:c>
      <x:c r="H725" t="n">
        <x:v>1.523922157501657e-8</x:v>
      </x:c>
      <x:c r="I725" t="n">
        <x:v>0.000001891885643347979</x:v>
      </x:c>
      <x:c r="J725" t="n">
        <x:v>2.0939320979063307</x:v>
      </x:c>
      <x:c r="K725" t="n">
        <x:v>10.505864794901889</x:v>
      </x:c>
      <x:c r="L725" t="n">
        <x:v>0.9993568139783784</x:v>
      </x:c>
      <x:c r="M725" t="n">
        <x:v>95.18492951529925</x:v>
      </x:c>
      <x:c r="N725" t="n">
        <x:v>0.0047063638594736935</x:v>
      </x:c>
      <x:c r="O725" t="str">
        <x:v>NO</x:v>
      </x:c>
      <x:c r="P725" t="str">
        <x:v>NO</x:v>
      </x:c>
    </x:row>
    <x:row r="726">
      <x:c r="A726" t="str">
        <x:v>LP</x:v>
      </x:c>
      <x:c r="B726" t="n">
        <x:v>41</x:v>
      </x:c>
      <x:c r="C726" t="n">
        <x:v>0.20000000000000018</x:v>
      </x:c>
      <x:c r="D726" t="n">
        <x:v>91</x:v>
      </x:c>
      <x:c r="E726" t="n">
        <x:v>132</x:v>
      </x:c>
      <x:c r="F726" t="n">
        <x:v>0.2550000000000002</x:v>
      </x:c>
      <x:c r="G726" t="n">
        <x:v>0.4550000000000004</x:v>
      </x:c>
      <x:c r="H726" t="n">
        <x:v>1.7347460841589792e-8</x:v>
      </x:c>
      <x:c r="I726" t="n">
        <x:v>0.000002104833631576693</x:v>
      </x:c>
      <x:c r="J726" t="n">
        <x:v>2.083981858571933</x:v>
      </x:c>
      <x:c r="K726" t="n">
        <x:v>10.455375807901287</x:v>
      </x:c>
      <x:c r="L726" t="n">
        <x:v>0.9993133663187566</x:v>
      </x:c>
      <x:c r="M726" t="n">
        <x:v>95.64457733257993</x:v>
      </x:c>
      <x:c r="N726" t="n">
        <x:v>0.005236105558857639</x:v>
      </x:c>
      <x:c r="O726" t="str">
        <x:v>NO</x:v>
      </x:c>
      <x:c r="P726" t="str">
        <x:v>NO</x:v>
      </x:c>
    </x:row>
    <x:row r="727">
      <x:c r="A727" t="str">
        <x:v>LP</x:v>
      </x:c>
      <x:c r="B727" t="n">
        <x:v>41</x:v>
      </x:c>
      <x:c r="C727" t="n">
        <x:v>0.20000000000000023</x:v>
      </x:c>
      <x:c r="D727" t="n">
        <x:v>92</x:v>
      </x:c>
      <x:c r="E727" t="n">
        <x:v>133</x:v>
      </x:c>
      <x:c r="F727" t="n">
        <x:v>0.2600000000000002</x:v>
      </x:c>
      <x:c r="G727" t="n">
        <x:v>0.4600000000000004</x:v>
      </x:c>
      <x:c r="H727" t="n">
        <x:v>1.974246931861928e-8</x:v>
      </x:c>
      <x:c r="I727" t="n">
        <x:v>0.000002339803834458113</x:v>
      </x:c>
      <x:c r="J727" t="n">
        <x:v>2.0737779766001827</x:v>
      </x:c>
      <x:c r="K727" t="n">
        <x:v>10.403517979929855</x:v>
      </x:c>
      <x:c r="L727" t="n">
        <x:v>0.9992687319921886</x:v>
      </x:c>
      <x:c r="M727" t="n">
        <x:v>96.1213314504929</x:v>
      </x:c>
      <x:c r="N727" t="n">
        <x:v>0.005820630989759127</x:v>
      </x:c>
      <x:c r="O727" t="str">
        <x:v>NO</x:v>
      </x:c>
      <x:c r="P727" t="str">
        <x:v>NO</x:v>
      </x:c>
    </x:row>
    <x:row r="728">
      <x:c r="A728" t="str">
        <x:v>LP</x:v>
      </x:c>
      <x:c r="B728" t="n">
        <x:v>41</x:v>
      </x:c>
      <x:c r="C728" t="n">
        <x:v>0.20000000000000023</x:v>
      </x:c>
      <x:c r="D728" t="n">
        <x:v>93</x:v>
      </x:c>
      <x:c r="E728" t="n">
        <x:v>134</x:v>
      </x:c>
      <x:c r="F728" t="n">
        <x:v>0.2650000000000002</x:v>
      </x:c>
      <x:c r="G728" t="n">
        <x:v>0.4650000000000004</x:v>
      </x:c>
      <x:c r="H728" t="n">
        <x:v>2.2462256806987223e-8</x:v>
      </x:c>
      <x:c r="I728" t="n">
        <x:v>0.000002598818489486496</x:v>
      </x:c>
      <x:c r="J728" t="n">
        <x:v>2.063322559775485</x:v>
      </x:c>
      <x:c r="K728" t="n">
        <x:v>10.350317403988772</x:v>
      </x:c>
      <x:c r="L728" t="n">
        <x:v>0.9992230147850377</x:v>
      </x:c>
      <x:c r="M728" t="n">
        <x:v>96.61539457858782</x:v>
      </x:c>
      <x:c r="N728" t="n">
        <x:v>0.006464970786821275</x:v>
      </x:c>
      <x:c r="O728" t="str">
        <x:v>NO</x:v>
      </x:c>
      <x:c r="P728" t="str">
        <x:v>NO</x:v>
      </x:c>
    </x:row>
    <x:row r="729">
      <x:c r="A729" t="str">
        <x:v>LP</x:v>
      </x:c>
      <x:c r="B729" t="n">
        <x:v>41</x:v>
      </x:c>
      <x:c r="C729" t="n">
        <x:v>0.20000000000000023</x:v>
      </x:c>
      <x:c r="D729" t="n">
        <x:v>94</x:v>
      </x:c>
      <x:c r="E729" t="n">
        <x:v>135</x:v>
      </x:c>
      <x:c r="F729" t="n">
        <x:v>0.2700000000000002</x:v>
      </x:c>
      <x:c r="G729" t="n">
        <x:v>0.4700000000000004</x:v>
      </x:c>
      <x:c r="H729" t="n">
        <x:v>2.554967374128647e-8</x:v>
      </x:c>
      <x:c r="I729" t="n">
        <x:v>0.000002884049324936066</x:v>
      </x:c>
      <x:c r="J729" t="n">
        <x:v>2.0526173249588124</x:v>
      </x:c>
      <x:c r="K729" t="n">
        <x:v>10.295801513889852</x:v>
      </x:c>
      <x:c r="L729" t="n">
        <x:v>0.9991763101383284</x:v>
      </x:c>
      <x:c r="M729" t="n">
        <x:v>97.1269695371381</x:v>
      </x:c>
      <x:c r="N729" t="n">
        <x:v>0.007174527466574794</x:v>
      </x:c>
      <x:c r="O729" t="str">
        <x:v>NO</x:v>
      </x:c>
      <x:c r="P729" t="str">
        <x:v>NO</x:v>
      </x:c>
    </x:row>
    <x:row r="730">
      <x:c r="A730" t="str">
        <x:v>LP</x:v>
      </x:c>
      <x:c r="B730" t="n">
        <x:v>41</x:v>
      </x:c>
      <x:c r="C730" t="n">
        <x:v>0.20000000000000023</x:v>
      </x:c>
      <x:c r="D730" t="n">
        <x:v>95</x:v>
      </x:c>
      <x:c r="E730" t="n">
        <x:v>136</x:v>
      </x:c>
      <x:c r="F730" t="n">
        <x:v>0.2750000000000002</x:v>
      </x:c>
      <x:c r="G730" t="n">
        <x:v>0.4750000000000004</x:v>
      </x:c>
      <x:c r="H730" t="n">
        <x:v>2.9052989969066852e-8</x:v>
      </x:c>
      <x:c r="I730" t="n">
        <x:v>0.000003197822149427569</x:v>
      </x:c>
      <x:c r="J730" t="n">
        <x:v>2.0416634721395646</x:v>
      </x:c>
      <x:c r="K730" t="n">
        <x:v>10.239998325489063</x:v>
      </x:c>
      <x:c r="L730" t="n">
        <x:v>0.9991286983687789</x:v>
      </x:c>
      <x:c r="M730" t="n">
        <x:v>97.65626596938334</x:v>
      </x:c>
      <x:c r="N730" t="n">
        <x:v>0.007955086844708505</x:v>
      </x:c>
      <x:c r="O730" t="str">
        <x:v>NO</x:v>
      </x:c>
      <x:c r="P730" t="str">
        <x:v>NO</x:v>
      </x:c>
    </x:row>
    <x:row r="731">
      <x:c r="A731" t="str">
        <x:v>LP</x:v>
      </x:c>
      <x:c r="B731" t="n">
        <x:v>41</x:v>
      </x:c>
      <x:c r="C731" t="n">
        <x:v>0.20000000000000023</x:v>
      </x:c>
      <x:c r="D731" t="n">
        <x:v>96</x:v>
      </x:c>
      <x:c r="E731" t="n">
        <x:v>137</x:v>
      </x:c>
      <x:c r="F731" t="n">
        <x:v>0.2800000000000002</x:v>
      </x:c>
      <x:c r="G731" t="n">
        <x:v>0.4800000000000004</x:v>
      </x:c>
      <x:c r="H731" t="n">
        <x:v>3.3026535889044646e-8</x:v>
      </x:c>
      <x:c r="I731" t="n">
        <x:v>0.000003542620183286753</x:v>
      </x:c>
      <x:c r="J731" t="n">
        <x:v>2.0304615691076027</x:v>
      </x:c>
      <x:c r="K731" t="n">
        <x:v>10.182935616603555</x:v>
      </x:c>
      <x:c r="L731" t="n">
        <x:v>0.9990802373102305</x:v>
      </x:c>
      <x:c r="M731" t="n">
        <x:v>98.20350806986079</x:v>
      </x:c>
      <x:c r="N731" t="n">
        <x:v>0.00881282632334885</x:v>
      </x:c>
      <x:c r="O731" t="str">
        <x:v>NO</x:v>
      </x:c>
      <x:c r="P731" t="str">
        <x:v>NO</x:v>
      </x:c>
    </x:row>
    <x:row r="732">
      <x:c r="A732" t="str">
        <x:v>LP</x:v>
      </x:c>
      <x:c r="B732" t="n">
        <x:v>41</x:v>
      </x:c>
      <x:c r="C732" t="n">
        <x:v>0.20000000000000007</x:v>
      </x:c>
      <x:c r="D732" t="n">
        <x:v>97</x:v>
      </x:c>
      <x:c r="E732" t="n">
        <x:v>138</x:v>
      </x:c>
      <x:c r="F732" t="n">
        <x:v>0.2850000000000003</x:v>
      </x:c>
      <x:c r="G732" t="n">
        <x:v>0.4850000000000004</x:v>
      </x:c>
      <x:c r="H732" t="n">
        <x:v>3.753141151336801e-8</x:v>
      </x:c>
      <x:c r="I732" t="n">
        <x:v>0.000003921085835950356</x:v>
      </x:c>
      <x:c r="J732" t="n">
        <x:v>2.0190114514470974</x:v>
      </x:c>
      <x:c r="K732" t="n">
        <x:v>10.124640062957734</x:v>
      </x:c>
      <x:c r="L732" t="n">
        <x:v>0.9990309545458024</x:v>
      </x:c>
      <x:c r="M732" t="n">
        <x:v>98.768943269265</x:v>
      </x:c>
      <x:c r="N732" t="n">
        <x:v>0.009754319312637571</x:v>
      </x:c>
      <x:c r="O732" t="str">
        <x:v>NO</x:v>
      </x:c>
      <x:c r="P732" t="str">
        <x:v>YES</x:v>
      </x:c>
    </x:row>
  </x:sheetData>
  <x:mergeCells>
    <x:mergeCell ref="A1:P1"/>
    <x:mergeCell ref="A2:P2"/>
  </x:mergeCells>
  <x:conditionalFormatting sqref="O5:P412">
    <x:cfRule type="containsText" dxfId="27" priority="1" operator="containsText" text="YES"/>
  </x:conditionalFormatting>
  <x:conditionalFormatting sqref="O5:O732">
    <x:cfRule type="expression" dxfId="37" priority="2">
      <x:formula>O5="YES"</x:formula>
    </x:cfRule>
  </x:conditionalFormatting>
  <x:conditionalFormatting sqref="P5:P732">
    <x:cfRule type="expression" dxfId="38" priority="3">
      <x:formula>P5="YES"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dc5f6fdb7549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5" hidden="0" customWidth="1"/>
    <x:col min="9" max="9" width="14" hidden="0" customWidth="1"/>
    <x:col min="10" max="10" width="42" hidden="0" customWidth="1"/>
  </x:cols>
  <x:sheetData>
    <x:row r="1" ht="30" customHeight="1">
      <x:c r="A1" s="3" t="str">
        <x:v>PTM 45 nm HP-LP — Processed Common-VDD Curves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5" t="str">
        <x:v>Common-VDS = 1.0 V rows selected from processed ptm45_combined.csv. LOG10(ID), ID/Ion, and the 1% ceiling flag are live workbook formulas.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4" customHeight="1">
      <x:c r="A4" s="11" t="str">
        <x:v>Device</x:v>
      </x:c>
      <x:c r="B4" s="11" t="str">
        <x:v>VDS (V)</x:v>
      </x:c>
      <x:c r="C4" s="11" t="str">
        <x:v>VGS (V)</x:v>
      </x:c>
      <x:c r="D4" s="11" t="str">
        <x:v>ID (A)</x:v>
      </x:c>
      <x:c r="E4" s="11" t="str">
        <x:v>LOG10(ID)</x:v>
      </x:c>
      <x:c r="F4" s="11" t="str">
        <x:v>Ion (A)</x:v>
      </x:c>
      <x:c r="G4" s="11" t="str">
        <x:v>ID / Ion</x:v>
      </x:c>
      <x:c r="H4" s="11" t="str">
        <x:v>Within 1% ceiling</x:v>
      </x:c>
      <x:c r="I4" s="11" t="str">
        <x:v>Bias label</x:v>
      </x:c>
      <x:c r="J4" s="11" t="str">
        <x:v>Raw source file</x:v>
      </x:c>
    </x:row>
    <x:row r="5">
      <x:c r="A5" s="22" t="str">
        <x:v>HP</x:v>
      </x:c>
      <x:c r="B5" s="34" t="n">
        <x:v>1</x:v>
      </x:c>
      <x:c r="C5" s="34" t="n">
        <x:v>-0.2</x:v>
      </x:c>
      <x:c r="D5" s="49" t="n">
        <x:v>5.063629809557701e-10</x:v>
      </x:c>
      <x:c r="E5" s="46" t="n">
        <x:f>LN(D5)/LN(10)</x:f>
        <x:v>-9.29553805211057</x:v>
      </x:c>
      <x:c r="F5" s="49" t="n">
        <x:v>0.0013392062411556</x:v>
      </x:c>
      <x:c r="G5" s="97" t="n">
        <x:f>D5/F5</x:f>
        <x:v>3.781067959471499e-7</x:v>
      </x:c>
      <x:c r="H5" s="23" t="str">
        <x:f>IF(G5&lt;=1%,"YES","NO")</x:f>
        <x:v>YES</x:v>
      </x:c>
      <x:c r="I5" s="23" t="str">
        <x:v>nominal_vdd</x:v>
      </x:c>
      <x:c r="J5" s="24" t="str">
        <x:v>data/raw/ptm45_hp_vds_1v_raw.txt</x:v>
      </x:c>
    </x:row>
    <x:row r="6">
      <x:c r="A6" s="25" t="str">
        <x:v>HP</x:v>
      </x:c>
      <x:c r="B6" s="35" t="n">
        <x:v>1</x:v>
      </x:c>
      <x:c r="C6" s="35" t="n">
        <x:v>-0.195</x:v>
      </x:c>
      <x:c r="D6" s="50" t="n">
        <x:v>4.990261912616486e-10</x:v>
      </x:c>
      <x:c r="E6" s="47" t="n">
        <x:f>LN(D6)/LN(10)</x:f>
        <x:v>-9.301876659943938</x:v>
      </x:c>
      <x:c r="F6" s="50" t="n">
        <x:v>0.0013392062411556</x:v>
      </x:c>
      <x:c r="G6" s="98" t="n">
        <x:f>D6/F6</x:f>
        <x:v>3.7262833455065094e-7</x:v>
      </x:c>
      <x:c r="H6" s="26" t="str">
        <x:f>IF(G6&lt;=1%,"YES","NO")</x:f>
        <x:v>YES</x:v>
      </x:c>
      <x:c r="I6" s="26" t="str">
        <x:v>nominal_vdd</x:v>
      </x:c>
      <x:c r="J6" s="27" t="str">
        <x:v>data/raw/ptm45_hp_vds_1v_raw.txt</x:v>
      </x:c>
    </x:row>
    <x:row r="7">
      <x:c r="A7" s="25" t="str">
        <x:v>HP</x:v>
      </x:c>
      <x:c r="B7" s="35" t="n">
        <x:v>1</x:v>
      </x:c>
      <x:c r="C7" s="35" t="n">
        <x:v>-0.19</x:v>
      </x:c>
      <x:c r="D7" s="50" t="n">
        <x:v>4.9668355471382e-10</x:v>
      </x:c>
      <x:c r="E7" s="47" t="n">
        <x:f>LN(D7)/LN(10)</x:f>
        <x:v>-9.303920219338938</x:v>
      </x:c>
      <x:c r="F7" s="50" t="n">
        <x:v>0.0013392062411556</x:v>
      </x:c>
      <x:c r="G7" s="98" t="n">
        <x:f>D7/F7</x:f>
        <x:v>3.7087906212655655e-7</x:v>
      </x:c>
      <x:c r="H7" s="26" t="str">
        <x:f>IF(G7&lt;=1%,"YES","NO")</x:f>
        <x:v>YES</x:v>
      </x:c>
      <x:c r="I7" s="26" t="str">
        <x:v>nominal_vdd</x:v>
      </x:c>
      <x:c r="J7" s="27" t="str">
        <x:v>data/raw/ptm45_hp_vds_1v_raw.txt</x:v>
      </x:c>
    </x:row>
    <x:row r="8">
      <x:c r="A8" s="25" t="str">
        <x:v>HP</x:v>
      </x:c>
      <x:c r="B8" s="35" t="n">
        <x:v>1</x:v>
      </x:c>
      <x:c r="C8" s="35" t="n">
        <x:v>-0.185</x:v>
      </x:c>
      <x:c r="D8" s="50" t="n">
        <x:v>4.990330642746987e-10</x:v>
      </x:c>
      <x:c r="E8" s="47" t="n">
        <x:f>LN(D8)/LN(10)</x:f>
        <x:v>-9.301870678512223</x:v>
      </x:c>
      <x:c r="F8" s="50" t="n">
        <x:v>0.0013392062411556</x:v>
      </x:c>
      <x:c r="G8" s="98" t="n">
        <x:f>D8/F8</x:f>
        <x:v>3.726334667049367e-7</x:v>
      </x:c>
      <x:c r="H8" s="26" t="str">
        <x:f>IF(G8&lt;=1%,"YES","NO")</x:f>
        <x:v>YES</x:v>
      </x:c>
      <x:c r="I8" s="26" t="str">
        <x:v>nominal_vdd</x:v>
      </x:c>
      <x:c r="J8" s="27" t="str">
        <x:v>data/raw/ptm45_hp_vds_1v_raw.txt</x:v>
      </x:c>
    </x:row>
    <x:row r="9">
      <x:c r="A9" s="25" t="str">
        <x:v>HP</x:v>
      </x:c>
      <x:c r="B9" s="35" t="n">
        <x:v>1</x:v>
      </x:c>
      <x:c r="C9" s="35" t="n">
        <x:v>-0.18</x:v>
      </x:c>
      <x:c r="D9" s="50" t="n">
        <x:v>5.05913562123524e-10</x:v>
      </x:c>
      <x:c r="E9" s="47" t="n">
        <x:f>LN(D9)/LN(10)</x:f>
        <x:v>-9.295923678218507</x:v>
      </x:c>
      <x:c r="F9" s="50" t="n">
        <x:v>0.0013392062411556</x:v>
      </x:c>
      <x:c r="G9" s="98" t="n">
        <x:f>D9/F9</x:f>
        <x:v>3.7777120997208886e-7</x:v>
      </x:c>
      <x:c r="H9" s="26" t="str">
        <x:f>IF(G9&lt;=1%,"YES","NO")</x:f>
        <x:v>YES</x:v>
      </x:c>
      <x:c r="I9" s="26" t="str">
        <x:v>nominal_vdd</x:v>
      </x:c>
      <x:c r="J9" s="27" t="str">
        <x:v>data/raw/ptm45_hp_vds_1v_raw.txt</x:v>
      </x:c>
    </x:row>
    <x:row r="10">
      <x:c r="A10" s="25" t="str">
        <x:v>HP</x:v>
      </x:c>
      <x:c r="B10" s="35" t="n">
        <x:v>1</x:v>
      </x:c>
      <x:c r="C10" s="35" t="n">
        <x:v>-0.175</x:v>
      </x:c>
      <x:c r="D10" s="50" t="n">
        <x:v>5.172951347963915e-10</x:v>
      </x:c>
      <x:c r="E10" s="47" t="n">
        <x:f>LN(D10)/LN(10)</x:f>
        <x:v>-9.2862616061473</x:v>
      </x:c>
      <x:c r="F10" s="50" t="n">
        <x:v>0.0013392062411556</x:v>
      </x:c>
      <x:c r="G10" s="98" t="n">
        <x:f>D10/F10</x:f>
        <x:v>3.862699552161719e-7</x:v>
      </x:c>
      <x:c r="H10" s="26" t="str">
        <x:f>IF(G10&lt;=1%,"YES","NO")</x:f>
        <x:v>YES</x:v>
      </x:c>
      <x:c r="I10" s="26" t="str">
        <x:v>nominal_vdd</x:v>
      </x:c>
      <x:c r="J10" s="27" t="str">
        <x:v>data/raw/ptm45_hp_vds_1v_raw.txt</x:v>
      </x:c>
    </x:row>
    <x:row r="11">
      <x:c r="A11" s="25" t="str">
        <x:v>HP</x:v>
      </x:c>
      <x:c r="B11" s="35" t="n">
        <x:v>1</x:v>
      </x:c>
      <x:c r="C11" s="35" t="n">
        <x:v>-0.17</x:v>
      </x:c>
      <x:c r="D11" s="50" t="n">
        <x:v>5.33272245024237e-10</x:v>
      </x:c>
      <x:c r="E11" s="47" t="n">
        <x:f>LN(D11)/LN(10)</x:f>
        <x:v>-9.273051019254481</x:v>
      </x:c>
      <x:c r="F11" s="50" t="n">
        <x:v>0.0013392062411556</x:v>
      </x:c>
      <x:c r="G11" s="98" t="n">
        <x:f>D11/F11</x:f>
        <x:v>3.9820023879524103e-7</x:v>
      </x:c>
      <x:c r="H11" s="26" t="str">
        <x:f>IF(G11&lt;=1%,"YES","NO")</x:f>
        <x:v>YES</x:v>
      </x:c>
      <x:c r="I11" s="26" t="str">
        <x:v>nominal_vdd</x:v>
      </x:c>
      <x:c r="J11" s="27" t="str">
        <x:v>data/raw/ptm45_hp_vds_1v_raw.txt</x:v>
      </x:c>
    </x:row>
    <x:row r="12">
      <x:c r="A12" s="25" t="str">
        <x:v>HP</x:v>
      </x:c>
      <x:c r="B12" s="35" t="n">
        <x:v>1</x:v>
      </x:c>
      <x:c r="C12" s="35" t="n">
        <x:v>-0.165</x:v>
      </x:c>
      <x:c r="D12" s="50" t="n">
        <x:v>5.540595432906032e-10</x:v>
      </x:c>
      <x:c r="E12" s="47" t="n">
        <x:f>LN(D12)/LN(10)</x:f>
        <x:v>-9.256443560302296</x:v>
      </x:c>
      <x:c r="F12" s="50" t="n">
        <x:v>0.0013392062411556</x:v>
      </x:c>
      <x:c r="G12" s="98" t="n">
        <x:f>D12/F12</x:f>
        <x:v>4.1372234258145757e-7</x:v>
      </x:c>
      <x:c r="H12" s="26" t="str">
        <x:f>IF(G12&lt;=1%,"YES","NO")</x:f>
        <x:v>YES</x:v>
      </x:c>
      <x:c r="I12" s="26" t="str">
        <x:v>nominal_vdd</x:v>
      </x:c>
      <x:c r="J12" s="27" t="str">
        <x:v>data/raw/ptm45_hp_vds_1v_raw.txt</x:v>
      </x:c>
    </x:row>
    <x:row r="13">
      <x:c r="A13" s="25" t="str">
        <x:v>HP</x:v>
      </x:c>
      <x:c r="B13" s="35" t="n">
        <x:v>1</x:v>
      </x:c>
      <x:c r="C13" s="35" t="n">
        <x:v>-0.16</x:v>
      </x:c>
      <x:c r="D13" s="50" t="n">
        <x:v>5.799903253714522e-10</x:v>
      </x:c>
      <x:c r="E13" s="47" t="n">
        <x:f>LN(D13)/LN(10)</x:f>
        <x:v>-9.236579250700572</x:v>
      </x:c>
      <x:c r="F13" s="50" t="n">
        <x:v>0.0013392062411556</x:v>
      </x:c>
      <x:c r="G13" s="98" t="n">
        <x:f>D13/F13</x:f>
        <x:v>4.330851421891366e-7</x:v>
      </x:c>
      <x:c r="H13" s="26" t="str">
        <x:f>IF(G13&lt;=1%,"YES","NO")</x:f>
        <x:v>YES</x:v>
      </x:c>
      <x:c r="I13" s="26" t="str">
        <x:v>nominal_vdd</x:v>
      </x:c>
      <x:c r="J13" s="27" t="str">
        <x:v>data/raw/ptm45_hp_vds_1v_raw.txt</x:v>
      </x:c>
    </x:row>
    <x:row r="14">
      <x:c r="A14" s="25" t="str">
        <x:v>HP</x:v>
      </x:c>
      <x:c r="B14" s="35" t="n">
        <x:v>1</x:v>
      </x:c>
      <x:c r="C14" s="35" t="n">
        <x:v>-0.155</x:v>
      </x:c>
      <x:c r="D14" s="50" t="n">
        <x:v>6.11517628490725e-10</x:v>
      </x:c>
      <x:c r="E14" s="47" t="n">
        <x:f>LN(D14)/LN(10)</x:f>
        <x:v>-9.213591018847001</x:v>
      </x:c>
      <x:c r="F14" s="50" t="n">
        <x:v>0.0013392062411556</x:v>
      </x:c>
      <x:c r="G14" s="98" t="n">
        <x:f>D14/F14</x:f>
        <x:v>4.566269254861349e-7</x:v>
      </x:c>
      <x:c r="H14" s="26" t="str">
        <x:f>IF(G14&lt;=1%,"YES","NO")</x:f>
        <x:v>YES</x:v>
      </x:c>
      <x:c r="I14" s="26" t="str">
        <x:v>nominal_vdd</x:v>
      </x:c>
      <x:c r="J14" s="27" t="str">
        <x:v>data/raw/ptm45_hp_vds_1v_raw.txt</x:v>
      </x:c>
    </x:row>
    <x:row r="15">
      <x:c r="A15" s="25" t="str">
        <x:v>HP</x:v>
      </x:c>
      <x:c r="B15" s="35" t="n">
        <x:v>1</x:v>
      </x:c>
      <x:c r="C15" s="35" t="n">
        <x:v>-0.15</x:v>
      </x:c>
      <x:c r="D15" s="50" t="n">
        <x:v>6.492179884146697e-10</x:v>
      </x:c>
      <x:c r="E15" s="47" t="n">
        <x:f>LN(D15)/LN(10)</x:f>
        <x:v>-9.187609455326092</x:v>
      </x:c>
      <x:c r="F15" s="50" t="n">
        <x:v>0.0013392062411556</x:v>
      </x:c>
      <x:c r="G15" s="98" t="n">
        <x:f>D15/F15</x:f>
        <x:v>4.847781980574255e-7</x:v>
      </x:c>
      <x:c r="H15" s="26" t="str">
        <x:f>IF(G15&lt;=1%,"YES","NO")</x:f>
        <x:v>YES</x:v>
      </x:c>
      <x:c r="I15" s="26" t="str">
        <x:v>nominal_vdd</x:v>
      </x:c>
      <x:c r="J15" s="27" t="str">
        <x:v>data/raw/ptm45_hp_vds_1v_raw.txt</x:v>
      </x:c>
    </x:row>
    <x:row r="16">
      <x:c r="A16" s="25" t="str">
        <x:v>HP</x:v>
      </x:c>
      <x:c r="B16" s="35" t="n">
        <x:v>1</x:v>
      </x:c>
      <x:c r="C16" s="35" t="n">
        <x:v>-0.145</x:v>
      </x:c>
      <x:c r="D16" s="50" t="n">
        <x:v>6.93797913027349e-10</x:v>
      </x:c>
      <x:c r="E16" s="47" t="n">
        <x:f>LN(D16)/LN(10)</x:f>
        <x:v>-9.158767010867653</x:v>
      </x:c>
      <x:c r="F16" s="50" t="n">
        <x:v>0.0013392062411556</x:v>
      </x:c>
      <x:c r="G16" s="98" t="n">
        <x:f>D16/F16</x:f>
        <x:v>5.180665170949856e-7</x:v>
      </x:c>
      <x:c r="H16" s="26" t="str">
        <x:f>IF(G16&lt;=1%,"YES","NO")</x:f>
        <x:v>YES</x:v>
      </x:c>
      <x:c r="I16" s="26" t="str">
        <x:v>nominal_vdd</x:v>
      </x:c>
      <x:c r="J16" s="27" t="str">
        <x:v>data/raw/ptm45_hp_vds_1v_raw.txt</x:v>
      </x:c>
    </x:row>
    <x:row r="17">
      <x:c r="A17" s="25" t="str">
        <x:v>HP</x:v>
      </x:c>
      <x:c r="B17" s="35" t="n">
        <x:v>1</x:v>
      </x:c>
      <x:c r="C17" s="35" t="n">
        <x:v>-0.14</x:v>
      </x:c>
      <x:c r="D17" s="50" t="n">
        <x:v>7.461031649478636e-10</x:v>
      </x:c>
      <x:c r="E17" s="47" t="n">
        <x:f>LN(D17)/LN(10)</x:f>
        <x:v>-9.127201117741969</x:v>
      </x:c>
      <x:c r="F17" s="50" t="n">
        <x:v>0.0013392062411556</x:v>
      </x:c>
      <x:c r="G17" s="98" t="n">
        <x:f>D17/F17</x:f>
        <x:v>5.571234228299682e-7</x:v>
      </x:c>
      <x:c r="H17" s="26" t="str">
        <x:f>IF(G17&lt;=1%,"YES","NO")</x:f>
        <x:v>YES</x:v>
      </x:c>
      <x:c r="I17" s="26" t="str">
        <x:v>nominal_vdd</x:v>
      </x:c>
      <x:c r="J17" s="27" t="str">
        <x:v>data/raw/ptm45_hp_vds_1v_raw.txt</x:v>
      </x:c>
    </x:row>
    <x:row r="18">
      <x:c r="A18" s="25" t="str">
        <x:v>HP</x:v>
      </x:c>
      <x:c r="B18" s="35" t="n">
        <x:v>1</x:v>
      </x:c>
      <x:c r="C18" s="35" t="n">
        <x:v>-0.135</x:v>
      </x:c>
      <x:c r="D18" s="50" t="n">
        <x:v>8.071309868639366e-10</x:v>
      </x:c>
      <x:c r="E18" s="47" t="n">
        <x:f>LN(D18)/LN(10)</x:f>
        <x:v>-9.093055979211064</x:v>
      </x:c>
      <x:c r="F18" s="50" t="n">
        <x:v>0.0013392062411556</x:v>
      </x:c>
      <x:c r="G18" s="98" t="n">
        <x:f>D18/F18</x:f>
        <x:v>6.026935673234796e-7</x:v>
      </x:c>
      <x:c r="H18" s="26" t="str">
        <x:f>IF(G18&lt;=1%,"YES","NO")</x:f>
        <x:v>YES</x:v>
      </x:c>
      <x:c r="I18" s="26" t="str">
        <x:v>nominal_vdd</x:v>
      </x:c>
      <x:c r="J18" s="27" t="str">
        <x:v>data/raw/ptm45_hp_vds_1v_raw.txt</x:v>
      </x:c>
    </x:row>
    <x:row r="19">
      <x:c r="A19" s="25" t="str">
        <x:v>HP</x:v>
      </x:c>
      <x:c r="B19" s="35" t="n">
        <x:v>1</x:v>
      </x:c>
      <x:c r="C19" s="35" t="n">
        <x:v>-0.1299999999999999</x:v>
      </x:c>
      <x:c r="D19" s="50" t="n">
        <x:v>8.78045448843836e-10</x:v>
      </x:c>
      <x:c r="E19" s="47" t="n">
        <x:f>LN(D19)/LN(10)</x:f>
        <x:v>-9.056483003830525</x:v>
      </x:c>
      <x:c r="F19" s="50" t="n">
        <x:v>0.0013392062411556</x:v>
      </x:c>
      <x:c r="G19" s="98" t="n">
        <x:f>D19/F19</x:f>
        <x:v>6.556461744728514e-7</x:v>
      </x:c>
      <x:c r="H19" s="26" t="str">
        <x:f>IF(G19&lt;=1%,"YES","NO")</x:f>
        <x:v>YES</x:v>
      </x:c>
      <x:c r="I19" s="26" t="str">
        <x:v>nominal_vdd</x:v>
      </x:c>
      <x:c r="J19" s="27" t="str">
        <x:v>data/raw/ptm45_hp_vds_1v_raw.txt</x:v>
      </x:c>
    </x:row>
    <x:row r="20">
      <x:c r="A20" s="25" t="str">
        <x:v>HP</x:v>
      </x:c>
      <x:c r="B20" s="35" t="n">
        <x:v>1</x:v>
      </x:c>
      <x:c r="C20" s="35" t="n">
        <x:v>-0.1249999999999999</x:v>
      </x:c>
      <x:c r="D20" s="50" t="n">
        <x:v>9.601961473783615e-10</x:v>
      </x:c>
      <x:c r="E20" s="47" t="n">
        <x:f>LN(D20)/LN(10)</x:f>
        <x:v>-9.017640040895154</x:v>
      </x:c>
      <x:c r="F20" s="50" t="n">
        <x:v>0.0013392062411556</x:v>
      </x:c>
      <x:c r="G20" s="98" t="n">
        <x:f>D20/F20</x:f>
        <x:v>7.16989002791541e-7</x:v>
      </x:c>
      <x:c r="H20" s="26" t="str">
        <x:f>IF(G20&lt;=1%,"YES","NO")</x:f>
        <x:v>YES</x:v>
      </x:c>
      <x:c r="I20" s="26" t="str">
        <x:v>nominal_vdd</x:v>
      </x:c>
      <x:c r="J20" s="27" t="str">
        <x:v>data/raw/ptm45_hp_vds_1v_raw.txt</x:v>
      </x:c>
    </x:row>
    <x:row r="21">
      <x:c r="A21" s="25" t="str">
        <x:v>HP</x:v>
      </x:c>
      <x:c r="B21" s="35" t="n">
        <x:v>1</x:v>
      </x:c>
      <x:c r="C21" s="35" t="n">
        <x:v>-0.1199999999999999</x:v>
      </x:c>
      <x:c r="D21" s="50" t="n">
        <x:v>1.055140541806699e-9</x:v>
      </x:c>
      <x:c r="E21" s="47" t="n">
        <x:f>LN(D21)/LN(10)</x:f>
        <x:v>-8.976689689687618</x:v>
      </x:c>
      <x:c r="F21" s="50" t="n">
        <x:v>0.0013392062411556</x:v>
      </x:c>
      <x:c r="G21" s="98" t="n">
        <x:f>D21/F21</x:f>
        <x:v>7.878850242634914e-7</x:v>
      </x:c>
      <x:c r="H21" s="26" t="str">
        <x:f>IF(G21&lt;=1%,"YES","NO")</x:f>
        <x:v>YES</x:v>
      </x:c>
      <x:c r="I21" s="26" t="str">
        <x:v>nominal_vdd</x:v>
      </x:c>
      <x:c r="J21" s="27" t="str">
        <x:v>data/raw/ptm45_hp_vds_1v_raw.txt</x:v>
      </x:c>
    </x:row>
    <x:row r="22">
      <x:c r="A22" s="25" t="str">
        <x:v>HP</x:v>
      </x:c>
      <x:c r="B22" s="35" t="n">
        <x:v>1</x:v>
      </x:c>
      <x:c r="C22" s="35" t="n">
        <x:v>-0.1149999999999999</x:v>
      </x:c>
      <x:c r="D22" s="50" t="n">
        <x:v>1.16467027569472e-9</x:v>
      </x:c>
      <x:c r="E22" s="47" t="n">
        <x:f>LN(D22)/LN(10)</x:f>
        <x:v>-8.933797008298388</x:v>
      </x:c>
      <x:c r="F22" s="50" t="n">
        <x:v>0.0013392062411556</x:v>
      </x:c>
      <x:c r="G22" s="98" t="n">
        <x:f>D22/F22</x:f>
        <x:v>8.696720788052235e-7</x:v>
      </x:c>
      <x:c r="H22" s="26" t="str">
        <x:f>IF(G22&lt;=1%,"YES","NO")</x:f>
        <x:v>YES</x:v>
      </x:c>
      <x:c r="I22" s="26" t="str">
        <x:v>nominal_vdd</x:v>
      </x:c>
      <x:c r="J22" s="27" t="str">
        <x:v>data/raw/ptm45_hp_vds_1v_raw.txt</x:v>
      </x:c>
    </x:row>
    <x:row r="23">
      <x:c r="A23" s="25" t="str">
        <x:v>HP</x:v>
      </x:c>
      <x:c r="B23" s="35" t="n">
        <x:v>1</x:v>
      </x:c>
      <x:c r="C23" s="35" t="n">
        <x:v>-0.1099999999999999</x:v>
      </x:c>
      <x:c r="D23" s="50" t="n">
        <x:v>1.290841899359029e-9</x:v>
      </x:c>
      <x:c r="E23" s="47" t="n">
        <x:f>LN(D23)/LN(10)</x:f>
        <x:v>-8.88912694630106</x:v>
      </x:c>
      <x:c r="F23" s="50" t="n">
        <x:v>0.0013392062411556</x:v>
      </x:c>
      <x:c r="G23" s="98" t="n">
        <x:f>D23/F23</x:f>
        <x:v>9.638858151117655e-7</x:v>
      </x:c>
      <x:c r="H23" s="26" t="str">
        <x:f>IF(G23&lt;=1%,"YES","NO")</x:f>
        <x:v>YES</x:v>
      </x:c>
      <x:c r="I23" s="26" t="str">
        <x:v>nominal_vdd</x:v>
      </x:c>
      <x:c r="J23" s="27" t="str">
        <x:v>data/raw/ptm45_hp_vds_1v_raw.txt</x:v>
      </x:c>
    </x:row>
    <x:row r="24">
      <x:c r="A24" s="25" t="str">
        <x:v>HP</x:v>
      </x:c>
      <x:c r="B24" s="35" t="n">
        <x:v>1</x:v>
      </x:c>
      <x:c r="C24" s="35" t="n">
        <x:v>-0.1049999999999999</x:v>
      </x:c>
      <x:c r="D24" s="50" t="n">
        <x:v>1.436012485864877e-9</x:v>
      </x:c>
      <x:c r="E24" s="47" t="n">
        <x:f>LN(D24)/LN(10)</x:f>
        <x:v>-8.842841783966529</x:v>
      </x:c>
      <x:c r="F24" s="50" t="n">
        <x:v>0.0013392062411556</x:v>
      </x:c>
      <x:c r="G24" s="98" t="n">
        <x:f>D24/F24</x:f>
        <x:v>0.000001072286285513233</x:v>
      </x:c>
      <x:c r="H24" s="26" t="str">
        <x:f>IF(G24&lt;=1%,"YES","NO")</x:f>
        <x:v>YES</x:v>
      </x:c>
      <x:c r="I24" s="26" t="str">
        <x:v>nominal_vdd</x:v>
      </x:c>
      <x:c r="J24" s="27" t="str">
        <x:v>data/raw/ptm45_hp_vds_1v_raw.txt</x:v>
      </x:c>
    </x:row>
    <x:row r="25">
      <x:c r="A25" s="25" t="str">
        <x:v>HP</x:v>
      </x:c>
      <x:c r="B25" s="35" t="n">
        <x:v>1</x:v>
      </x:c>
      <x:c r="C25" s="35" t="n">
        <x:v>-0.0999999999999999</x:v>
      </x:c>
      <x:c r="D25" s="50" t="n">
        <x:v>1.602880717400002e-9</x:v>
      </x:c>
      <x:c r="E25" s="47" t="n">
        <x:f>LN(D25)/LN(10)</x:f>
        <x:v>-8.795098795613713</x:v>
      </x:c>
      <x:c r="F25" s="50" t="n">
        <x:v>0.0013392062411556</x:v>
      </x:c>
      <x:c r="G25" s="98" t="n">
        <x:f>D25/F25</x:f>
        <x:v>0.0000011968886256211573</x:v>
      </x:c>
      <x:c r="H25" s="26" t="str">
        <x:f>IF(G25&lt;=1%,"YES","NO")</x:f>
        <x:v>YES</x:v>
      </x:c>
      <x:c r="I25" s="26" t="str">
        <x:v>nominal_vdd</x:v>
      </x:c>
      <x:c r="J25" s="27" t="str">
        <x:v>data/raw/ptm45_hp_vds_1v_raw.txt</x:v>
      </x:c>
    </x:row>
    <x:row r="26">
      <x:c r="A26" s="25" t="str">
        <x:v>HP</x:v>
      </x:c>
      <x:c r="B26" s="35" t="n">
        <x:v>1</x:v>
      </x:c>
      <x:c r="C26" s="35" t="n">
        <x:v>-0.0949999999999999</x:v>
      </x:c>
      <x:c r="D26" s="50" t="n">
        <x:v>1.7945341129954902e-9</x:v>
      </x:c>
      <x:c r="E26" s="47" t="n">
        <x:f>LN(D26)/LN(10)</x:f>
        <x:v>-8.746048281579897</x:v>
      </x:c>
      <x:c r="F26" s="50" t="n">
        <x:v>0.0013392062411556</x:v>
      </x:c>
      <x:c r="G26" s="98" t="n">
        <x:f>D26/F26</x:f>
        <x:v>0.000001339998319786046</x:v>
      </x:c>
      <x:c r="H26" s="26" t="str">
        <x:f>IF(G26&lt;=1%,"YES","NO")</x:f>
        <x:v>YES</x:v>
      </x:c>
      <x:c r="I26" s="26" t="str">
        <x:v>nominal_vdd</x:v>
      </x:c>
      <x:c r="J26" s="27" t="str">
        <x:v>data/raw/ptm45_hp_vds_1v_raw.txt</x:v>
      </x:c>
    </x:row>
    <x:row r="27">
      <x:c r="A27" s="25" t="str">
        <x:v>HP</x:v>
      </x:c>
      <x:c r="B27" s="35" t="n">
        <x:v>1</x:v>
      </x:c>
      <x:c r="C27" s="35" t="n">
        <x:v>-0.0899999999999999</x:v>
      </x:c>
      <x:c r="D27" s="50" t="n">
        <x:v>2.014503173327516e-9</x:v>
      </x:c>
      <x:c r="E27" s="47" t="n">
        <x:f>LN(D27)/LN(10)</x:f>
        <x:v>-8.695832044156694</x:v>
      </x:c>
      <x:c r="F27" s="50" t="n">
        <x:v>0.0013392062411556</x:v>
      </x:c>
      <x:c r="G27" s="98" t="n">
        <x:f>D27/F27</x:f>
        <x:v>0.0000015042516316151595</x:v>
      </x:c>
      <x:c r="H27" s="26" t="str">
        <x:f>IF(G27&lt;=1%,"YES","NO")</x:f>
        <x:v>YES</x:v>
      </x:c>
      <x:c r="I27" s="26" t="str">
        <x:v>nominal_vdd</x:v>
      </x:c>
      <x:c r="J27" s="27" t="str">
        <x:v>data/raw/ptm45_hp_vds_1v_raw.txt</x:v>
      </x:c>
    </x:row>
    <x:row r="28">
      <x:c r="A28" s="25" t="str">
        <x:v>HP</x:v>
      </x:c>
      <x:c r="B28" s="35" t="n">
        <x:v>1</x:v>
      </x:c>
      <x:c r="C28" s="35" t="n">
        <x:v>-0.0849999999999999</x:v>
      </x:c>
      <x:c r="D28" s="50" t="n">
        <x:v>2.266823335139018e-9</x:v>
      </x:c>
      <x:c r="E28" s="47" t="n">
        <x:f>LN(D28)/LN(10)</x:f>
        <x:v>-8.64458232529208</x:v>
      </x:c>
      <x:c r="F28" s="50" t="n">
        <x:v>0.0013392062411556</x:v>
      </x:c>
      <x:c r="G28" s="98" t="n">
        <x:f>D28/F28</x:f>
        <x:v>0.000001692661866019216</x:v>
      </x:c>
      <x:c r="H28" s="26" t="str">
        <x:f>IF(G28&lt;=1%,"YES","NO")</x:f>
        <x:v>YES</x:v>
      </x:c>
      <x:c r="I28" s="26" t="str">
        <x:v>nominal_vdd</x:v>
      </x:c>
      <x:c r="J28" s="27" t="str">
        <x:v>data/raw/ptm45_hp_vds_1v_raw.txt</x:v>
      </x:c>
    </x:row>
    <x:row r="29">
      <x:c r="A29" s="25" t="str">
        <x:v>HP</x:v>
      </x:c>
      <x:c r="B29" s="35" t="n">
        <x:v>1</x:v>
      </x:c>
      <x:c r="C29" s="35" t="n">
        <x:v>-0.0799999999999999</x:v>
      </x:c>
      <x:c r="D29" s="50" t="n">
        <x:v>2.556105758202359e-9</x:v>
      </x:c>
      <x:c r="E29" s="47" t="n">
        <x:f>LN(D29)/LN(10)</x:f>
        <x:v>-8.592421181322122</x:v>
      </x:c>
      <x:c r="F29" s="50" t="n">
        <x:v>0.0013392062411556</x:v>
      </x:c>
      <x:c r="G29" s="98" t="n">
        <x:f>D29/F29</x:f>
        <x:v>0.000001908672226614399</x:v>
      </x:c>
      <x:c r="H29" s="26" t="str">
        <x:f>IF(G29&lt;=1%,"YES","NO")</x:f>
        <x:v>YES</x:v>
      </x:c>
      <x:c r="I29" s="26" t="str">
        <x:v>nominal_vdd</x:v>
      </x:c>
      <x:c r="J29" s="27" t="str">
        <x:v>data/raw/ptm45_hp_vds_1v_raw.txt</x:v>
      </x:c>
    </x:row>
    <x:row r="30">
      <x:c r="A30" s="25" t="str">
        <x:v>HP</x:v>
      </x:c>
      <x:c r="B30" s="35" t="n">
        <x:v>1</x:v>
      </x:c>
      <x:c r="C30" s="35" t="n">
        <x:v>-0.0749999999999999</x:v>
      </x:c>
      <x:c r="D30" s="50" t="n">
        <x:v>2.887618113375948e-9</x:v>
      </x:c>
      <x:c r="E30" s="47" t="n">
        <x:f>LN(D30)/LN(10)</x:f>
        <x:v>-8.539460242618999</x:v>
      </x:c>
      <x:c r="F30" s="50" t="n">
        <x:v>0.0013392062411556</x:v>
      </x:c>
      <x:c r="G30" s="98" t="n">
        <x:f>D30/F30</x:f>
        <x:v>0.000002156216141051004</x:v>
      </x:c>
      <x:c r="H30" s="26" t="str">
        <x:f>IF(G30&lt;=1%,"YES","NO")</x:f>
        <x:v>YES</x:v>
      </x:c>
      <x:c r="I30" s="26" t="str">
        <x:v>nominal_vdd</x:v>
      </x:c>
      <x:c r="J30" s="27" t="str">
        <x:v>data/raw/ptm45_hp_vds_1v_raw.txt</x:v>
      </x:c>
    </x:row>
    <x:row r="31">
      <x:c r="A31" s="25" t="str">
        <x:v>HP</x:v>
      </x:c>
      <x:c r="B31" s="35" t="n">
        <x:v>1</x:v>
      </x:c>
      <x:c r="C31" s="35" t="n">
        <x:v>-0.0699999999999999</x:v>
      </x:c>
      <x:c r="D31" s="50" t="n">
        <x:v>3.267376703094192e-9</x:v>
      </x:c>
      <x:c r="E31" s="47" t="n">
        <x:f>LN(D31)/LN(10)</x:f>
        <x:v>-8.485800791865591</x:v>
      </x:c>
      <x:c r="F31" s="50" t="n">
        <x:v>0.0013392062411556</x:v>
      </x:c>
      <x:c r="G31" s="98" t="n">
        <x:f>D31/F31</x:f>
        <x:v>0.0000024397860483944397</x:v>
      </x:c>
      <x:c r="H31" s="26" t="str">
        <x:f>IF(G31&lt;=1%,"YES","NO")</x:f>
        <x:v>YES</x:v>
      </x:c>
      <x:c r="I31" s="26" t="str">
        <x:v>nominal_vdd</x:v>
      </x:c>
      <x:c r="J31" s="27" t="str">
        <x:v>data/raw/ptm45_hp_vds_1v_raw.txt</x:v>
      </x:c>
    </x:row>
    <x:row r="32">
      <x:c r="A32" s="25" t="str">
        <x:v>HP</x:v>
      </x:c>
      <x:c r="B32" s="35" t="n">
        <x:v>1</x:v>
      </x:c>
      <x:c r="C32" s="35" t="n">
        <x:v>-0.0649999999999998</x:v>
      </x:c>
      <x:c r="D32" s="50" t="n">
        <x:v>3.702251427628463e-9</x:v>
      </x:c>
      <x:c r="E32" s="47" t="n">
        <x:f>LN(D32)/LN(10)</x:f>
        <x:v>-8.431534090736067</x:v>
      </x:c>
      <x:c r="F32" s="50" t="n">
        <x:v>0.0013392062411556</x:v>
      </x:c>
      <x:c r="G32" s="98" t="n">
        <x:f>D32/F32</x:f>
        <x:v>0.0000027645117785844495</x:v>
      </x:c>
      <x:c r="H32" s="26" t="str">
        <x:f>IF(G32&lt;=1%,"YES","NO")</x:f>
        <x:v>YES</x:v>
      </x:c>
      <x:c r="I32" s="26" t="str">
        <x:v>nominal_vdd</x:v>
      </x:c>
      <x:c r="J32" s="27" t="str">
        <x:v>data/raw/ptm45_hp_vds_1v_raw.txt</x:v>
      </x:c>
    </x:row>
    <x:row r="33">
      <x:c r="A33" s="25" t="str">
        <x:v>HP</x:v>
      </x:c>
      <x:c r="B33" s="35" t="n">
        <x:v>1</x:v>
      </x:c>
      <x:c r="C33" s="35" t="n">
        <x:v>-0.0599999999999998</x:v>
      </x:c>
      <x:c r="D33" s="50" t="n">
        <x:v>4.20008531395974e-9</x:v>
      </x:c>
      <x:c r="E33" s="47" t="n">
        <x:f>LN(D33)/LN(10)</x:f>
        <x:v>-8.376741887934088</x:v>
      </x:c>
      <x:c r="F33" s="50" t="n">
        <x:v>0.0013392062411556</x:v>
      </x:c>
      <x:c r="G33" s="98" t="n">
        <x:f>D33/F33</x:f>
        <x:v>0.000003136249805956318</x:v>
      </x:c>
      <x:c r="H33" s="26" t="str">
        <x:f>IF(G33&lt;=1%,"YES","NO")</x:f>
        <x:v>YES</x:v>
      </x:c>
      <x:c r="I33" s="26" t="str">
        <x:v>nominal_vdd</x:v>
      </x:c>
      <x:c r="J33" s="27" t="str">
        <x:v>data/raw/ptm45_hp_vds_1v_raw.txt</x:v>
      </x:c>
    </x:row>
    <x:row r="34">
      <x:c r="A34" s="25" t="str">
        <x:v>HP</x:v>
      </x:c>
      <x:c r="B34" s="35" t="n">
        <x:v>1</x:v>
      </x:c>
      <x:c r="C34" s="35" t="n">
        <x:v>-0.0549999999999999</x:v>
      </x:c>
      <x:c r="D34" s="50" t="n">
        <x:v>4.7698305515960835e-9</x:v>
      </x:c>
      <x:c r="E34" s="47" t="n">
        <x:f>LN(D34)/LN(10)</x:f>
        <x:v>-8.32149704901312</x:v>
      </x:c>
      <x:c r="F34" s="50" t="n">
        <x:v>0.0013392062411556</x:v>
      </x:c>
      <x:c r="G34" s="98" t="n">
        <x:f>D34/F34</x:f>
        <x:v>0.000003561684828678965</x:v>
      </x:c>
      <x:c r="H34" s="26" t="str">
        <x:f>IF(G34&lt;=1%,"YES","NO")</x:f>
        <x:v>YES</x:v>
      </x:c>
      <x:c r="I34" s="26" t="str">
        <x:v>nominal_vdd</x:v>
      </x:c>
      <x:c r="J34" s="27" t="str">
        <x:v>data/raw/ptm45_hp_vds_1v_raw.txt</x:v>
      </x:c>
    </x:row>
    <x:row r="35">
      <x:c r="A35" s="25" t="str">
        <x:v>HP</x:v>
      </x:c>
      <x:c r="B35" s="35" t="n">
        <x:v>1</x:v>
      </x:c>
      <x:c r="C35" s="35" t="n">
        <x:v>-0.0499999999999999</x:v>
      </x:c>
      <x:c r="D35" s="50" t="n">
        <x:v>5.421703233852641e-9</x:v>
      </x:c>
      <x:c r="E35" s="47" t="n">
        <x:f>LN(D35)/LN(10)</x:f>
        <x:v>-8.265864257952044</x:v>
      </x:c>
      <x:c r="F35" s="50" t="n">
        <x:v>0.0013392062411556</x:v>
      </x:c>
      <x:c r="G35" s="98" t="n">
        <x:f>D35/F35</x:f>
        <x:v>0.00000404844531576724</x:v>
      </x:c>
      <x:c r="H35" s="26" t="str">
        <x:f>IF(G35&lt;=1%,"YES","NO")</x:f>
        <x:v>YES</x:v>
      </x:c>
      <x:c r="I35" s="26" t="str">
        <x:v>nominal_vdd</x:v>
      </x:c>
      <x:c r="J35" s="27" t="str">
        <x:v>data/raw/ptm45_hp_vds_1v_raw.txt</x:v>
      </x:c>
    </x:row>
    <x:row r="36">
      <x:c r="A36" s="25" t="str">
        <x:v>HP</x:v>
      </x:c>
      <x:c r="B36" s="35" t="n">
        <x:v>1</x:v>
      </x:c>
      <x:c r="C36" s="35" t="n">
        <x:v>-0.0449999999999999</x:v>
      </x:c>
      <x:c r="D36" s="50" t="n">
        <x:v>6.167359286893276e-9</x:v>
      </x:c>
      <x:c r="E36" s="47" t="n">
        <x:f>LN(D36)/LN(10)</x:f>
        <x:v>-8.209900750492125</x:v>
      </x:c>
      <x:c r="F36" s="50" t="n">
        <x:v>0.0013392062411556</x:v>
      </x:c>
      <x:c r="G36" s="98" t="n">
        <x:f>D36/F36</x:f>
        <x:v>0.0000046052348752283795</x:v>
      </x:c>
      <x:c r="H36" s="26" t="str">
        <x:f>IF(G36&lt;=1%,"YES","NO")</x:f>
        <x:v>YES</x:v>
      </x:c>
      <x:c r="I36" s="26" t="str">
        <x:v>nominal_vdd</x:v>
      </x:c>
      <x:c r="J36" s="27" t="str">
        <x:v>data/raw/ptm45_hp_vds_1v_raw.txt</x:v>
      </x:c>
    </x:row>
    <x:row r="37">
      <x:c r="A37" s="25" t="str">
        <x:v>HP</x:v>
      </x:c>
      <x:c r="B37" s="35" t="n">
        <x:v>1</x:v>
      </x:c>
      <x:c r="C37" s="35" t="n">
        <x:v>-0.0399999999999999</x:v>
      </x:c>
      <x:c r="D37" s="50" t="n">
        <x:v>7.0200943853620204e-9</x:v>
      </x:c>
      <x:c r="E37" s="47" t="n">
        <x:f>LN(D37)/LN(10)</x:f>
        <x:v>-8.15365704872969</x:v>
      </x:c>
      <x:c r="F37" s="50" t="n">
        <x:v>0.0013392062411556</x:v>
      </x:c>
      <x:c r="G37" s="98" t="n">
        <x:f>D37/F37</x:f>
        <x:v>0.000005241981533258378</x:v>
      </x:c>
      <x:c r="H37" s="26" t="str">
        <x:f>IF(G37&lt;=1%,"YES","NO")</x:f>
        <x:v>YES</x:v>
      </x:c>
      <x:c r="I37" s="26" t="str">
        <x:v>nominal_vdd</x:v>
      </x:c>
      <x:c r="J37" s="27" t="str">
        <x:v>data/raw/ptm45_hp_vds_1v_raw.txt</x:v>
      </x:c>
    </x:row>
    <x:row r="38">
      <x:c r="A38" s="25" t="str">
        <x:v>HP</x:v>
      </x:c>
      <x:c r="B38" s="35" t="n">
        <x:v>1</x:v>
      </x:c>
      <x:c r="C38" s="35" t="n">
        <x:v>-0.0349999999999999</x:v>
      </x:c>
      <x:c r="D38" s="50" t="n">
        <x:v>7.995071005998663e-9</x:v>
      </x:c>
      <x:c r="E38" s="47" t="n">
        <x:f>LN(D38)/LN(10)</x:f>
        <x:v>-8.097177674835011</x:v>
      </x:c>
      <x:c r="F38" s="50" t="n">
        <x:v>0.0013392062411556</x:v>
      </x:c>
      <x:c r="G38" s="98" t="n">
        <x:f>D38/F38</x:f>
        <x:v>0.00000597000727766899</x:v>
      </x:c>
      <x:c r="H38" s="26" t="str">
        <x:f>IF(G38&lt;=1%,"YES","NO")</x:f>
        <x:v>YES</x:v>
      </x:c>
      <x:c r="I38" s="26" t="str">
        <x:v>nominal_vdd</x:v>
      </x:c>
      <x:c r="J38" s="27" t="str">
        <x:v>data/raw/ptm45_hp_vds_1v_raw.txt</x:v>
      </x:c>
    </x:row>
    <x:row r="39">
      <x:c r="A39" s="25" t="str">
        <x:v>HP</x:v>
      </x:c>
      <x:c r="B39" s="35" t="n">
        <x:v>1</x:v>
      </x:c>
      <x:c r="C39" s="35" t="n">
        <x:v>-0.0299999999999999</x:v>
      </x:c>
      <x:c r="D39" s="50" t="n">
        <x:v>9.109576162781833e-9</x:v>
      </x:c>
      <x:c r="E39" s="47" t="n">
        <x:f>LN(D39)/LN(10)</x:f>
        <x:v>-8.04050182878409</x:v>
      </x:c>
      <x:c r="F39" s="50" t="n">
        <x:v>0.0013392062411556</x:v>
      </x:c>
      <x:c r="G39" s="98" t="n">
        <x:f>D39/F39</x:f>
        <x:v>0.000006802220511548085</x:v>
      </x:c>
      <x:c r="H39" s="26" t="str">
        <x:f>IF(G39&lt;=1%,"YES","NO")</x:f>
        <x:v>YES</x:v>
      </x:c>
      <x:c r="I39" s="26" t="str">
        <x:v>nominal_vdd</x:v>
      </x:c>
      <x:c r="J39" s="27" t="str">
        <x:v>data/raw/ptm45_hp_vds_1v_raw.txt</x:v>
      </x:c>
    </x:row>
    <x:row r="40">
      <x:c r="A40" s="25" t="str">
        <x:v>HP</x:v>
      </x:c>
      <x:c r="B40" s="35" t="n">
        <x:v>1</x:v>
      </x:c>
      <x:c r="C40" s="35" t="n">
        <x:v>-0.0249999999999999</x:v>
      </x:c>
      <x:c r="D40" s="50" t="n">
        <x:v>1.0383313802526422e-8</x:v>
      </x:c>
      <x:c r="E40" s="47" t="n">
        <x:f>LN(D40)/LN(10)</x:f>
        <x:v>-7.983664020622994</x:v>
      </x:c>
      <x:c r="F40" s="50" t="n">
        <x:v>0.0013392062411556</x:v>
      </x:c>
      <x:c r="G40" s="98" t="n">
        <x:f>D40/F40</x:f>
        <x:v>0.000007753334388261713</x:v>
      </x:c>
      <x:c r="H40" s="26" t="str">
        <x:f>IF(G40&lt;=1%,"YES","NO")</x:f>
        <x:v>YES</x:v>
      </x:c>
      <x:c r="I40" s="26" t="str">
        <x:v>nominal_vdd</x:v>
      </x:c>
      <x:c r="J40" s="27" t="str">
        <x:v>data/raw/ptm45_hp_vds_1v_raw.txt</x:v>
      </x:c>
    </x:row>
    <x:row r="41">
      <x:c r="A41" s="25" t="str">
        <x:v>HP</x:v>
      </x:c>
      <x:c r="B41" s="35" t="n">
        <x:v>1</x:v>
      </x:c>
      <x:c r="C41" s="35" t="n">
        <x:v>-0.0199999999999999</x:v>
      </x:c>
      <x:c r="D41" s="50" t="n">
        <x:v>1.1838736322293511e-8</x:v>
      </x:c>
      <x:c r="E41" s="47" t="n">
        <x:f>LN(D41)/LN(10)</x:f>
        <x:v>-7.92669465213539</x:v>
      </x:c>
      <x:c r="F41" s="50" t="n">
        <x:v>0.0013392062411556</x:v>
      </x:c>
      <x:c r="G41" s="98" t="n">
        <x:f>D41/F41</x:f>
        <x:v>0.000008840114359142976</x:v>
      </x:c>
      <x:c r="H41" s="26" t="str">
        <x:f>IF(G41&lt;=1%,"YES","NO")</x:f>
        <x:v>YES</x:v>
      </x:c>
      <x:c r="I41" s="26" t="str">
        <x:v>nominal_vdd</x:v>
      </x:c>
      <x:c r="J41" s="27" t="str">
        <x:v>data/raw/ptm45_hp_vds_1v_raw.txt</x:v>
      </x:c>
    </x:row>
    <x:row r="42">
      <x:c r="A42" s="25" t="str">
        <x:v>HP</x:v>
      </x:c>
      <x:c r="B42" s="35" t="n">
        <x:v>1</x:v>
      </x:c>
      <x:c r="C42" s="35" t="n">
        <x:v>-0.0149999999999999</x:v>
      </x:c>
      <x:c r="D42" s="50" t="n">
        <x:v>1.3501420203353691e-8</x:v>
      </x:c>
      <x:c r="E42" s="47" t="n">
        <x:f>LN(D42)/LN(10)</x:f>
        <x:v>-7.869620546020629</x:v>
      </x:c>
      <x:c r="F42" s="50" t="n">
        <x:v>0.0013392062411556</x:v>
      </x:c>
      <x:c r="G42" s="98" t="n">
        <x:f>D42/F42</x:f>
        <x:v>0.000010081658663495569</x:v>
      </x:c>
      <x:c r="H42" s="26" t="str">
        <x:f>IF(G42&lt;=1%,"YES","NO")</x:f>
        <x:v>YES</x:v>
      </x:c>
      <x:c r="I42" s="26" t="str">
        <x:v>nominal_vdd</x:v>
      </x:c>
      <x:c r="J42" s="27" t="str">
        <x:v>data/raw/ptm45_hp_vds_1v_raw.txt</x:v>
      </x:c>
    </x:row>
    <x:row r="43">
      <x:c r="A43" s="25" t="str">
        <x:v>HP</x:v>
      </x:c>
      <x:c r="B43" s="35" t="n">
        <x:v>1</x:v>
      </x:c>
      <x:c r="C43" s="35" t="n">
        <x:v>-0.0099999999999999</x:v>
      </x:c>
      <x:c r="D43" s="50" t="n">
        <x:v>1.5400491344679292e-8</x:v>
      </x:c>
      <x:c r="E43" s="47" t="n">
        <x:f>LN(D43)/LN(10)</x:f>
        <x:v>-7.812465423002571</x:v>
      </x:c>
      <x:c r="F43" s="50" t="n">
        <x:v>0.0013392062411556</x:v>
      </x:c>
      <x:c r="G43" s="98" t="n">
        <x:f>D43/F43</x:f>
        <x:v>0.000011499715929781077</x:v>
      </x:c>
      <x:c r="H43" s="26" t="str">
        <x:f>IF(G43&lt;=1%,"YES","NO")</x:f>
        <x:v>YES</x:v>
      </x:c>
      <x:c r="I43" s="26" t="str">
        <x:v>nominal_vdd</x:v>
      </x:c>
      <x:c r="J43" s="27" t="str">
        <x:v>data/raw/ptm45_hp_vds_1v_raw.txt</x:v>
      </x:c>
    </x:row>
    <x:row r="44">
      <x:c r="A44" s="25" t="str">
        <x:v>HP</x:v>
      </x:c>
      <x:c r="B44" s="35" t="n">
        <x:v>1</x:v>
      </x:c>
      <x:c r="C44" s="35" t="n">
        <x:v>-0.0049999999999999</x:v>
      </x:c>
      <x:c r="D44" s="50" t="n">
        <x:v>1.7569106325909142e-8</x:v>
      </x:c>
      <x:c r="E44" s="47" t="n">
        <x:f>LN(D44)/LN(10)</x:f>
        <x:v>-7.755250328863108</x:v>
      </x:c>
      <x:c r="F44" s="50" t="n">
        <x:v>0.0013392062411556</x:v>
      </x:c>
      <x:c r="G44" s="98" t="n">
        <x:f>D44/F44</x:f>
        <x:v>0.000013119044539957322</x:v>
      </x:c>
      <x:c r="H44" s="26" t="str">
        <x:f>IF(G44&lt;=1%,"YES","NO")</x:f>
        <x:v>YES</x:v>
      </x:c>
      <x:c r="I44" s="26" t="str">
        <x:v>nominal_vdd</x:v>
      </x:c>
      <x:c r="J44" s="27" t="str">
        <x:v>data/raw/ptm45_hp_vds_1v_raw.txt</x:v>
      </x:c>
    </x:row>
    <x:row r="45">
      <x:c r="A45" s="25" t="str">
        <x:v>HP</x:v>
      </x:c>
      <x:c r="B45" s="35" t="n">
        <x:v>1</x:v>
      </x:c>
      <x:c r="C45" s="35" t="n">
        <x:v>9.887923813067799e-17</x:v>
      </x:c>
      <x:c r="D45" s="50" t="n">
        <x:v>2.0044996539171842e-8</x:v>
      </x:c>
      <x:c r="E45" s="47" t="n">
        <x:f>LN(D45)/LN(10)</x:f>
        <x:v>-7.697994014395684</x:v>
      </x:c>
      <x:c r="F45" s="50" t="n">
        <x:v>0.0013392062411556</x:v>
      </x:c>
      <x:c r="G45" s="98" t="n">
        <x:f>D45/F45</x:f>
        <x:v>0.000014967818938683434</x:v>
      </x:c>
      <x:c r="H45" s="26" t="str">
        <x:f>IF(G45&lt;=1%,"YES","NO")</x:f>
        <x:v>YES</x:v>
      </x:c>
      <x:c r="I45" s="26" t="str">
        <x:v>nominal_vdd</x:v>
      </x:c>
      <x:c r="J45" s="27" t="str">
        <x:v>data/raw/ptm45_hp_vds_1v_raw.txt</x:v>
      </x:c>
    </x:row>
    <x:row r="46">
      <x:c r="A46" s="25" t="str">
        <x:v>HP</x:v>
      </x:c>
      <x:c r="B46" s="35" t="n">
        <x:v>1</x:v>
      </x:c>
      <x:c r="C46" s="35" t="n">
        <x:v>0.005</x:v>
      </x:c>
      <x:c r="D46" s="50" t="n">
        <x:v>2.287108290455236e-8</x:v>
      </x:c>
      <x:c r="E46" s="47" t="n">
        <x:f>LN(D46)/LN(10)</x:f>
        <x:v>-7.640713271845484</x:v>
      </x:c>
      <x:c r="F46" s="50" t="n">
        <x:v>0.0013392062411556</x:v>
      </x:c>
      <x:c r="G46" s="98" t="n">
        <x:f>D46/F46</x:f>
        <x:v>0.00001707808864810615</x:v>
      </x:c>
      <x:c r="H46" s="26" t="str">
        <x:f>IF(G46&lt;=1%,"YES","NO")</x:f>
        <x:v>YES</x:v>
      </x:c>
      <x:c r="I46" s="26" t="str">
        <x:v>nominal_vdd</x:v>
      </x:c>
      <x:c r="J46" s="27" t="str">
        <x:v>data/raw/ptm45_hp_vds_1v_raw.txt</x:v>
      </x:c>
    </x:row>
    <x:row r="47">
      <x:c r="A47" s="25" t="str">
        <x:v>HP</x:v>
      </x:c>
      <x:c r="B47" s="35" t="n">
        <x:v>1</x:v>
      </x:c>
      <x:c r="C47" s="35" t="n">
        <x:v>0.0100000000000001</x:v>
      </x:c>
      <x:c r="D47" s="50" t="n">
        <x:v>2.6096169728378883e-8</x:v>
      </x:c>
      <x:c r="E47" s="47" t="n">
        <x:f>LN(D47)/LN(10)</x:f>
        <x:v>-7.583423231661759</x:v>
      </x:c>
      <x:c r="F47" s="50" t="n">
        <x:v>0.0013392062411556</x:v>
      </x:c>
      <x:c r="G47" s="98" t="n">
        <x:f>D47/F47</x:f>
        <x:v>0.000019486296379458715</x:v>
      </x:c>
      <x:c r="H47" s="26" t="str">
        <x:f>IF(G47&lt;=1%,"YES","NO")</x:f>
        <x:v>YES</x:v>
      </x:c>
      <x:c r="I47" s="26" t="str">
        <x:v>nominal_vdd</x:v>
      </x:c>
      <x:c r="J47" s="27" t="str">
        <x:v>data/raw/ptm45_hp_vds_1v_raw.txt</x:v>
      </x:c>
    </x:row>
    <x:row r="48">
      <x:c r="A48" s="25" t="str">
        <x:v>HP</x:v>
      </x:c>
      <x:c r="B48" s="35" t="n">
        <x:v>1</x:v>
      </x:c>
      <x:c r="C48" s="35" t="n">
        <x:v>0.0150000000000001</x:v>
      </x:c>
      <x:c r="D48" s="50" t="n">
        <x:v>2.9775727179494693e-8</x:v>
      </x:c>
      <x:c r="E48" s="47" t="n">
        <x:f>LN(D48)/LN(10)</x:f>
        <x:v>-7.526137623424177</x:v>
      </x:c>
      <x:c r="F48" s="50" t="n">
        <x:v>0.0013392062411556</x:v>
      </x:c>
      <x:c r="G48" s="98" t="n">
        <x:f>D48/F48</x:f>
        <x:v>0.00002223386231668189</x:v>
      </x:c>
      <x:c r="H48" s="26" t="str">
        <x:f>IF(G48&lt;=1%,"YES","NO")</x:f>
        <x:v>YES</x:v>
      </x:c>
      <x:c r="I48" s="26" t="str">
        <x:v>nominal_vdd</x:v>
      </x:c>
      <x:c r="J48" s="27" t="str">
        <x:v>data/raw/ptm45_hp_vds_1v_raw.txt</x:v>
      </x:c>
    </x:row>
    <x:row r="49">
      <x:c r="A49" s="25" t="str">
        <x:v>HP</x:v>
      </x:c>
      <x:c r="B49" s="35" t="n">
        <x:v>1</x:v>
      </x:c>
      <x:c r="C49" s="35" t="n">
        <x:v>0.0200000000000001</x:v>
      </x:c>
      <x:c r="D49" s="50" t="n">
        <x:v>3.397277284792525e-8</x:v>
      </x:c>
      <x:c r="E49" s="47" t="n">
        <x:f>LN(D49)/LN(10)</x:f>
        <x:v>-7.468869004692904</x:v>
      </x:c>
      <x:c r="F49" s="50" t="n">
        <x:v>0.0013392062411556</x:v>
      </x:c>
      <x:c r="G49" s="98" t="n">
        <x:f>D49/F49</x:f>
        <x:v>0.000025367842385957054</x:v>
      </x:c>
      <x:c r="H49" s="26" t="str">
        <x:f>IF(G49&lt;=1%,"YES","NO")</x:f>
        <x:v>YES</x:v>
      </x:c>
      <x:c r="I49" s="26" t="str">
        <x:v>nominal_vdd</x:v>
      </x:c>
      <x:c r="J49" s="27" t="str">
        <x:v>data/raw/ptm45_hp_vds_1v_raw.txt</x:v>
      </x:c>
    </x:row>
    <x:row r="50">
      <x:c r="A50" s="25" t="str">
        <x:v>HP</x:v>
      </x:c>
      <x:c r="B50" s="35" t="n">
        <x:v>1</x:v>
      </x:c>
      <x:c r="C50" s="35" t="n">
        <x:v>0.0250000000000001</x:v>
      </x:c>
      <x:c r="D50" s="50" t="n">
        <x:v>3.8758863913740275e-8</x:v>
      </x:c>
      <x:c r="E50" s="47" t="n">
        <x:f>LN(D50)/LN(10)</x:f>
        <x:v>-7.411628961322628</x:v>
      </x:c>
      <x:c r="F50" s="50" t="n">
        <x:v>0.0013392062411556</x:v>
      </x:c>
      <x:c r="G50" s="98" t="n">
        <x:f>D50/F50</x:f>
        <x:v>0.000028941669119086008</x:v>
      </x:c>
      <x:c r="H50" s="26" t="str">
        <x:f>IF(G50&lt;=1%,"YES","NO")</x:f>
        <x:v>YES</x:v>
      </x:c>
      <x:c r="I50" s="26" t="str">
        <x:v>nominal_vdd</x:v>
      </x:c>
      <x:c r="J50" s="27" t="str">
        <x:v>data/raw/ptm45_hp_vds_1v_raw.txt</x:v>
      </x:c>
    </x:row>
    <x:row r="51">
      <x:c r="A51" s="25" t="str">
        <x:v>HP</x:v>
      </x:c>
      <x:c r="B51" s="35" t="n">
        <x:v>1</x:v>
      </x:c>
      <x:c r="C51" s="35" t="n">
        <x:v>0.0300000000000001</x:v>
      </x:c>
      <x:c r="D51" s="50" t="n">
        <x:v>4.4215212590877827e-8</x:v>
      </x:c>
      <x:c r="E51" s="47" t="n">
        <x:f>LN(D51)/LN(10)</x:f>
        <x:v>-7.354428282515338</x:v>
      </x:c>
      <x:c r="F51" s="50" t="n">
        <x:v>0.0013392062411556</x:v>
      </x:c>
      <x:c r="G51" s="98" t="n">
        <x:f>D51/F51</x:f>
        <x:v>0.00003301598456763803</x:v>
      </x:c>
      <x:c r="H51" s="26" t="str">
        <x:f>IF(G51&lt;=1%,"YES","NO")</x:f>
        <x:v>YES</x:v>
      </x:c>
      <x:c r="I51" s="26" t="str">
        <x:v>nominal_vdd</x:v>
      </x:c>
      <x:c r="J51" s="27" t="str">
        <x:v>data/raw/ptm45_hp_vds_1v_raw.txt</x:v>
      </x:c>
    </x:row>
    <x:row r="52">
      <x:c r="A52" s="25" t="str">
        <x:v>HP</x:v>
      </x:c>
      <x:c r="B52" s="35" t="n">
        <x:v>1</x:v>
      </x:c>
      <x:c r="C52" s="35" t="n">
        <x:v>0.0350000000000001</x:v>
      </x:c>
      <x:c r="D52" s="50" t="n">
        <x:v>5.043393871940648e-8</x:v>
      </x:c>
      <x:c r="E52" s="47" t="n">
        <x:f>LN(D52)/LN(10)</x:f>
        <x:v>-7.297277113591655</x:v>
      </x:c>
      <x:c r="F52" s="50" t="n">
        <x:v>0.0013392062411556</x:v>
      </x:c>
      <x:c r="G52" s="98" t="n">
        <x:f>D52/F52</x:f>
        <x:v>0.000037659575627341074</x:v>
      </x:c>
      <x:c r="H52" s="26" t="str">
        <x:f>IF(G52&lt;=1%,"YES","NO")</x:f>
        <x:v>YES</x:v>
      </x:c>
      <x:c r="I52" s="26" t="str">
        <x:v>nominal_vdd</x:v>
      </x:c>
      <x:c r="J52" s="27" t="str">
        <x:v>data/raw/ptm45_hp_vds_1v_raw.txt</x:v>
      </x:c>
    </x:row>
    <x:row r="53">
      <x:c r="A53" s="25" t="str">
        <x:v>HP</x:v>
      </x:c>
      <x:c r="B53" s="35" t="n">
        <x:v>1</x:v>
      </x:c>
      <x:c r="C53" s="35" t="n">
        <x:v>0.0400000000000001</x:v>
      </x:c>
      <x:c r="D53" s="50" t="n">
        <x:v>5.751947465615888e-8</x:v>
      </x:c>
      <x:c r="E53" s="47" t="n">
        <x:f>LN(D53)/LN(10)</x:f>
        <x:v>-7.240185089158087</x:v>
      </x:c>
      <x:c r="F53" s="50" t="n">
        <x:v>0.0013392062411556</x:v>
      </x:c>
      <x:c r="G53" s="98" t="n">
        <x:f>D53/F53</x:f>
        <x:v>0.000042950423085338506</x:v>
      </x:c>
      <x:c r="H53" s="26" t="str">
        <x:f>IF(G53&lt;=1%,"YES","NO")</x:f>
        <x:v>YES</x:v>
      </x:c>
      <x:c r="I53" s="26" t="str">
        <x:v>nominal_vdd</x:v>
      </x:c>
      <x:c r="J53" s="27" t="str">
        <x:v>data/raw/ptm45_hp_vds_1v_raw.txt</x:v>
      </x:c>
    </x:row>
    <x:row r="54">
      <x:c r="A54" s="25" t="str">
        <x:v>HP</x:v>
      </x:c>
      <x:c r="B54" s="35" t="n">
        <x:v>1</x:v>
      </x:c>
      <x:c r="C54" s="35" t="n">
        <x:v>0.0450000000000001</x:v>
      </x:c>
      <x:c r="D54" s="50" t="n">
        <x:v>6.559013895214705e-8</x:v>
      </x:c>
      <x:c r="E54" s="47" t="n">
        <x:f>LN(D54)/LN(10)</x:f>
        <x:v>-7.183161449047852</x:v>
      </x:c>
      <x:c r="F54" s="50" t="n">
        <x:v>0.0013392062411556</x:v>
      </x:c>
      <x:c r="G54" s="98" t="n">
        <x:f>D54/F54</x:f>
        <x:v>0.000048976876702388556</x:v>
      </x:c>
      <x:c r="H54" s="26" t="str">
        <x:f>IF(G54&lt;=1%,"YES","NO")</x:f>
        <x:v>YES</x:v>
      </x:c>
      <x:c r="I54" s="26" t="str">
        <x:v>nominal_vdd</x:v>
      </x:c>
      <x:c r="J54" s="27" t="str">
        <x:v>data/raw/ptm45_hp_vds_1v_raw.txt</x:v>
      </x:c>
    </x:row>
    <x:row r="55">
      <x:c r="A55" s="25" t="str">
        <x:v>HP</x:v>
      </x:c>
      <x:c r="B55" s="35" t="n">
        <x:v>1</x:v>
      </x:c>
      <x:c r="C55" s="35" t="n">
        <x:v>0.05</x:v>
      </x:c>
      <x:c r="D55" s="50" t="n">
        <x:v>7.477989669704965e-8</x:v>
      </x:c>
      <x:c r="E55" s="47" t="n">
        <x:f>LN(D55)/LN(10)</x:f>
        <x:v>-7.126215139127403</x:v>
      </x:c>
      <x:c r="F55" s="50" t="n">
        <x:v>0.0013392062411556</x:v>
      </x:c>
      <x:c r="G55" s="98" t="n">
        <x:f>D55/F55</x:f>
        <x:v>0.000055838969681415265</x:v>
      </x:c>
      <x:c r="H55" s="26" t="str">
        <x:f>IF(G55&lt;=1%,"YES","NO")</x:f>
        <x:v>YES</x:v>
      </x:c>
      <x:c r="I55" s="26" t="str">
        <x:v>nominal_vdd</x:v>
      </x:c>
      <x:c r="J55" s="27" t="str">
        <x:v>data/raw/ptm45_hp_vds_1v_raw.txt</x:v>
      </x:c>
    </x:row>
    <x:row r="56">
      <x:c r="A56" s="25" t="str">
        <x:v>HP</x:v>
      </x:c>
      <x:c r="B56" s="35" t="n">
        <x:v>1</x:v>
      </x:c>
      <x:c r="C56" s="35" t="n">
        <x:v>0.055</x:v>
      </x:c>
      <x:c r="D56" s="50" t="n">
        <x:v>8.524032584503317e-8</x:v>
      </x:c>
      <x:c r="E56" s="47" t="n">
        <x:f>LN(D56)/LN(10)</x:f>
        <x:v>-7.069354898793248</x:v>
      </x:c>
      <x:c r="F56" s="50" t="n">
        <x:v>0.0013392062411556</x:v>
      </x:c>
      <x:c r="G56" s="98" t="n">
        <x:f>D56/F56</x:f>
        <x:v>0.00006364988694458246</x:v>
      </x:c>
      <x:c r="H56" s="26" t="str">
        <x:f>IF(G56&lt;=1%,"YES","NO")</x:f>
        <x:v>YES</x:v>
      </x:c>
      <x:c r="I56" s="26" t="str">
        <x:v>nominal_vdd</x:v>
      </x:c>
      <x:c r="J56" s="27" t="str">
        <x:v>data/raw/ptm45_hp_vds_1v_raw.txt</x:v>
      </x:c>
    </x:row>
    <x:row r="57">
      <x:c r="A57" s="25" t="str">
        <x:v>HP</x:v>
      </x:c>
      <x:c r="B57" s="35" t="n">
        <x:v>1</x:v>
      </x:c>
      <x:c r="C57" s="35" t="n">
        <x:v>0.06</x:v>
      </x:c>
      <x:c r="D57" s="50" t="n">
        <x:v>9.714281029803717e-8</x:v>
      </x:c>
      <x:c r="E57" s="47" t="n">
        <x:f>LN(D57)/LN(10)</x:f>
        <x:v>-7.012589336736199</x:v>
      </x:c>
      <x:c r="F57" s="50" t="n">
        <x:v>0.0013392062411556</x:v>
      </x:c>
      <x:c r="G57" s="98" t="n">
        <x:f>D57/F57</x:f>
        <x:v>0.00007253760273265507</x:v>
      </x:c>
      <x:c r="H57" s="26" t="str">
        <x:f>IF(G57&lt;=1%,"YES","NO")</x:f>
        <x:v>YES</x:v>
      </x:c>
      <x:c r="I57" s="26" t="str">
        <x:v>nominal_vdd</x:v>
      </x:c>
      <x:c r="J57" s="27" t="str">
        <x:v>data/raw/ptm45_hp_vds_1v_raw.txt</x:v>
      </x:c>
    </x:row>
    <x:row r="58">
      <x:c r="A58" s="25" t="str">
        <x:v>HP</x:v>
      </x:c>
      <x:c r="B58" s="35" t="n">
        <x:v>1</x:v>
      </x:c>
      <x:c r="C58" s="35" t="n">
        <x:v>0.065</x:v>
      </x:c>
      <x:c r="D58" s="50" t="n">
        <x:v>1.106809819940524e-7</x:v>
      </x:c>
      <x:c r="E58" s="47" t="n">
        <x:f>LN(D58)/LN(10)</x:f>
        <x:v>-6.955926996326293</x:v>
      </x:c>
      <x:c r="F58" s="50" t="n">
        <x:v>0.0013392062411556</x:v>
      </x:c>
      <x:c r="G58" s="98" t="n">
        <x:f>D58/F58</x:f>
        <x:v>0.0000826467041391219</x:v>
      </x:c>
      <x:c r="H58" s="26" t="str">
        <x:f>IF(G58&lt;=1%,"YES","NO")</x:f>
        <x:v>YES</x:v>
      </x:c>
      <x:c r="I58" s="26" t="str">
        <x:v>nominal_vdd</x:v>
      </x:c>
      <x:c r="J58" s="27" t="str">
        <x:v>data/raw/ptm45_hp_vds_1v_raw.txt</x:v>
      </x:c>
    </x:row>
    <x:row r="59">
      <x:c r="A59" s="25" t="str">
        <x:v>HP</x:v>
      </x:c>
      <x:c r="B59" s="35" t="n">
        <x:v>1</x:v>
      </x:c>
      <x:c r="C59" s="35" t="n">
        <x:v>0.07</x:v>
      </x:c>
      <x:c r="D59" s="50" t="n">
        <x:v>1.260734357078407e-7</x:v>
      </x:c>
      <x:c r="E59" s="47" t="n">
        <x:f>LN(D59)/LN(10)</x:f>
        <x:v>-6.899376411768214</x:v>
      </x:c>
      <x:c r="F59" s="50" t="n">
        <x:v>0.0013392062411556</x:v>
      </x:c>
      <x:c r="G59" s="98" t="n">
        <x:f>D59/F59</x:f>
        <x:v>0.00009414041828169201</x:v>
      </x:c>
      <x:c r="H59" s="26" t="str">
        <x:f>IF(G59&lt;=1%,"YES","NO")</x:f>
        <x:v>YES</x:v>
      </x:c>
      <x:c r="I59" s="26" t="str">
        <x:v>nominal_vdd</x:v>
      </x:c>
      <x:c r="J59" s="27" t="str">
        <x:v>data/raw/ptm45_hp_vds_1v_raw.txt</x:v>
      </x:c>
    </x:row>
    <x:row r="60">
      <x:c r="A60" s="25" t="str">
        <x:v>HP</x:v>
      </x:c>
      <x:c r="B60" s="35" t="n">
        <x:v>1</x:v>
      </x:c>
      <x:c r="C60" s="35" t="n">
        <x:v>0.0750000000000001</x:v>
      </x:c>
      <x:c r="D60" s="50" t="n">
        <x:v>1.435667416938999e-7</x:v>
      </x:c>
      <x:c r="E60" s="47" t="n">
        <x:f>LN(D60)/LN(10)</x:f>
        <x:v>-6.842946155996962</x:v>
      </x:c>
      <x:c r="F60" s="50" t="n">
        <x:v>0.0013392062411556</x:v>
      </x:c>
      <x:c r="G60" s="98" t="n">
        <x:f>D60/F60</x:f>
        <x:v>0.00010720286187586482</x:v>
      </x:c>
      <x:c r="H60" s="26" t="str">
        <x:f>IF(G60&lt;=1%,"YES","NO")</x:f>
        <x:v>YES</x:v>
      </x:c>
      <x:c r="I60" s="26" t="str">
        <x:v>nominal_vdd</x:v>
      </x:c>
      <x:c r="J60" s="27" t="str">
        <x:v>data/raw/ptm45_hp_vds_1v_raw.txt</x:v>
      </x:c>
    </x:row>
    <x:row r="61">
      <x:c r="A61" s="25" t="str">
        <x:v>HP</x:v>
      </x:c>
      <x:c r="B61" s="35" t="n">
        <x:v>1</x:v>
      </x:c>
      <x:c r="C61" s="35" t="n">
        <x:v>0.0800000000000001</x:v>
      </x:c>
      <x:c r="D61" s="50" t="n">
        <x:v>1.634387826574535e-7</x:v>
      </x:c>
      <x:c r="E61" s="47" t="n">
        <x:f>LN(D61)/LN(10)</x:f>
        <x:v>-6.786644881123035</x:v>
      </x:c>
      <x:c r="F61" s="50" t="n">
        <x:v>0.0013392062411556</x:v>
      </x:c>
      <x:c r="G61" s="98" t="n">
        <x:f>D61/F61</x:f>
        <x:v>0.00012204153298779603</x:v>
      </x:c>
      <x:c r="H61" s="26" t="str">
        <x:f>IF(G61&lt;=1%,"YES","NO")</x:f>
        <x:v>YES</x:v>
      </x:c>
      <x:c r="I61" s="26" t="str">
        <x:v>nominal_vdd</x:v>
      </x:c>
      <x:c r="J61" s="27" t="str">
        <x:v>data/raw/ptm45_hp_vds_1v_raw.txt</x:v>
      </x:c>
    </x:row>
    <x:row r="62">
      <x:c r="A62" s="25" t="str">
        <x:v>HP</x:v>
      </x:c>
      <x:c r="B62" s="35" t="n">
        <x:v>1</x:v>
      </x:c>
      <x:c r="C62" s="35" t="n">
        <x:v>0.0850000000000001</x:v>
      </x:c>
      <x:c r="D62" s="50" t="n">
        <x:v>1.860024427952476e-7</x:v>
      </x:c>
      <x:c r="E62" s="47" t="n">
        <x:f>LN(D62)/LN(10)</x:f>
        <x:v>-6.730481352096438</x:v>
      </x:c>
      <x:c r="F62" s="50" t="n">
        <x:v>0.0013392062411556</x:v>
      </x:c>
      <x:c r="G62" s="98" t="n">
        <x:f>D62/F62</x:f>
        <x:v>0.00013889006568155345</x:v>
      </x:c>
      <x:c r="H62" s="26" t="str">
        <x:f>IF(G62&lt;=1%,"YES","NO")</x:f>
        <x:v>YES</x:v>
      </x:c>
      <x:c r="I62" s="26" t="str">
        <x:v>nominal_vdd</x:v>
      </x:c>
      <x:c r="J62" s="27" t="str">
        <x:v>data/raw/ptm45_hp_vds_1v_raw.txt</x:v>
      </x:c>
    </x:row>
    <x:row r="63">
      <x:c r="A63" s="25" t="str">
        <x:v>HP</x:v>
      </x:c>
      <x:c r="B63" s="35" t="n">
        <x:v>1</x:v>
      </x:c>
      <x:c r="C63" s="35" t="n">
        <x:v>0.0900000000000001</x:v>
      </x:c>
      <x:c r="D63" s="50" t="n">
        <x:v>2.116096777673938e-7</x:v>
      </x:c>
      <x:c r="E63" s="47" t="n">
        <x:f>LN(D63)/LN(10)</x:f>
        <x:v>-6.6744644741374906</x:v>
      </x:c>
      <x:c r="F63" s="50" t="n">
        <x:v>0.0013392062411556</x:v>
      </x:c>
      <x:c r="G63" s="98" t="n">
        <x:f>D63/F63</x:f>
        <x:v>0.00015801126911176578</x:v>
      </x:c>
      <x:c r="H63" s="26" t="str">
        <x:f>IF(G63&lt;=1%,"YES","NO")</x:f>
        <x:v>YES</x:v>
      </x:c>
      <x:c r="I63" s="26" t="str">
        <x:v>nominal_vdd</x:v>
      </x:c>
      <x:c r="J63" s="27" t="str">
        <x:v>data/raw/ptm45_hp_vds_1v_raw.txt</x:v>
      </x:c>
    </x:row>
    <x:row r="64">
      <x:c r="A64" s="25" t="str">
        <x:v>HP</x:v>
      </x:c>
      <x:c r="B64" s="35" t="n">
        <x:v>1</x:v>
      </x:c>
      <x:c r="C64" s="35" t="n">
        <x:v>0.0950000000000001</x:v>
      </x:c>
      <x:c r="D64" s="50" t="n">
        <x:v>2.406559954042008e-7</x:v>
      </x:c>
      <x:c r="E64" s="47" t="n">
        <x:f>LN(D64)/LN(10)</x:f>
        <x:v>-6.618603314379195</x:v>
      </x:c>
      <x:c r="F64" s="50" t="n">
        <x:v>0.0013392062411556</x:v>
      </x:c>
      <x:c r="G64" s="98" t="n">
        <x:f>D64/F64</x:f>
        <x:v>0.00017970047331659607</x:v>
      </x:c>
      <x:c r="H64" s="26" t="str">
        <x:f>IF(G64&lt;=1%,"YES","NO")</x:f>
        <x:v>YES</x:v>
      </x:c>
      <x:c r="I64" s="26" t="str">
        <x:v>nominal_vdd</x:v>
      </x:c>
      <x:c r="J64" s="27" t="str">
        <x:v>data/raw/ptm45_hp_vds_1v_raw.txt</x:v>
      </x:c>
    </x:row>
    <x:row r="65">
      <x:c r="A65" s="25" t="str">
        <x:v>HP</x:v>
      </x:c>
      <x:c r="B65" s="35" t="n">
        <x:v>1</x:v>
      </x:c>
      <x:c r="C65" s="35" t="n">
        <x:v>0.1000000000000001</x:v>
      </x:c>
      <x:c r="D65" s="50" t="n">
        <x:v>2.735853776753727e-7</x:v>
      </x:c>
      <x:c r="E65" s="47" t="n">
        <x:f>LN(D65)/LN(10)</x:f>
        <x:v>-6.562907118079845</x:v>
      </x:c>
      <x:c r="F65" s="50" t="n">
        <x:v>0.0013392062411556</x:v>
      </x:c>
      <x:c r="G65" s="98" t="n">
        <x:f>D65/F65</x:f>
        <x:v>0.00020428920450616783</x:v>
      </x:c>
      <x:c r="H65" s="26" t="str">
        <x:f>IF(G65&lt;=1%,"YES","NO")</x:f>
        <x:v>YES</x:v>
      </x:c>
      <x:c r="I65" s="26" t="str">
        <x:v>nominal_vdd</x:v>
      </x:c>
      <x:c r="J65" s="27" t="str">
        <x:v>data/raw/ptm45_hp_vds_1v_raw.txt</x:v>
      </x:c>
    </x:row>
    <x:row r="66">
      <x:c r="A66" s="25" t="str">
        <x:v>HP</x:v>
      </x:c>
      <x:c r="B66" s="35" t="n">
        <x:v>1</x:v>
      </x:c>
      <x:c r="C66" s="35" t="n">
        <x:v>0.1050000000000001</x:v>
      </x:c>
      <x:c r="D66" s="50" t="n">
        <x:v>3.108956749076387e-7</x:v>
      </x:c>
      <x:c r="E66" s="47" t="n">
        <x:f>LN(D66)/LN(10)</x:f>
        <x:v>-6.507385319696312</x:v>
      </x:c>
      <x:c r="F66" s="50" t="n">
        <x:v>0.0013392062411556</x:v>
      </x:c>
      <x:c r="G66" s="98" t="n">
        <x:f>D66/F66</x:f>
        <x:v>0.00023214921298407863</x:v>
      </x:c>
      <x:c r="H66" s="26" t="str">
        <x:f>IF(G66&lt;=1%,"YES","NO")</x:f>
        <x:v>YES</x:v>
      </x:c>
      <x:c r="I66" s="26" t="str">
        <x:v>nominal_vdd</x:v>
      </x:c>
      <x:c r="J66" s="27" t="str">
        <x:v>data/raw/ptm45_hp_vds_1v_raw.txt</x:v>
      </x:c>
    </x:row>
    <x:row r="67">
      <x:c r="A67" s="25" t="str">
        <x:v>HP</x:v>
      </x:c>
      <x:c r="B67" s="35" t="n">
        <x:v>1</x:v>
      </x:c>
      <x:c r="C67" s="35" t="n">
        <x:v>0.1100000000000001</x:v>
      </x:c>
      <x:c r="D67" s="50" t="n">
        <x:v>3.531445033858148e-7</x:v>
      </x:c>
      <x:c r="E67" s="47" t="n">
        <x:f>LN(D67)/LN(10)</x:f>
        <x:v>-6.452047549055422</x:v>
      </x:c>
      <x:c r="F67" s="50" t="n">
        <x:v>0.0013392062411556</x:v>
      </x:c>
      <x:c r="G67" s="98" t="n">
        <x:f>D67/F67</x:f>
        <x:v>0.0002636968769508472</x:v>
      </x:c>
      <x:c r="H67" s="26" t="str">
        <x:f>IF(G67&lt;=1%,"YES","NO")</x:f>
        <x:v>YES</x:v>
      </x:c>
      <x:c r="I67" s="26" t="str">
        <x:v>nominal_vdd</x:v>
      </x:c>
      <x:c r="J67" s="27" t="str">
        <x:v>data/raw/ptm45_hp_vds_1v_raw.txt</x:v>
      </x:c>
    </x:row>
    <x:row r="68">
      <x:c r="A68" s="25" t="str">
        <x:v>HP</x:v>
      </x:c>
      <x:c r="B68" s="35" t="n">
        <x:v>1</x:v>
      </x:c>
      <x:c r="C68" s="35" t="n">
        <x:v>0.1150000000000001</x:v>
      </x:c>
      <x:c r="D68" s="50" t="n">
        <x:v>4.009556772627965e-7</x:v>
      </x:c>
      <x:c r="E68" s="47" t="n">
        <x:f>LN(D68)/LN(10)</x:f>
        <x:v>-6.396903632826391</x:v>
      </x:c>
      <x:c r="F68" s="50" t="n">
        <x:v>0.0013392062411556</x:v>
      </x:c>
      <x:c r="G68" s="98" t="n">
        <x:f>D68/F68</x:f>
        <x:v>0.00029939800528170496</x:v>
      </x:c>
      <x:c r="H68" s="26" t="str">
        <x:f>IF(G68&lt;=1%,"YES","NO")</x:f>
        <x:v>YES</x:v>
      </x:c>
      <x:c r="I68" s="26" t="str">
        <x:v>nominal_vdd</x:v>
      </x:c>
      <x:c r="J68" s="27" t="str">
        <x:v>data/raw/ptm45_hp_vds_1v_raw.txt</x:v>
      </x:c>
    </x:row>
    <x:row r="69">
      <x:c r="A69" s="25" t="str">
        <x:v>HP</x:v>
      </x:c>
      <x:c r="B69" s="35" t="n">
        <x:v>1</x:v>
      </x:c>
      <x:c r="C69" s="35" t="n">
        <x:v>0.1200000000000001</x:v>
      </x:c>
      <x:c r="D69" s="50" t="n">
        <x:v>4.550262050904381e-7</x:v>
      </x:c>
      <x:c r="E69" s="47" t="n">
        <x:f>LN(D69)/LN(10)</x:f>
        <x:v>-6.341963591478142</x:v>
      </x:c>
      <x:c r="F69" s="50" t="n">
        <x:v>0.0013392062411556</x:v>
      </x:c>
      <x:c r="G69" s="98" t="n">
        <x:f>D69/F69</x:f>
        <x:v>0.0003397730619130003</x:v>
      </x:c>
      <x:c r="H69" s="26" t="str">
        <x:f>IF(G69&lt;=1%,"YES","NO")</x:f>
        <x:v>YES</x:v>
      </x:c>
      <x:c r="I69" s="26" t="str">
        <x:v>nominal_vdd</x:v>
      </x:c>
      <x:c r="J69" s="27" t="str">
        <x:v>data/raw/ptm45_hp_vds_1v_raw.txt</x:v>
      </x:c>
    </x:row>
    <x:row r="70">
      <x:c r="A70" s="25" t="str">
        <x:v>HP</x:v>
      </x:c>
      <x:c r="B70" s="35" t="n">
        <x:v>1</x:v>
      </x:c>
      <x:c r="C70" s="35" t="n">
        <x:v>0.1250000000000001</x:v>
      </x:c>
      <x:c r="D70" s="50" t="n">
        <x:v>5.161338802160976e-7</x:v>
      </x:c>
      <x:c r="E70" s="47" t="n">
        <x:f>LN(D70)/LN(10)</x:f>
        <x:v>-6.28723763190475</x:v>
      </x:c>
      <x:c r="F70" s="50" t="n">
        <x:v>0.0013392062411556</x:v>
      </x:c>
      <x:c r="G70" s="98" t="n">
        <x:f>D70/F70</x:f>
        <x:v>0.00038540283367461466</x:v>
      </x:c>
      <x:c r="H70" s="26" t="str">
        <x:f>IF(G70&lt;=1%,"YES","NO")</x:f>
        <x:v>YES</x:v>
      </x:c>
      <x:c r="I70" s="26" t="str">
        <x:v>nominal_vdd</x:v>
      </x:c>
      <x:c r="J70" s="27" t="str">
        <x:v>data/raw/ptm45_hp_vds_1v_raw.txt</x:v>
      </x:c>
    </x:row>
    <x:row r="71">
      <x:c r="A71" s="25" t="str">
        <x:v>HP</x:v>
      </x:c>
      <x:c r="B71" s="35" t="n">
        <x:v>1</x:v>
      </x:c>
      <x:c r="C71" s="35" t="n">
        <x:v>0.1300000000000001</x:v>
      </x:c>
      <x:c r="D71" s="50" t="n">
        <x:v>5.851454927207171e-7</x:v>
      </x:c>
      <x:c r="E71" s="47" t="n">
        <x:f>LN(D71)/LN(10)</x:f>
        <x:v>-6.232736135918453</x:v>
      </x:c>
      <x:c r="F71" s="50" t="n">
        <x:v>0.0013392062411556</x:v>
      </x:c>
      <x:c r="G71" s="98" t="n">
        <x:f>D71/F71</x:f>
        <x:v>0.00043693456223426467</x:v>
      </x:c>
      <x:c r="H71" s="26" t="str">
        <x:f>IF(G71&lt;=1%,"YES","NO")</x:f>
        <x:v>YES</x:v>
      </x:c>
      <x:c r="I71" s="26" t="str">
        <x:v>nominal_vdd</x:v>
      </x:c>
      <x:c r="J71" s="27" t="str">
        <x:v>data/raw/ptm45_hp_vds_1v_raw.txt</x:v>
      </x:c>
    </x:row>
    <x:row r="72">
      <x:c r="A72" s="25" t="str">
        <x:v>HP</x:v>
      </x:c>
      <x:c r="B72" s="35" t="n">
        <x:v>1</x:v>
      </x:c>
      <x:c r="C72" s="35" t="n">
        <x:v>0.1350000000000001</x:v>
      </x:c>
      <x:c r="D72" s="50" t="n">
        <x:v>6.630256884499344e-7</x:v>
      </x:c>
      <x:c r="E72" s="47" t="n">
        <x:f>LN(D72)/LN(10)</x:f>
        <x:v>-6.178469644844201</x:v>
      </x:c>
      <x:c r="F72" s="50" t="n">
        <x:v>0.0013392062411556</x:v>
      </x:c>
      <x:c r="G72" s="98" t="n">
        <x:f>D72/F72</x:f>
        <x:v>0.0004950885592332739</x:v>
      </x:c>
      <x:c r="H72" s="26" t="str">
        <x:f>IF(G72&lt;=1%,"YES","NO")</x:f>
        <x:v>YES</x:v>
      </x:c>
      <x:c r="I72" s="26" t="str">
        <x:v>nominal_vdd</x:v>
      </x:c>
      <x:c r="J72" s="27" t="str">
        <x:v>data/raw/ptm45_hp_vds_1v_raw.txt</x:v>
      </x:c>
    </x:row>
    <x:row r="73">
      <x:c r="A73" s="25" t="str">
        <x:v>HP</x:v>
      </x:c>
      <x:c r="B73" s="35" t="n">
        <x:v>1</x:v>
      </x:c>
      <x:c r="C73" s="35" t="n">
        <x:v>0.1400000000000002</x:v>
      </x:c>
      <x:c r="D73" s="50" t="n">
        <x:v>7.508464979502032e-7</x:v>
      </x:c>
      <x:c r="E73" s="47" t="n">
        <x:f>LN(D73)/LN(10)</x:f>
        <x:v>-6.124448840502069</x:v>
      </x:c>
      <x:c r="F73" s="50" t="n">
        <x:v>0.0013392062411556</x:v>
      </x:c>
      <x:c r="G73" s="98" t="n">
        <x:f>D73/F73</x:f>
        <x:v>0.0005606653216477683</x:v>
      </x:c>
      <x:c r="H73" s="26" t="str">
        <x:f>IF(G73&lt;=1%,"YES","NO")</x:f>
        <x:v>YES</x:v>
      </x:c>
      <x:c r="I73" s="26" t="str">
        <x:v>nominal_vdd</x:v>
      </x:c>
      <x:c r="J73" s="27" t="str">
        <x:v>data/raw/ptm45_hp_vds_1v_raw.txt</x:v>
      </x:c>
    </x:row>
    <x:row r="74">
      <x:c r="A74" s="25" t="str">
        <x:v>HP</x:v>
      </x:c>
      <x:c r="B74" s="35" t="n">
        <x:v>1</x:v>
      </x:c>
      <x:c r="C74" s="35" t="n">
        <x:v>0.1450000000000002</x:v>
      </x:c>
      <x:c r="D74" s="50" t="n">
        <x:v>8.497975546936707e-7</x:v>
      </x:c>
      <x:c r="E74" s="47" t="n">
        <x:f>LN(D74)/LN(10)</x:f>
        <x:v>-6.0706845229341635</x:v>
      </x:c>
      <x:c r="F74" s="50" t="n">
        <x:v>0.0013392062411556</x:v>
      </x:c>
      <x:c r="G74" s="98" t="n">
        <x:f>D74/F74</x:f>
        <x:v>0.0006345531618493512</x:v>
      </x:c>
      <x:c r="H74" s="26" t="str">
        <x:f>IF(G74&lt;=1%,"YES","NO")</x:f>
        <x:v>YES</x:v>
      </x:c>
      <x:c r="I74" s="26" t="str">
        <x:v>nominal_vdd</x:v>
      </x:c>
      <x:c r="J74" s="27" t="str">
        <x:v>data/raw/ptm45_hp_vds_1v_raw.txt</x:v>
      </x:c>
    </x:row>
    <x:row r="75">
      <x:c r="A75" s="25" t="str">
        <x:v>HP</x:v>
      </x:c>
      <x:c r="B75" s="35" t="n">
        <x:v>1</x:v>
      </x:c>
      <x:c r="C75" s="35" t="n">
        <x:v>0.1500000000000002</x:v>
      </x:c>
      <x:c r="D75" s="50" t="n">
        <x:v>9.611970177636994e-7</x:v>
      </x:c>
      <x:c r="E75" s="47" t="n">
        <x:f>LN(D75)/LN(10)</x:f>
        <x:v>-6.017187585320049</x:v>
      </x:c>
      <x:c r="F75" s="50" t="n">
        <x:v>0.0013392062411556</x:v>
      </x:c>
      <x:c r="G75" s="98" t="n">
        <x:f>D75/F75</x:f>
        <x:v>0.0007177363636942756</x:v>
      </x:c>
      <x:c r="H75" s="26" t="str">
        <x:f>IF(G75&lt;=1%,"YES","NO")</x:f>
        <x:v>YES</x:v>
      </x:c>
      <x:c r="I75" s="26" t="str">
        <x:v>nominal_vdd</x:v>
      </x:c>
      <x:c r="J75" s="27" t="str">
        <x:v>data/raw/ptm45_hp_vds_1v_raw.txt</x:v>
      </x:c>
    </x:row>
    <x:row r="76">
      <x:c r="A76" s="25" t="str">
        <x:v>HP</x:v>
      </x:c>
      <x:c r="B76" s="35" t="n">
        <x:v>1</x:v>
      </x:c>
      <x:c r="C76" s="35" t="n">
        <x:v>0.1550000000000002</x:v>
      </x:c>
      <x:c r="D76" s="50" t="n">
        <x:v>0.000001086503209050449</x:v>
      </x:c>
      <x:c r="E76" s="47" t="n">
        <x:f>LN(D76)/LN(10)</x:f>
        <x:v>-5.963968986627539</x:v>
      </x:c>
      <x:c r="F76" s="50" t="n">
        <x:v>0.0013392062411556</x:v>
      </x:c>
      <x:c r="G76" s="98" t="n">
        <x:f>D76/F76</x:f>
        <x:v>0.0008113038721451196</x:v>
      </x:c>
      <x:c r="H76" s="26" t="str">
        <x:f>IF(G76&lt;=1%,"YES","NO")</x:f>
        <x:v>YES</x:v>
      </x:c>
      <x:c r="I76" s="26" t="str">
        <x:v>nominal_vdd</x:v>
      </x:c>
      <x:c r="J76" s="27" t="str">
        <x:v>data/raw/ptm45_hp_vds_1v_raw.txt</x:v>
      </x:c>
    </x:row>
    <x:row r="77">
      <x:c r="A77" s="25" t="str">
        <x:v>HP</x:v>
      </x:c>
      <x:c r="B77" s="35" t="n">
        <x:v>1</x:v>
      </x:c>
      <x:c r="C77" s="35" t="n">
        <x:v>0.1600000000000002</x:v>
      </x:c>
      <x:c r="D77" s="50" t="n">
        <x:v>0.000001227326968797892</x:v>
      </x:c>
      <x:c r="E77" s="47" t="n">
        <x:f>LN(D77)/LN(10)</x:f>
        <x:v>-5.91103972266176</x:v>
      </x:c>
      <x:c r="F77" s="50" t="n">
        <x:v>0.0013392062411556</x:v>
      </x:c>
      <x:c r="G77" s="98" t="n">
        <x:f>D77/F77</x:f>
        <x:v>0.0009164585192933633</x:v>
      </x:c>
      <x:c r="H77" s="26" t="str">
        <x:f>IF(G77&lt;=1%,"YES","NO")</x:f>
        <x:v>YES</x:v>
      </x:c>
      <x:c r="I77" s="26" t="str">
        <x:v>nominal_vdd</x:v>
      </x:c>
      <x:c r="J77" s="27" t="str">
        <x:v>data/raw/ptm45_hp_vds_1v_raw.txt</x:v>
      </x:c>
    </x:row>
    <x:row r="78">
      <x:c r="A78" s="25" t="str">
        <x:v>HP</x:v>
      </x:c>
      <x:c r="B78" s="35" t="n">
        <x:v>1</x:v>
      </x:c>
      <x:c r="C78" s="35" t="n">
        <x:v>0.1650000000000002</x:v>
      </x:c>
      <x:c r="D78" s="50" t="n">
        <x:v>0.000001385444725812803</x:v>
      </x:c>
      <x:c r="E78" s="47" t="n">
        <x:f>LN(D78)/LN(10)</x:f>
        <x:v>-5.858410796300621</x:v>
      </x:c>
      <x:c r="F78" s="50" t="n">
        <x:v>0.0013392062411556</x:v>
      </x:c>
      <x:c r="G78" s="98" t="n">
        <x:f>D78/F78</x:f>
        <x:v>0.0010345267840279058</x:v>
      </x:c>
      <x:c r="H78" s="26" t="str">
        <x:f>IF(G78&lt;=1%,"YES","NO")</x:f>
        <x:v>YES</x:v>
      </x:c>
      <x:c r="I78" s="26" t="str">
        <x:v>nominal_vdd</x:v>
      </x:c>
      <x:c r="J78" s="27" t="str">
        <x:v>data/raw/ptm45_hp_vds_1v_raw.txt</x:v>
      </x:c>
    </x:row>
    <x:row r="79">
      <x:c r="A79" s="25" t="str">
        <x:v>HP</x:v>
      </x:c>
      <x:c r="B79" s="35" t="n">
        <x:v>1</x:v>
      </x:c>
      <x:c r="C79" s="35" t="n">
        <x:v>0.1700000000000002</x:v>
      </x:c>
      <x:c r="D79" s="50" t="n">
        <x:v>0.000001562812269466721</x:v>
      </x:c>
      <x:c r="E79" s="47" t="n">
        <x:f>LN(D79)/LN(10)</x:f>
        <x:v>-5.806093187835802</x:v>
      </x:c>
      <x:c r="F79" s="50" t="n">
        <x:v>0.0013392062411556</x:v>
      </x:c>
      <x:c r="G79" s="98" t="n">
        <x:f>D79/F79</x:f>
        <x:v>0.0011669690757400977</x:v>
      </x:c>
      <x:c r="H79" s="26" t="str">
        <x:f>IF(G79&lt;=1%,"YES","NO")</x:f>
        <x:v>YES</x:v>
      </x:c>
      <x:c r="I79" s="26" t="str">
        <x:v>nominal_vdd</x:v>
      </x:c>
      <x:c r="J79" s="27" t="str">
        <x:v>data/raw/ptm45_hp_vds_1v_raw.txt</x:v>
      </x:c>
    </x:row>
    <x:row r="80">
      <x:c r="A80" s="25" t="str">
        <x:v>HP</x:v>
      </x:c>
      <x:c r="B80" s="35" t="n">
        <x:v>1</x:v>
      </x:c>
      <x:c r="C80" s="35" t="n">
        <x:v>0.1750000000000002</x:v>
      </x:c>
      <x:c r="D80" s="50" t="n">
        <x:v>0.000001761579199377998</x:v>
      </x:c>
      <x:c r="E80" s="47" t="n">
        <x:f>LN(D80)/LN(10)</x:f>
        <x:v>-5.754097826465357</x:v>
      </x:c>
      <x:c r="F80" s="50" t="n">
        <x:v>0.0013392062411556</x:v>
      </x:c>
      <x:c r="G80" s="98" t="n">
        <x:f>D80/F80</x:f>
        <x:v>0.0013153905240599333</x:v>
      </x:c>
      <x:c r="H80" s="26" t="str">
        <x:f>IF(G80&lt;=1%,"YES","NO")</x:f>
        <x:v>YES</x:v>
      </x:c>
      <x:c r="I80" s="26" t="str">
        <x:v>nominal_vdd</x:v>
      </x:c>
      <x:c r="J80" s="27" t="str">
        <x:v>data/raw/ptm45_hp_vds_1v_raw.txt</x:v>
      </x:c>
    </x:row>
    <x:row r="81">
      <x:c r="A81" s="25" t="str">
        <x:v>HP</x:v>
      </x:c>
      <x:c r="B81" s="35" t="n">
        <x:v>1</x:v>
      </x:c>
      <x:c r="C81" s="35" t="n">
        <x:v>0.1800000000000002</x:v>
      </x:c>
      <x:c r="D81" s="50" t="n">
        <x:v>0.000001984104014801174</x:v>
      </x:c>
      <x:c r="E81" s="47" t="n">
        <x:f>LN(D81)/LN(10)</x:f>
        <x:v>-5.702435564102158</x:v>
      </x:c>
      <x:c r="F81" s="50" t="n">
        <x:v>0.0013392062411556</x:v>
      </x:c>
      <x:c r="G81" s="98" t="n">
        <x:f>D81/F81</x:f>
        <x:v>0.0014815522462687243</x:v>
      </x:c>
      <x:c r="H81" s="26" t="str">
        <x:f>IF(G81&lt;=1%,"YES","NO")</x:f>
        <x:v>YES</x:v>
      </x:c>
      <x:c r="I81" s="26" t="str">
        <x:v>nominal_vdd</x:v>
      </x:c>
      <x:c r="J81" s="27" t="str">
        <x:v>data/raw/ptm45_hp_vds_1v_raw.txt</x:v>
      </x:c>
    </x:row>
    <x:row r="82">
      <x:c r="A82" s="25" t="str">
        <x:v>HP</x:v>
      </x:c>
      <x:c r="B82" s="35" t="n">
        <x:v>1</x:v>
      </x:c>
      <x:c r="C82" s="35" t="n">
        <x:v>0.1850000000000002</x:v>
      </x:c>
      <x:c r="D82" s="50" t="n">
        <x:v>0.000002232969788608805</x:v>
      </x:c>
      <x:c r="E82" s="47" t="n">
        <x:f>LN(D82)/LN(10)</x:f>
        <x:v>-5.651117152758944</x:v>
      </x:c>
      <x:c r="F82" s="50" t="n">
        <x:v>0.0013392062411556</x:v>
      </x:c>
      <x:c r="G82" s="98" t="n">
        <x:f>D82/F82</x:f>
        <x:v>0.0016673830512333764</x:v>
      </x:c>
      <x:c r="H82" s="26" t="str">
        <x:f>IF(G82&lt;=1%,"YES","NO")</x:f>
        <x:v>YES</x:v>
      </x:c>
      <x:c r="I82" s="26" t="str">
        <x:v>nominal_vdd</x:v>
      </x:c>
      <x:c r="J82" s="27" t="str">
        <x:v>data/raw/ptm45_hp_vds_1v_raw.txt</x:v>
      </x:c>
    </x:row>
    <x:row r="83">
      <x:c r="A83" s="25" t="str">
        <x:v>HP</x:v>
      </x:c>
      <x:c r="B83" s="35" t="n">
        <x:v>1</x:v>
      </x:c>
      <x:c r="C83" s="35" t="n">
        <x:v>0.1900000000000002</x:v>
      </x:c>
      <x:c r="D83" s="50" t="n">
        <x:v>0.000002511000349515585</x:v>
      </x:c>
      <x:c r="E83" s="47" t="n">
        <x:f>LN(D83)/LN(10)</x:f>
        <x:v>-5.60015322683599</x:v>
      </x:c>
      <x:c r="F83" s="50" t="n">
        <x:v>0.0013392062411556</x:v>
      </x:c>
      <x:c r="G83" s="98" t="n">
        <x:f>D83/F83</x:f>
        <x:v>0.0018749915228507632</x:v>
      </x:c>
      <x:c r="H83" s="26" t="str">
        <x:f>IF(G83&lt;=1%,"YES","NO")</x:f>
        <x:v>YES</x:v>
      </x:c>
      <x:c r="I83" s="26" t="str">
        <x:v>nominal_vdd</x:v>
      </x:c>
      <x:c r="J83" s="27" t="str">
        <x:v>data/raw/ptm45_hp_vds_1v_raw.txt</x:v>
      </x:c>
    </x:row>
    <x:row r="84">
      <x:c r="A84" s="25" t="str">
        <x:v>HP</x:v>
      </x:c>
      <x:c r="B84" s="35" t="n">
        <x:v>1</x:v>
      </x:c>
      <x:c r="C84" s="35" t="n">
        <x:v>0.1950000000000002</x:v>
      </x:c>
      <x:c r="D84" s="50" t="n">
        <x:v>0.000002821276869952502</x:v>
      </x:c>
      <x:c r="E84" s="47" t="n">
        <x:f>LN(D84)/LN(10)</x:f>
        <x:v>-5.54955429165666</x:v>
      </x:c>
      <x:c r="F84" s="50" t="n">
        <x:v>0.0013392062411556</x:v>
      </x:c>
      <x:c r="G84" s="98" t="n">
        <x:f>D84/F84</x:f>
        <x:v>0.0021066784063954367</x:v>
      </x:c>
      <x:c r="H84" s="26" t="str">
        <x:f>IF(G84&lt;=1%,"YES","NO")</x:f>
        <x:v>YES</x:v>
      </x:c>
      <x:c r="I84" s="26" t="str">
        <x:v>nominal_vdd</x:v>
      </x:c>
      <x:c r="J84" s="27" t="str">
        <x:v>data/raw/ptm45_hp_vds_1v_raw.txt</x:v>
      </x:c>
    </x:row>
    <x:row r="85">
      <x:c r="A85" s="25" t="str">
        <x:v>HP</x:v>
      </x:c>
      <x:c r="B85" s="35" t="n">
        <x:v>1</x:v>
      </x:c>
      <x:c r="C85" s="35" t="n">
        <x:v>0.2000000000000002</x:v>
      </x:c>
      <x:c r="D85" s="50" t="n">
        <x:v>0.000003167154724744083</x:v>
      </x:c>
      <x:c r="E85" s="47" t="n">
        <x:f>LN(D85)/LN(10)</x:f>
        <x:v>-5.499330719557933</x:v>
      </x:c>
      <x:c r="F85" s="50" t="n">
        <x:v>0.0013392062411556</x:v>
      </x:c>
      <x:c r="G85" s="98" t="n">
        <x:f>D85/F85</x:f>
        <x:v>0.002364949197078971</x:v>
      </x:c>
      <x:c r="H85" s="26" t="str">
        <x:f>IF(G85&lt;=1%,"YES","NO")</x:f>
        <x:v>YES</x:v>
      </x:c>
      <x:c r="I85" s="26" t="str">
        <x:v>nominal_vdd</x:v>
      </x:c>
      <x:c r="J85" s="27" t="str">
        <x:v>data/raw/ptm45_hp_vds_1v_raw.txt</x:v>
      </x:c>
    </x:row>
    <x:row r="86">
      <x:c r="A86" s="25" t="str">
        <x:v>HP</x:v>
      </x:c>
      <x:c r="B86" s="35" t="n">
        <x:v>1</x:v>
      </x:c>
      <x:c r="C86" s="35" t="n">
        <x:v>0.2050000000000002</x:v>
      </x:c>
      <x:c r="D86" s="50" t="n">
        <x:v>0.000003552280446487783</x:v>
      </x:c>
      <x:c r="E86" s="47" t="n">
        <x:f>LN(D86)/LN(10)</x:f>
        <x:v>-5.44949275473066</x:v>
      </x:c>
      <x:c r="F86" s="50" t="n">
        <x:v>0.0013392062411556</x:v>
      </x:c>
      <x:c r="G86" s="98" t="n">
        <x:f>D86/F86</x:f>
        <x:v>0.0026525268008178657</x:v>
      </x:c>
      <x:c r="H86" s="26" t="str">
        <x:f>IF(G86&lt;=1%,"YES","NO")</x:f>
        <x:v>YES</x:v>
      </x:c>
      <x:c r="I86" s="26" t="str">
        <x:v>nominal_vdd</x:v>
      </x:c>
      <x:c r="J86" s="27" t="str">
        <x:v>data/raw/ptm45_hp_vds_1v_raw.txt</x:v>
      </x:c>
    </x:row>
    <x:row r="87">
      <x:c r="A87" s="25" t="str">
        <x:v>HP</x:v>
      </x:c>
      <x:c r="B87" s="35" t="n">
        <x:v>1</x:v>
      </x:c>
      <x:c r="C87" s="35" t="n">
        <x:v>0.2100000000000002</x:v>
      </x:c>
      <x:c r="D87" s="50" t="n">
        <x:v>0.000003980608556354552</x:v>
      </x:c>
      <x:c r="E87" s="47" t="n">
        <x:f>LN(D87)/LN(10)</x:f>
        <x:v>-5.400050527809951</x:v>
      </x:c>
      <x:c r="F87" s="50" t="n">
        <x:v>0.0013392062411556</x:v>
      </x:c>
      <x:c r="G87" s="98" t="n">
        <x:f>D87/F87</x:f>
        <x:v>0.0029723641019770695</x:v>
      </x:c>
      <x:c r="H87" s="26" t="str">
        <x:f>IF(G87&lt;=1%,"YES","NO")</x:f>
        <x:v>YES</x:v>
      </x:c>
      <x:c r="I87" s="26" t="str">
        <x:v>nominal_vdd</x:v>
      </x:c>
      <x:c r="J87" s="27" t="str">
        <x:v>data/raw/ptm45_hp_vds_1v_raw.txt</x:v>
      </x:c>
    </x:row>
    <x:row r="88">
      <x:c r="A88" s="25" t="str">
        <x:v>HP</x:v>
      </x:c>
      <x:c r="B88" s="35" t="n">
        <x:v>1</x:v>
      </x:c>
      <x:c r="C88" s="35" t="n">
        <x:v>0.2150000000000002</x:v>
      </x:c>
      <x:c r="D88" s="50" t="n">
        <x:v>0.000004456417993286887</x:v>
      </x:c>
      <x:c r="E88" s="47" t="n">
        <x:f>LN(D88)/LN(10)</x:f>
        <x:v>-5.351014080925839</x:v>
      </x:c>
      <x:c r="F88" s="50" t="n">
        <x:v>0.0013392062411556</x:v>
      </x:c>
      <x:c r="G88" s="98" t="n">
        <x:f>D88/F88</x:f>
        <x:v>0.0033276562312325006</x:v>
      </x:c>
      <x:c r="H88" s="26" t="str">
        <x:f>IF(G88&lt;=1%,"YES","NO")</x:f>
        <x:v>YES</x:v>
      </x:c>
      <x:c r="I88" s="26" t="str">
        <x:v>nominal_vdd</x:v>
      </x:c>
      <x:c r="J88" s="27" t="str">
        <x:v>data/raw/ptm45_hp_vds_1v_raw.txt</x:v>
      </x:c>
    </x:row>
    <x:row r="89">
      <x:c r="A89" s="25" t="str">
        <x:v>HP</x:v>
      </x:c>
      <x:c r="B89" s="35" t="n">
        <x:v>1</x:v>
      </x:c>
      <x:c r="C89" s="35" t="n">
        <x:v>0.2200000000000002</x:v>
      </x:c>
      <x:c r="D89" s="50" t="n">
        <x:v>0.000004984327800015662</x:v>
      </x:c>
      <x:c r="E89" s="47" t="n">
        <x:f>LN(D89)/LN(10)</x:f>
        <x:v>-5.302393403536572</x:v>
      </x:c>
      <x:c r="F89" s="50" t="n">
        <x:v>0.0013392062411556</x:v>
      </x:c>
      <x:c r="G89" s="98" t="n">
        <x:f>D89/F89</x:f>
        <x:v>0.0037218522784919893</x:v>
      </x:c>
      <x:c r="H89" s="26" t="str">
        <x:f>IF(G89&lt;=1%,"YES","NO")</x:f>
        <x:v>YES</x:v>
      </x:c>
      <x:c r="I89" s="26" t="str">
        <x:v>nominal_vdd</x:v>
      </x:c>
      <x:c r="J89" s="27" t="str">
        <x:v>data/raw/ptm45_hp_vds_1v_raw.txt</x:v>
      </x:c>
    </x:row>
    <x:row r="90">
      <x:c r="A90" s="25" t="str">
        <x:v>HP</x:v>
      </x:c>
      <x:c r="B90" s="35" t="n">
        <x:v>1</x:v>
      </x:c>
      <x:c r="C90" s="35" t="n">
        <x:v>0.2250000000000002</x:v>
      </x:c>
      <x:c r="D90" s="50" t="n">
        <x:v>0.000005569311651379144</x:v>
      </x:c>
      <x:c r="E90" s="47" t="n">
        <x:f>LN(D90)/LN(10)</x:f>
        <x:v>-5.254198478880359</x:v>
      </x:c>
      <x:c r="F90" s="50" t="n">
        <x:v>0.0013392062411556</x:v>
      </x:c>
      <x:c r="G90" s="98" t="n">
        <x:f>D90/F90</x:f>
        <x:v>0.004158666141350558</x:v>
      </x:c>
      <x:c r="H90" s="26" t="str">
        <x:f>IF(G90&lt;=1%,"YES","NO")</x:f>
        <x:v>YES</x:v>
      </x:c>
      <x:c r="I90" s="26" t="str">
        <x:v>nominal_vdd</x:v>
      </x:c>
      <x:c r="J90" s="27" t="str">
        <x:v>data/raw/ptm45_hp_vds_1v_raw.txt</x:v>
      </x:c>
    </x:row>
    <x:row r="91">
      <x:c r="A91" s="25" t="str">
        <x:v>HP</x:v>
      </x:c>
      <x:c r="B91" s="35" t="n">
        <x:v>1</x:v>
      </x:c>
      <x:c r="C91" s="35" t="n">
        <x:v>0.2300000000000002</x:v>
      </x:c>
      <x:c r="D91" s="50" t="n">
        <x:v>0.00000621671073040775</x:v>
      </x:c>
      <x:c r="E91" s="47" t="n">
        <x:f>LN(D91)/LN(10)</x:f>
        <x:v>-5.206439340306035</x:v>
      </x:c>
      <x:c r="F91" s="50" t="n">
        <x:v>0.0013392062411556</x:v>
      </x:c>
      <x:c r="G91" s="98" t="n">
        <x:f>D91/F91</x:f>
        <x:v>0.004642086139804244</x:v>
      </x:c>
      <x:c r="H91" s="26" t="str">
        <x:f>IF(G91&lt;=1%,"YES","NO")</x:f>
        <x:v>YES</x:v>
      </x:c>
      <x:c r="I91" s="26" t="str">
        <x:v>nominal_vdd</x:v>
      </x:c>
      <x:c r="J91" s="27" t="str">
        <x:v>data/raw/ptm45_hp_vds_1v_raw.txt</x:v>
      </x:c>
    </x:row>
    <x:row r="92">
      <x:c r="A92" s="25" t="str">
        <x:v>HP</x:v>
      </x:c>
      <x:c r="B92" s="35" t="n">
        <x:v>1</x:v>
      </x:c>
      <x:c r="C92" s="35" t="n">
        <x:v>0.2350000000000002</x:v>
      </x:c>
      <x:c r="D92" s="50" t="n">
        <x:v>0.000006932244372969345</x:v>
      </x:c>
      <x:c r="E92" s="47" t="n">
        <x:f>LN(D92)/LN(10)</x:f>
        <x:v>-5.159126136096397</x:v>
      </x:c>
      <x:c r="F92" s="50" t="n">
        <x:v>0.0013392062411556</x:v>
      </x:c>
      <x:c r="G92" s="98" t="n">
        <x:f>D92/F92</x:f>
        <x:v>0.005176382964723579</x:v>
      </x:c>
      <x:c r="H92" s="26" t="str">
        <x:f>IF(G92&lt;=1%,"YES","NO")</x:f>
        <x:v>YES</x:v>
      </x:c>
      <x:c r="I92" s="26" t="str">
        <x:v>nominal_vdd</x:v>
      </x:c>
      <x:c r="J92" s="27" t="str">
        <x:v>data/raw/ptm45_hp_vds_1v_raw.txt</x:v>
      </x:c>
    </x:row>
    <x:row r="93">
      <x:c r="A93" s="25" t="str">
        <x:v>HP</x:v>
      </x:c>
      <x:c r="B93" s="35" t="n">
        <x:v>1</x:v>
      </x:c>
      <x:c r="C93" s="35" t="n">
        <x:v>0.2400000000000002</x:v>
      </x:c>
      <x:c r="D93" s="50" t="n">
        <x:v>0.000007722017816222098</x:v>
      </x:c>
      <x:c r="E93" s="47" t="n">
        <x:f>LN(D93)/LN(10)</x:f>
        <x:v>-5.112269200707563</x:v>
      </x:c>
      <x:c r="F93" s="50" t="n">
        <x:v>0.0013392062411556</x:v>
      </x:c>
      <x:c r="G93" s="98" t="n">
        <x:f>D93/F93</x:f>
        <x:v>0.005766115463708394</x:v>
      </x:c>
      <x:c r="H93" s="26" t="str">
        <x:f>IF(G93&lt;=1%,"YES","NO")</x:f>
        <x:v>YES</x:v>
      </x:c>
      <x:c r="I93" s="26" t="str">
        <x:v>nominal_vdd</x:v>
      </x:c>
      <x:c r="J93" s="27" t="str">
        <x:v>data/raw/ptm45_hp_vds_1v_raw.txt</x:v>
      </x:c>
    </x:row>
    <x:row r="94">
      <x:c r="A94" s="25" t="str">
        <x:v>HP</x:v>
      </x:c>
      <x:c r="B94" s="35" t="n">
        <x:v>1</x:v>
      </x:c>
      <x:c r="C94" s="35" t="n">
        <x:v>0.2450000000000002</x:v>
      </x:c>
      <x:c r="D94" s="50" t="n">
        <x:v>0.00000859252630490707</x:v>
      </x:c>
      <x:c r="E94" s="47" t="n">
        <x:f>LN(D94)/LN(10)</x:f>
        <x:v>-5.06587912965236</x:v>
      </x:c>
      <x:c r="F94" s="50" t="n">
        <x:v>0.0013392062411556</x:v>
      </x:c>
      <x:c r="G94" s="98" t="n">
        <x:f>D94/F94</x:f>
        <x:v>0.006416133707301563</x:v>
      </x:c>
      <x:c r="H94" s="26" t="str">
        <x:f>IF(G94&lt;=1%,"YES","NO")</x:f>
        <x:v>YES</x:v>
      </x:c>
      <x:c r="I94" s="26" t="str">
        <x:v>nominal_vdd</x:v>
      </x:c>
      <x:c r="J94" s="27" t="str">
        <x:v>data/raw/ptm45_hp_vds_1v_raw.txt</x:v>
      </x:c>
    </x:row>
    <x:row r="95">
      <x:c r="A95" s="25" t="str">
        <x:v>HP</x:v>
      </x:c>
      <x:c r="B95" s="35" t="n">
        <x:v>1</x:v>
      </x:c>
      <x:c r="C95" s="35" t="n">
        <x:v>0.2500000000000002</x:v>
      </x:c>
      <x:c r="D95" s="50" t="n">
        <x:v>0.00000955065473933994</x:v>
      </x:c>
      <x:c r="E95" s="47" t="n">
        <x:f>LN(D95)/LN(10)</x:f>
        <x:v>-5.0199668546010185</x:v>
      </x:c>
      <x:c r="F95" s="50" t="n">
        <x:v>0.0013392062411556</x:v>
      </x:c>
      <x:c r="G95" s="98" t="n">
        <x:f>D95/F95</x:f>
        <x:v>0.0071315787261405595</x:v>
      </x:c>
      <x:c r="H95" s="26" t="str">
        <x:f>IF(G95&lt;=1%,"YES","NO")</x:f>
        <x:v>YES</x:v>
      </x:c>
      <x:c r="I95" s="26" t="str">
        <x:v>nominal_vdd</x:v>
      </x:c>
      <x:c r="J95" s="27" t="str">
        <x:v>data/raw/ptm45_hp_vds_1v_raw.txt</x:v>
      </x:c>
    </x:row>
    <x:row r="96">
      <x:c r="A96" s="25" t="str">
        <x:v>HP</x:v>
      </x:c>
      <x:c r="B96" s="35" t="n">
        <x:v>1</x:v>
      </x:c>
      <x:c r="C96" s="35" t="n">
        <x:v>0.2550000000000002</x:v>
      </x:c>
      <x:c r="D96" s="50" t="n">
        <x:v>0.00001060367199785062</x:v>
      </x:c>
      <x:c r="E96" s="47" t="n">
        <x:f>LN(D96)/LN(10)</x:f>
        <x:v>-4.974543714711736</x:v>
      </x:c>
      <x:c r="F96" s="50" t="n">
        <x:v>0.0013392062411556</x:v>
      </x:c>
      <x:c r="G96" s="98" t="n">
        <x:f>D96/F96</x:f>
        <x:v>0.007917878271460801</x:v>
      </x:c>
      <x:c r="H96" s="26" t="str">
        <x:f>IF(G96&lt;=1%,"YES","NO")</x:f>
        <x:v>YES</x:v>
      </x:c>
      <x:c r="I96" s="26" t="str">
        <x:v>nominal_vdd</x:v>
      </x:c>
      <x:c r="J96" s="27" t="str">
        <x:v>data/raw/ptm45_hp_vds_1v_raw.txt</x:v>
      </x:c>
    </x:row>
    <x:row r="97">
      <x:c r="A97" s="25" t="str">
        <x:v>HP</x:v>
      </x:c>
      <x:c r="B97" s="35" t="n">
        <x:v>1</x:v>
      </x:c>
      <x:c r="C97" s="35" t="n">
        <x:v>0.2600000000000002</x:v>
      </x:c>
      <x:c r="D97" s="50" t="n">
        <x:v>0.00001175921904331462</x:v>
      </x:c>
      <x:c r="E97" s="47" t="n">
        <x:f>LN(D97)/LN(10)</x:f>
        <x:v>-4.9296215197939945</x:v>
      </x:c>
      <x:c r="F97" s="50" t="n">
        <x:v>0.0013392062411556</x:v>
      </x:c>
      <x:c r="G97" s="98" t="n">
        <x:f>D97/F97</x:f>
        <x:v>0.008780737934112074</x:v>
      </x:c>
      <x:c r="H97" s="26" t="str">
        <x:f>IF(G97&lt;=1%,"YES","NO")</x:f>
        <x:v>YES</x:v>
      </x:c>
      <x:c r="I97" s="26" t="str">
        <x:v>nominal_vdd</x:v>
      </x:c>
      <x:c r="J97" s="27" t="str">
        <x:v>data/raw/ptm45_hp_vds_1v_raw.txt</x:v>
      </x:c>
    </x:row>
    <x:row r="98">
      <x:c r="A98" s="25" t="str">
        <x:v>HP</x:v>
      </x:c>
      <x:c r="B98" s="35" t="n">
        <x:v>1</x:v>
      </x:c>
      <x:c r="C98" s="35" t="n">
        <x:v>0.2650000000000002</x:v>
      </x:c>
      <x:c r="D98" s="50" t="n">
        <x:v>0.00001302528993774698</x:v>
      </x:c>
      <x:c r="E98" s="47" t="n">
        <x:f>LN(D98)/LN(10)</x:f>
        <x:v>-4.8852126006992895</x:v>
      </x:c>
      <x:c r="F98" s="50" t="n">
        <x:v>0.0013392062411556</x:v>
      </x:c>
      <x:c r="G98" s="98" t="n">
        <x:f>D98/F98</x:f>
        <x:v>0.009726126967947422</x:v>
      </x:c>
      <x:c r="H98" s="26" t="str">
        <x:f>IF(G98&lt;=1%,"YES","NO")</x:f>
        <x:v>YES</x:v>
      </x:c>
      <x:c r="I98" s="26" t="str">
        <x:v>nominal_vdd</x:v>
      </x:c>
      <x:c r="J98" s="27" t="str">
        <x:v>data/raw/ptm45_hp_vds_1v_raw.txt</x:v>
      </x:c>
    </x:row>
    <x:row r="99">
      <x:c r="A99" s="25" t="str">
        <x:v>HP</x:v>
      </x:c>
      <x:c r="B99" s="35" t="n">
        <x:v>1</x:v>
      </x:c>
      <x:c r="C99" s="35" t="n">
        <x:v>0.2700000000000002</x:v>
      </x:c>
      <x:c r="D99" s="50" t="n">
        <x:v>0.00001441020494954635</x:v>
      </x:c>
      <x:c r="E99" s="47" t="n">
        <x:f>LN(D99)/LN(10)</x:f>
        <x:v>-4.841329842376567</x:v>
      </x:c>
      <x:c r="F99" s="50" t="n">
        <x:v>0.0013392062411556</x:v>
      </x:c>
      <x:c r="G99" s="98" t="n">
        <x:f>D99/F99</x:f>
        <x:v>0.01076025820870712</x:v>
      </x:c>
      <x:c r="H99" s="26" t="str">
        <x:f>IF(G99&lt;=1%,"YES","NO")</x:f>
        <x:v>NO</x:v>
      </x:c>
      <x:c r="I99" s="26" t="str">
        <x:v>nominal_vdd</x:v>
      </x:c>
      <x:c r="J99" s="27" t="str">
        <x:v>data/raw/ptm45_hp_vds_1v_raw.txt</x:v>
      </x:c>
    </x:row>
    <x:row r="100">
      <x:c r="A100" s="25" t="str">
        <x:v>HP</x:v>
      </x:c>
      <x:c r="B100" s="35" t="n">
        <x:v>1</x:v>
      </x:c>
      <x:c r="C100" s="35" t="n">
        <x:v>0.2750000000000002</x:v>
      </x:c>
      <x:c r="D100" s="50" t="n">
        <x:v>0.00001592257505249413</x:v>
      </x:c>
      <x:c r="E100" s="47" t="n">
        <x:f>LN(D100)/LN(10)</x:f>
        <x:v>-4.797986695351251</x:v>
      </x:c>
      <x:c r="F100" s="50" t="n">
        <x:v>0.0013392062411556</x:v>
      </x:c>
      <x:c r="G100" s="98" t="n">
        <x:f>D100/F100</x:f>
        <x:v>0.01188956156503165</x:v>
      </x:c>
      <x:c r="H100" s="26" t="str">
        <x:f>IF(G100&lt;=1%,"YES","NO")</x:f>
        <x:v>NO</x:v>
      </x:c>
      <x:c r="I100" s="26" t="str">
        <x:v>nominal_vdd</x:v>
      </x:c>
      <x:c r="J100" s="27" t="str">
        <x:v>data/raw/ptm45_hp_vds_1v_raw.txt</x:v>
      </x:c>
    </x:row>
    <x:row r="101">
      <x:c r="A101" s="25" t="str">
        <x:v>HP</x:v>
      </x:c>
      <x:c r="B101" s="35" t="n">
        <x:v>1</x:v>
      </x:c>
      <x:c r="C101" s="35" t="n">
        <x:v>0.2800000000000002</x:v>
      </x:c>
      <x:c r="D101" s="50" t="n">
        <x:v>0.00001757125728902393</x:v>
      </x:c>
      <x:c r="E101" s="47" t="n">
        <x:f>LN(D101)/LN(10)</x:f>
        <x:v>-4.755197162002177</x:v>
      </x:c>
      <x:c r="F101" s="50" t="n">
        <x:v>0.0013392062411556</x:v>
      </x:c>
      <x:c r="G101" s="98" t="n">
        <x:f>D101/F101</x:f>
        <x:v>0.01312065068772507</x:v>
      </x:c>
      <x:c r="H101" s="26" t="str">
        <x:f>IF(G101&lt;=1%,"YES","NO")</x:f>
        <x:v>NO</x:v>
      </x:c>
      <x:c r="I101" s="26" t="str">
        <x:v>nominal_vdd</x:v>
      </x:c>
      <x:c r="J101" s="27" t="str">
        <x:v>data/raw/ptm45_hp_vds_1v_raw.txt</x:v>
      </x:c>
    </x:row>
    <x:row r="102">
      <x:c r="A102" s="25" t="str">
        <x:v>HP</x:v>
      </x:c>
      <x:c r="B102" s="35" t="n">
        <x:v>1</x:v>
      </x:c>
      <x:c r="C102" s="35" t="n">
        <x:v>0.2850000000000003</x:v>
      </x:c>
      <x:c r="D102" s="50" t="n">
        <x:v>0.00001936530070408136</x:v>
      </x:c>
      <x:c r="E102" s="47" t="n">
        <x:f>LN(D102)/LN(10)</x:f>
        <x:v>-4.712975754907731</x:v>
      </x:c>
      <x:c r="F102" s="50" t="n">
        <x:v>0.0013392062411556</x:v>
      </x:c>
      <x:c r="G102" s="98" t="n">
        <x:f>D102/F102</x:f>
        <x:v>0.014460282597974647</x:v>
      </x:c>
      <x:c r="H102" s="26" t="str">
        <x:f>IF(G102&lt;=1%,"YES","NO")</x:f>
        <x:v>NO</x:v>
      </x:c>
      <x:c r="I102" s="26" t="str">
        <x:v>nominal_vdd</x:v>
      </x:c>
      <x:c r="J102" s="27" t="str">
        <x:v>data/raw/ptm45_hp_vds_1v_raw.txt</x:v>
      </x:c>
    </x:row>
    <x:row r="103">
      <x:c r="A103" s="25" t="str">
        <x:v>HP</x:v>
      </x:c>
      <x:c r="B103" s="35" t="n">
        <x:v>1</x:v>
      </x:c>
      <x:c r="C103" s="35" t="n">
        <x:v>0.2900000000000003</x:v>
      </x:c>
      <x:c r="D103" s="50" t="n">
        <x:v>0.00002131388284702994</x:v>
      </x:c>
      <x:c r="E103" s="47" t="n">
        <x:f>LN(D103)/LN(10)</x:f>
        <x:v>-4.671337425676249</x:v>
      </x:c>
      <x:c r="F103" s="50" t="n">
        <x:v>0.0013392062411556</x:v>
      </x:c>
      <x:c r="G103" s="98" t="n">
        <x:f>D103/F103</x:f>
        <x:v>0.01591531027262702</x:v>
      </x:c>
      <x:c r="H103" s="26" t="str">
        <x:f>IF(G103&lt;=1%,"YES","NO")</x:f>
        <x:v>NO</x:v>
      </x:c>
      <x:c r="I103" s="26" t="str">
        <x:v>nominal_vdd</x:v>
      </x:c>
      <x:c r="J103" s="27" t="str">
        <x:v>data/raw/ptm45_hp_vds_1v_raw.txt</x:v>
      </x:c>
    </x:row>
    <x:row r="104">
      <x:c r="A104" s="25" t="str">
        <x:v>HP</x:v>
      </x:c>
      <x:c r="B104" s="35" t="n">
        <x:v>1</x:v>
      </x:c>
      <x:c r="C104" s="35" t="n">
        <x:v>0.2950000000000003</x:v>
      </x:c>
      <x:c r="D104" s="50" t="n">
        <x:v>0.00002342623717936441</x:v>
      </x:c>
      <x:c r="E104" s="47" t="n">
        <x:f>LN(D104)/LN(10)</x:f>
        <x:v>-4.630297464005478</x:v>
      </x:c>
      <x:c r="F104" s="50" t="n">
        <x:v>0.0013392062411556</x:v>
      </x:c>
      <x:c r="G104" s="98" t="n">
        <x:f>D104/F104</x:f>
        <x:v>0.01749262843873094</x:v>
      </x:c>
      <x:c r="H104" s="26" t="str">
        <x:f>IF(G104&lt;=1%,"YES","NO")</x:f>
        <x:v>NO</x:v>
      </x:c>
      <x:c r="I104" s="26" t="str">
        <x:v>nominal_vdd</x:v>
      </x:c>
      <x:c r="J104" s="27" t="str">
        <x:v>data/raw/ptm45_hp_vds_1v_raw.txt</x:v>
      </x:c>
    </x:row>
    <x:row r="105">
      <x:c r="A105" s="25" t="str">
        <x:v>HP</x:v>
      </x:c>
      <x:c r="B105" s="35" t="n">
        <x:v>1</x:v>
      </x:c>
      <x:c r="C105" s="35" t="n">
        <x:v>0.3000000000000003</x:v>
      </x:c>
      <x:c r="D105" s="50" t="n">
        <x:v>0.00002571157210198044</x:v>
      </x:c>
      <x:c r="E105" s="47" t="n">
        <x:f>LN(D105)/LN(10)</x:f>
        <x:v>-4.5898713681513215</x:v>
      </x:c>
      <x:c r="F105" s="50" t="n">
        <x:v>0.0013392062411556</x:v>
      </x:c>
      <x:c r="G105" s="98" t="n">
        <x:f>D105/F105</x:f>
        <x:v>0.019199113110310737</x:v>
      </x:c>
      <x:c r="H105" s="26" t="str">
        <x:f>IF(G105&lt;=1%,"YES","NO")</x:f>
        <x:v>NO</x:v>
      </x:c>
      <x:c r="I105" s="26" t="str">
        <x:v>nominal_vdd</x:v>
      </x:c>
      <x:c r="J105" s="27" t="str">
        <x:v>data/raw/ptm45_hp_vds_1v_raw.txt</x:v>
      </x:c>
    </x:row>
    <x:row r="106">
      <x:c r="A106" s="25" t="str">
        <x:v>HP</x:v>
      </x:c>
      <x:c r="B106" s="35" t="n">
        <x:v>1</x:v>
      </x:c>
      <x:c r="C106" s="35" t="n">
        <x:v>0.3050000000000003</x:v>
      </x:c>
      <x:c r="D106" s="50" t="n">
        <x:v>0.00002817898270898211</x:v>
      </x:c>
      <x:c r="E106" s="47" t="n">
        <x:f>LN(D106)/LN(10)</x:f>
        <x:v>-4.550074689432846</x:v>
      </x:c>
      <x:c r="F106" s="50" t="n">
        <x:v>0.0013392062411556</x:v>
      </x:c>
      <x:c r="G106" s="98" t="n">
        <x:f>D106/F106</x:f>
        <x:v>0.02104155569396577</x:v>
      </x:c>
      <x:c r="H106" s="26" t="str">
        <x:f>IF(G106&lt;=1%,"YES","NO")</x:f>
        <x:v>NO</x:v>
      </x:c>
      <x:c r="I106" s="26" t="str">
        <x:v>nominal_vdd</x:v>
      </x:c>
      <x:c r="J106" s="27" t="str">
        <x:v>data/raw/ptm45_hp_vds_1v_raw.txt</x:v>
      </x:c>
    </x:row>
    <x:row r="107">
      <x:c r="A107" s="25" t="str">
        <x:v>HP</x:v>
      </x:c>
      <x:c r="B107" s="35" t="n">
        <x:v>1</x:v>
      </x:c>
      <x:c r="C107" s="35" t="n">
        <x:v>0.3100000000000003</x:v>
      </x:c>
      <x:c r="D107" s="50" t="n">
        <x:v>0.00003083735676314168</x:v>
      </x:c>
      <x:c r="E107" s="47" t="n">
        <x:f>LN(D107)/LN(10)</x:f>
        <x:v>-4.510922854757875</x:v>
      </x:c>
      <x:c r="F107" s="50" t="n">
        <x:v>0.0013392062411556</x:v>
      </x:c>
      <x:c r="G107" s="98" t="n">
        <x:f>D107/F107</x:f>
        <x:v>0.023026592779714163</x:v>
      </x:c>
      <x:c r="H107" s="26" t="str">
        <x:f>IF(G107&lt;=1%,"YES","NO")</x:f>
        <x:v>NO</x:v>
      </x:c>
      <x:c r="I107" s="26" t="str">
        <x:v>nominal_vdd</x:v>
      </x:c>
      <x:c r="J107" s="27" t="str">
        <x:v>data/raw/ptm45_hp_vds_1v_raw.txt</x:v>
      </x:c>
    </x:row>
    <x:row r="108">
      <x:c r="A108" s="25" t="str">
        <x:v>HP</x:v>
      </x:c>
      <x:c r="B108" s="35" t="n">
        <x:v>1</x:v>
      </x:c>
      <x:c r="C108" s="35" t="n">
        <x:v>0.3150000000000003</x:v>
      </x:c>
      <x:c r="D108" s="50" t="n">
        <x:v>0.00003369527674635232</x:v>
      </x:c>
      <x:c r="E108" s="47" t="n">
        <x:f>LN(D108)/LN(10)</x:f>
        <x:v>-4.472430972326256</x:v>
      </x:c>
      <x:c r="F108" s="50" t="n">
        <x:v>0.0013392062411556</x:v>
      </x:c>
      <x:c r="G108" s="98" t="n">
        <x:f>D108/F108</x:f>
        <x:v>0.025160633000990716</x:v>
      </x:c>
      <x:c r="H108" s="26" t="str">
        <x:f>IF(G108&lt;=1%,"YES","NO")</x:f>
        <x:v>NO</x:v>
      </x:c>
      <x:c r="I108" s="26" t="str">
        <x:v>nominal_vdd</x:v>
      </x:c>
      <x:c r="J108" s="27" t="str">
        <x:v>data/raw/ptm45_hp_vds_1v_raw.txt</x:v>
      </x:c>
    </x:row>
    <x:row r="109">
      <x:c r="A109" s="25" t="str">
        <x:v>HP</x:v>
      </x:c>
      <x:c r="B109" s="35" t="n">
        <x:v>1</x:v>
      </x:c>
      <x:c r="C109" s="35" t="n">
        <x:v>0.3200000000000003</x:v>
      </x:c>
      <x:c r="D109" s="50" t="n">
        <x:v>0.00003676092014167665</x:v>
      </x:c>
      <x:c r="E109" s="47" t="n">
        <x:f>LN(D109)/LN(10)</x:f>
        <x:v>-4.434613626571795</x:v>
      </x:c>
      <x:c r="F109" s="50" t="n">
        <x:v>0.0013392062411556</x:v>
      </x:c>
      <x:c r="G109" s="98" t="n">
        <x:f>D109/F109</x:f>
        <x:v>0.027449782574158022</x:v>
      </x:c>
      <x:c r="H109" s="26" t="str">
        <x:f>IF(G109&lt;=1%,"YES","NO")</x:f>
        <x:v>NO</x:v>
      </x:c>
      <x:c r="I109" s="26" t="str">
        <x:v>nominal_vdd</x:v>
      </x:c>
      <x:c r="J109" s="27" t="str">
        <x:v>data/raw/ptm45_hp_vds_1v_raw.txt</x:v>
      </x:c>
    </x:row>
    <x:row r="110">
      <x:c r="A110" s="25" t="str">
        <x:v>HP</x:v>
      </x:c>
      <x:c r="B110" s="35" t="n">
        <x:v>1</x:v>
      </x:c>
      <x:c r="C110" s="35" t="n">
        <x:v>0.3250000000000003</x:v>
      </x:c>
      <x:c r="D110" s="50" t="n">
        <x:v>0.00004004196032855737</x:v>
      </x:c>
      <x:c r="E110" s="47" t="n">
        <x:f>LN(D110)/LN(10)</x:f>
        <x:v>-4.39748466897906</x:v>
      </x:c>
      <x:c r="F110" s="50" t="n">
        <x:v>0.0013392062411556</x:v>
      </x:c>
      <x:c r="G110" s="98" t="n">
        <x:f>D110/F110</x:f>
        <x:v>0.029899771295872395</x:v>
      </x:c>
      <x:c r="H110" s="26" t="str">
        <x:f>IF(G110&lt;=1%,"YES","NO")</x:f>
        <x:v>NO</x:v>
      </x:c>
      <x:c r="I110" s="26" t="str">
        <x:v>nominal_vdd</x:v>
      </x:c>
      <x:c r="J110" s="27" t="str">
        <x:v>data/raw/ptm45_hp_vds_1v_raw.txt</x:v>
      </x:c>
    </x:row>
    <x:row r="111">
      <x:c r="A111" s="25" t="str">
        <x:v>HP</x:v>
      </x:c>
      <x:c r="B111" s="35" t="n">
        <x:v>1</x:v>
      </x:c>
      <x:c r="C111" s="35" t="n">
        <x:v>0.3300000000000003</x:v>
      </x:c>
      <x:c r="D111" s="50" t="n">
        <x:v>0.00004354547060036462</x:v>
      </x:c>
      <x:c r="E111" s="47" t="n">
        <x:f>LN(D111)/LN(10)</x:f>
        <x:v>-4.3610570116222975</x:v>
      </x:c>
      <x:c r="F111" s="50" t="n">
        <x:v>0.0013392062411556</x:v>
      </x:c>
      <x:c r="G111" s="98" t="n">
        <x:f>D111/F111</x:f>
        <x:v>0.03251588087193297</x:v>
      </x:c>
      <x:c r="H111" s="26" t="str">
        <x:f>IF(G111&lt;=1%,"YES","NO")</x:f>
        <x:v>NO</x:v>
      </x:c>
      <x:c r="I111" s="26" t="str">
        <x:v>nominal_vdd</x:v>
      </x:c>
      <x:c r="J111" s="27" t="str">
        <x:v>data/raw/ptm45_hp_vds_1v_raw.txt</x:v>
      </x:c>
    </x:row>
    <x:row r="112">
      <x:c r="A112" s="25" t="str">
        <x:v>HP</x:v>
      </x:c>
      <x:c r="B112" s="35" t="n">
        <x:v>1</x:v>
      </x:c>
      <x:c r="C112" s="35" t="n">
        <x:v>0.3350000000000003</x:v>
      </x:c>
      <x:c r="D112" s="50" t="n">
        <x:v>0.00004727783383069106</x:v>
      </x:c>
      <x:c r="E112" s="47" t="n">
        <x:f>LN(D112)/LN(10)</x:f>
        <x:v>-4.325342430115995</x:v>
      </x:c>
      <x:c r="F112" s="50" t="n">
        <x:v>0.0013392062411556</x:v>
      </x:c>
      <x:c r="G112" s="98" t="n">
        <x:f>D112/F112</x:f>
        <x:v>0.03530287746411266</x:v>
      </x:c>
      <x:c r="H112" s="26" t="str">
        <x:f>IF(G112&lt;=1%,"YES","NO")</x:f>
        <x:v>NO</x:v>
      </x:c>
      <x:c r="I112" s="26" t="str">
        <x:v>nominal_vdd</x:v>
      </x:c>
      <x:c r="J112" s="27" t="str">
        <x:v>data/raw/ptm45_hp_vds_1v_raw.txt</x:v>
      </x:c>
    </x:row>
    <x:row r="113">
      <x:c r="A113" s="25" t="str">
        <x:v>HP</x:v>
      </x:c>
      <x:c r="B113" s="35" t="n">
        <x:v>1</x:v>
      </x:c>
      <x:c r="C113" s="35" t="n">
        <x:v>0.3400000000000003</x:v>
      </x:c>
      <x:c r="D113" s="50" t="n">
        <x:v>0.00005124466021618722</x:v>
      </x:c>
      <x:c r="E113" s="47" t="n">
        <x:f>LN(D113)/LN(10)</x:f>
        <x:v>-4.290351382164192</x:v>
      </x:c>
      <x:c r="F113" s="50" t="n">
        <x:v>0.0013392062411556</x:v>
      </x:c>
      <x:c r="G113" s="98" t="n">
        <x:f>D113/F113</x:f>
        <x:v>0.03826495026783048</x:v>
      </x:c>
      <x:c r="H113" s="26" t="str">
        <x:f>IF(G113&lt;=1%,"YES","NO")</x:f>
        <x:v>NO</x:v>
      </x:c>
      <x:c r="I113" s="26" t="str">
        <x:v>nominal_vdd</x:v>
      </x:c>
      <x:c r="J113" s="27" t="str">
        <x:v>data/raw/ptm45_hp_vds_1v_raw.txt</x:v>
      </x:c>
    </x:row>
    <x:row r="114">
      <x:c r="A114" s="25" t="str">
        <x:v>HP</x:v>
      </x:c>
      <x:c r="B114" s="35" t="n">
        <x:v>1</x:v>
      </x:c>
      <x:c r="C114" s="35" t="n">
        <x:v>0.3450000000000003</x:v>
      </x:c>
      <x:c r="D114" s="50" t="n">
        <x:v>0.00005545071531203118</x:v>
      </x:c>
      <x:c r="E114" s="47" t="n">
        <x:f>LN(D114)/LN(10)</x:f>
        <x:v>-4.2560928470970705</x:v>
      </x:c>
      <x:c r="F114" s="50" t="n">
        <x:v>0.0013392062411556</x:v>
      </x:c>
      <x:c r="G114" s="98" t="n">
        <x:f>D114/F114</x:f>
        <x:v>0.04140565777544675</x:v>
      </x:c>
      <x:c r="H114" s="26" t="str">
        <x:f>IF(G114&lt;=1%,"YES","NO")</x:f>
        <x:v>NO</x:v>
      </x:c>
      <x:c r="I114" s="26" t="str">
        <x:v>nominal_vdd</x:v>
      </x:c>
      <x:c r="J114" s="27" t="str">
        <x:v>data/raw/ptm45_hp_vds_1v_raw.txt</x:v>
      </x:c>
    </x:row>
    <x:row r="115">
      <x:c r="A115" s="25" t="str">
        <x:v>HP</x:v>
      </x:c>
      <x:c r="B115" s="35" t="n">
        <x:v>1</x:v>
      </x:c>
      <x:c r="C115" s="35" t="n">
        <x:v>0.3500000000000003</x:v>
      </x:c>
      <x:c r="D115" s="50" t="n">
        <x:v>0.00005989985871927532</x:v>
      </x:c>
      <x:c r="E115" s="47" t="n">
        <x:f>LN(D115)/LN(10)</x:f>
        <x:v>-4.2225742019431</x:v>
      </x:c>
      <x:c r="F115" s="50" t="n">
        <x:v>0.0013392062411556</x:v>
      </x:c>
      <x:c r="G115" s="98" t="n">
        <x:f>D115/F115</x:f>
        <x:v>0.04472788199343201</x:v>
      </x:c>
      <x:c r="H115" s="26" t="str">
        <x:f>IF(G115&lt;=1%,"YES","NO")</x:f>
        <x:v>NO</x:v>
      </x:c>
      <x:c r="I115" s="26" t="str">
        <x:v>nominal_vdd</x:v>
      </x:c>
      <x:c r="J115" s="27" t="str">
        <x:v>data/raw/ptm45_hp_vds_1v_raw.txt</x:v>
      </x:c>
    </x:row>
    <x:row r="116">
      <x:c r="A116" s="25" t="str">
        <x:v>HP</x:v>
      </x:c>
      <x:c r="B116" s="35" t="n">
        <x:v>1</x:v>
      </x:c>
      <x:c r="C116" s="35" t="n">
        <x:v>0.3550000000000003</x:v>
      </x:c>
      <x:c r="D116" s="50" t="n">
        <x:v>0.00006459499292622616</x:v>
      </x:c>
      <x:c r="E116" s="47" t="n">
        <x:f>LN(D116)/LN(10)</x:f>
        <x:v>-4.189801144989252</x:v>
      </x:c>
      <x:c r="F116" s="50" t="n">
        <x:v>0.0013392062411556</x:v>
      </x:c>
      <x:c r="G116" s="98" t="n">
        <x:f>D116/F116</x:f>
        <x:v>0.04823379024166374</x:v>
      </x:c>
      <x:c r="H116" s="26" t="str">
        <x:f>IF(G116&lt;=1%,"YES","NO")</x:f>
        <x:v>NO</x:v>
      </x:c>
      <x:c r="I116" s="26" t="str">
        <x:v>nominal_vdd</x:v>
      </x:c>
      <x:c r="J116" s="27" t="str">
        <x:v>data/raw/ptm45_hp_vds_1v_raw.txt</x:v>
      </x:c>
    </x:row>
    <x:row r="117">
      <x:c r="A117" s="25" t="str">
        <x:v>HP</x:v>
      </x:c>
      <x:c r="B117" s="35" t="n">
        <x:v>1</x:v>
      </x:c>
      <x:c r="C117" s="35" t="n">
        <x:v>0.3600000000000003</x:v>
      </x:c>
      <x:c r="D117" s="50" t="n">
        <x:v>0.00006953804419494139</x:v>
      </x:c>
      <x:c r="E117" s="47" t="n">
        <x:f>LN(D117)/LN(10)</x:f>
        <x:v>-4.157777528310358</x:v>
      </x:c>
      <x:c r="F117" s="50" t="n">
        <x:v>0.0013392062411556</x:v>
      </x:c>
      <x:c r="G117" s="98" t="n">
        <x:f>D117/F117</x:f>
        <x:v>0.05192482088116396</x:v>
      </x:c>
      <x:c r="H117" s="26" t="str">
        <x:f>IF(G117&lt;=1%,"YES","NO")</x:f>
        <x:v>NO</x:v>
      </x:c>
      <x:c r="I117" s="26" t="str">
        <x:v>nominal_vdd</x:v>
      </x:c>
      <x:c r="J117" s="27" t="str">
        <x:v>data/raw/ptm45_hp_vds_1v_raw.txt</x:v>
      </x:c>
    </x:row>
    <x:row r="118">
      <x:c r="A118" s="25" t="str">
        <x:v>HP</x:v>
      </x:c>
      <x:c r="B118" s="35" t="n">
        <x:v>1</x:v>
      </x:c>
      <x:c r="C118" s="35" t="n">
        <x:v>0.3650000000000003</x:v>
      </x:c>
      <x:c r="D118" s="50" t="n">
        <x:v>0.00007472994188711403</x:v>
      </x:c>
      <x:c r="E118" s="47" t="n">
        <x:f>LN(D118)/LN(10)</x:f>
        <x:v>-4.1265053554678435</x:v>
      </x:c>
      <x:c r="F118" s="50" t="n">
        <x:v>0.0013392062411556</x:v>
      </x:c>
      <x:c r="G118" s="98" t="n">
        <x:f>D118/F118</x:f>
        <x:v>0.05580166787650992</x:v>
      </x:c>
      <x:c r="H118" s="26" t="str">
        <x:f>IF(G118&lt;=1%,"YES","NO")</x:f>
        <x:v>NO</x:v>
      </x:c>
      <x:c r="I118" s="26" t="str">
        <x:v>nominal_vdd</x:v>
      </x:c>
      <x:c r="J118" s="27" t="str">
        <x:v>data/raw/ptm45_hp_vds_1v_raw.txt</x:v>
      </x:c>
    </x:row>
    <x:row r="119">
      <x:c r="A119" s="25" t="str">
        <x:v>HP</x:v>
      </x:c>
      <x:c r="B119" s="35" t="n">
        <x:v>1</x:v>
      </x:c>
      <x:c r="C119" s="35" t="n">
        <x:v>0.3700000000000003</x:v>
      </x:c>
      <x:c r="D119" s="50" t="n">
        <x:v>0.00008017061685238506</x:v>
      </x:c>
      <x:c r="E119" s="47" t="n">
        <x:f>LN(D119)/LN(10)</x:f>
        <x:v>-4.095984774821517</x:v>
      </x:c>
      <x:c r="F119" s="50" t="n">
        <x:v>0.0013392062411556</x:v>
      </x:c>
      <x:c r="G119" s="98" t="n">
        <x:f>D119/F119</x:f>
        <x:v>0.05986427959236951</x:v>
      </x:c>
      <x:c r="H119" s="26" t="str">
        <x:f>IF(G119&lt;=1%,"YES","NO")</x:f>
        <x:v>NO</x:v>
      </x:c>
      <x:c r="I119" s="26" t="str">
        <x:v>nominal_vdd</x:v>
      </x:c>
      <x:c r="J119" s="27" t="str">
        <x:v>data/raw/ptm45_hp_vds_1v_raw.txt</x:v>
      </x:c>
    </x:row>
    <x:row r="120">
      <x:c r="A120" s="25" t="str">
        <x:v>HP</x:v>
      </x:c>
      <x:c r="B120" s="35" t="n">
        <x:v>1</x:v>
      </x:c>
      <x:c r="C120" s="35" t="n">
        <x:v>0.3750000000000003</x:v>
      </x:c>
      <x:c r="D120" s="50" t="n">
        <x:v>0.0000858590156844166</x:v>
      </x:c>
      <x:c r="E120" s="47" t="n">
        <x:f>LN(D120)/LN(10)</x:f>
        <x:v>-4.066214094720739</x:v>
      </x:c>
      <x:c r="F120" s="50" t="n">
        <x:v>0.0013392062411556</x:v>
      </x:c>
      <x:c r="G120" s="98" t="n">
        <x:f>D120/F120</x:f>
        <x:v>0.06411186943866758</x:v>
      </x:c>
      <x:c r="H120" s="26" t="str">
        <x:f>IF(G120&lt;=1%,"YES","NO")</x:f>
        <x:v>NO</x:v>
      </x:c>
      <x:c r="I120" s="26" t="str">
        <x:v>nominal_vdd</x:v>
      </x:c>
      <x:c r="J120" s="27" t="str">
        <x:v>data/raw/ptm45_hp_vds_1v_raw.txt</x:v>
      </x:c>
    </x:row>
    <x:row r="121">
      <x:c r="A121" s="25" t="str">
        <x:v>HP</x:v>
      </x:c>
      <x:c r="B121" s="35" t="n">
        <x:v>1</x:v>
      </x:c>
      <x:c r="C121" s="35" t="n">
        <x:v>0.3800000000000003</x:v>
      </x:c>
      <x:c r="D121" s="50" t="n">
        <x:v>0.00009179312903434036</x:v>
      </x:c>
      <x:c r="E121" s="47" t="n">
        <x:f>LN(D121)/LN(10)</x:f>
        <x:v>-4.037189825706705</x:v>
      </x:c>
      <x:c r="F121" s="50" t="n">
        <x:v>0.0013392062411556</x:v>
      </x:c>
      <x:c r="G121" s="98" t="n">
        <x:f>D121/F121</x:f>
        <x:v>0.06854293701254868</x:v>
      </x:c>
      <x:c r="H121" s="26" t="str">
        <x:f>IF(G121&lt;=1%,"YES","NO")</x:f>
        <x:v>NO</x:v>
      </x:c>
      <x:c r="I121" s="26" t="str">
        <x:v>nominal_vdd</x:v>
      </x:c>
      <x:c r="J121" s="27" t="str">
        <x:v>data/raw/ptm45_hp_vds_1v_raw.txt</x:v>
      </x:c>
    </x:row>
    <x:row r="122">
      <x:c r="A122" s="25" t="str">
        <x:v>HP</x:v>
      </x:c>
      <x:c r="B122" s="35" t="n">
        <x:v>1</x:v>
      </x:c>
      <x:c r="C122" s="35" t="n">
        <x:v>0.3850000000000003</x:v>
      </x:c>
      <x:c r="D122" s="50" t="n">
        <x:v>0.00009797003274654929</x:v>
      </x:c>
      <x:c r="E122" s="47" t="n">
        <x:f>LN(D122)/LN(10)</x:f>
        <x:v>-4.008906746787866</x:v>
      </x:c>
      <x:c r="F122" s="50" t="n">
        <x:v>0.0013392062411556</x:v>
      </x:c>
      <x:c r="G122" s="98" t="n">
        <x:f>D122/F122</x:f>
        <x:v>0.07315529881492415</x:v>
      </x:c>
      <x:c r="H122" s="26" t="str">
        <x:f>IF(G122&lt;=1%,"YES","NO")</x:f>
        <x:v>NO</x:v>
      </x:c>
      <x:c r="I122" s="26" t="str">
        <x:v>nominal_vdd</x:v>
      </x:c>
      <x:c r="J122" s="27" t="str">
        <x:v>data/raw/ptm45_hp_vds_1v_raw.txt</x:v>
      </x:c>
    </x:row>
    <x:row r="123">
      <x:c r="A123" s="25" t="str">
        <x:v>HP</x:v>
      </x:c>
      <x:c r="B123" s="35" t="n">
        <x:v>1</x:v>
      </x:c>
      <x:c r="C123" s="35" t="n">
        <x:v>0.3900000000000003</x:v>
      </x:c>
      <x:c r="D123" s="50" t="n">
        <x:v>0.0001043859402847</x:v>
      </x:c>
      <x:c r="E123" s="47" t="n">
        <x:f>LN(D123)/LN(10)</x:f>
        <x:v>-3.9813579924062186</x:v>
      </x:c>
      <x:c r="F123" s="50" t="n">
        <x:v>0.0013392062411556</x:v>
      </x:c>
      <x:c r="G123" s="98" t="n">
        <x:f>D123/F123</x:f>
        <x:v>0.07794612739754368</x:v>
      </x:c>
      <x:c r="H123" s="26" t="str">
        <x:f>IF(G123&lt;=1%,"YES","NO")</x:f>
        <x:v>NO</x:v>
      </x:c>
      <x:c r="I123" s="26" t="str">
        <x:v>nominal_vdd</x:v>
      </x:c>
      <x:c r="J123" s="27" t="str">
        <x:v>data/raw/ptm45_hp_vds_1v_raw.txt</x:v>
      </x:c>
    </x:row>
    <x:row r="124">
      <x:c r="A124" s="25" t="str">
        <x:v>HP</x:v>
      </x:c>
      <x:c r="B124" s="35" t="n">
        <x:v>1</x:v>
      </x:c>
      <x:c r="C124" s="35" t="n">
        <x:v>0.3950000000000004</x:v>
      </x:c>
      <x:c r="D124" s="50" t="n">
        <x:v>0.0001110362647021</x:v>
      </x:c>
      <x:c r="E124" s="47" t="n">
        <x:f>LN(D124)/LN(10)</x:f>
        <x:v>-3.9545351564583116</x:v>
      </x:c>
      <x:c r="F124" s="50" t="n">
        <x:v>0.0013392062411556</x:v>
      </x:c>
      <x:c r="G124" s="98" t="n">
        <x:f>D124/F124</x:f>
        <x:v>0.0829119976369636</x:v>
      </x:c>
      <x:c r="H124" s="26" t="str">
        <x:f>IF(G124&lt;=1%,"YES","NO")</x:f>
        <x:v>NO</x:v>
      </x:c>
      <x:c r="I124" s="26" t="str">
        <x:v>nominal_vdd</x:v>
      </x:c>
      <x:c r="J124" s="27" t="str">
        <x:v>data/raw/ptm45_hp_vds_1v_raw.txt</x:v>
      </x:c>
    </x:row>
    <x:row r="125">
      <x:c r="A125" s="25" t="str">
        <x:v>HP</x:v>
      </x:c>
      <x:c r="B125" s="35" t="n">
        <x:v>1</x:v>
      </x:c>
      <x:c r="C125" s="35" t="n">
        <x:v>0.4000000000000004</x:v>
      </x:c>
      <x:c r="D125" s="50" t="n">
        <x:v>0.000117802082192</x:v>
      </x:c>
      <x:c r="E125" s="47" t="n">
        <x:f>LN(D125)/LN(10)</x:f>
        <x:v>-3.928847033177915</x:v>
      </x:c>
      <x:c r="F125" s="50" t="n">
        <x:v>0.0013392062411556</x:v>
      </x:c>
      <x:c r="G125" s="98" t="n">
        <x:f>D125/F125</x:f>
        <x:v>0.08796410782132308</x:v>
      </x:c>
      <x:c r="H125" s="26" t="str">
        <x:f>IF(G125&lt;=1%,"YES","NO")</x:f>
        <x:v>NO</x:v>
      </x:c>
      <x:c r="I125" s="26" t="str">
        <x:v>nominal_vdd</x:v>
      </x:c>
      <x:c r="J125" s="27" t="str">
        <x:v>data/raw/ptm45_hp_vds_1v_raw.txt</x:v>
      </x:c>
    </x:row>
    <x:row r="126">
      <x:c r="A126" s="25" t="str">
        <x:v>HP</x:v>
      </x:c>
      <x:c r="B126" s="35" t="n">
        <x:v>1</x:v>
      </x:c>
      <x:c r="C126" s="35" t="n">
        <x:v>0.4050000000000004</x:v>
      </x:c>
      <x:c r="D126" s="50" t="n">
        <x:v>0.0001249077210989</x:v>
      </x:c>
      <x:c r="E126" s="47" t="n">
        <x:f>LN(D126)/LN(10)</x:f>
        <x:v>-3.903410715132627</x:v>
      </x:c>
      <x:c r="F126" s="50" t="n">
        <x:v>0.0013392062411556</x:v>
      </x:c>
      <x:c r="G126" s="98" t="n">
        <x:f>D126/F126</x:f>
        <x:v>0.09326996638778895</x:v>
      </x:c>
      <x:c r="H126" s="26" t="str">
        <x:f>IF(G126&lt;=1%,"YES","NO")</x:f>
        <x:v>NO</x:v>
      </x:c>
      <x:c r="I126" s="26" t="str">
        <x:v>nominal_vdd</x:v>
      </x:c>
      <x:c r="J126" s="27" t="str">
        <x:v>data/raw/ptm45_hp_vds_1v_raw.txt</x:v>
      </x:c>
    </x:row>
    <x:row r="127">
      <x:c r="A127" s="25" t="str">
        <x:v>HP</x:v>
      </x:c>
      <x:c r="B127" s="35" t="n">
        <x:v>1</x:v>
      </x:c>
      <x:c r="C127" s="35" t="n">
        <x:v>0.4100000000000004</x:v>
      </x:c>
      <x:c r="D127" s="50" t="n">
        <x:v>0.0001322302114206</x:v>
      </x:c>
      <x:c r="E127" s="47" t="n">
        <x:f>LN(D127)/LN(10)</x:f>
        <x:v>-3.8786693076774124</x:v>
      </x:c>
      <x:c r="F127" s="50" t="n">
        <x:v>0.0013392062411556</x:v>
      </x:c>
      <x:c r="G127" s="98" t="n">
        <x:f>D127/F127</x:f>
        <x:v>0.0987377502859445</x:v>
      </x:c>
      <x:c r="H127" s="26" t="str">
        <x:f>IF(G127&lt;=1%,"YES","NO")</x:f>
        <x:v>NO</x:v>
      </x:c>
      <x:c r="I127" s="26" t="str">
        <x:v>nominal_vdd</x:v>
      </x:c>
      <x:c r="J127" s="27" t="str">
        <x:v>data/raw/ptm45_hp_vds_1v_raw.txt</x:v>
      </x:c>
    </x:row>
    <x:row r="128">
      <x:c r="A128" s="25" t="str">
        <x:v>HP</x:v>
      </x:c>
      <x:c r="B128" s="35" t="n">
        <x:v>1</x:v>
      </x:c>
      <x:c r="C128" s="35" t="n">
        <x:v>0.4150000000000004</x:v>
      </x:c>
      <x:c r="D128" s="50" t="n">
        <x:v>0.0001397624681243</x:v>
      </x:c>
      <x:c r="E128" s="47" t="n">
        <x:f>LN(D128)/LN(10)</x:f>
        <x:v>-3.8546094385682017</x:v>
      </x:c>
      <x:c r="F128" s="50" t="n">
        <x:v>0.0013392062411556</x:v>
      </x:c>
      <x:c r="G128" s="98" t="n">
        <x:f>D128/F128</x:f>
        <x:v>0.10436216904402945</x:v>
      </x:c>
      <x:c r="H128" s="26" t="str">
        <x:f>IF(G128&lt;=1%,"YES","NO")</x:f>
        <x:v>NO</x:v>
      </x:c>
      <x:c r="I128" s="26" t="str">
        <x:v>nominal_vdd</x:v>
      </x:c>
      <x:c r="J128" s="27" t="str">
        <x:v>data/raw/ptm45_hp_vds_1v_raw.txt</x:v>
      </x:c>
    </x:row>
    <x:row r="129">
      <x:c r="A129" s="25" t="str">
        <x:v>HP</x:v>
      </x:c>
      <x:c r="B129" s="35" t="n">
        <x:v>1</x:v>
      </x:c>
      <x:c r="C129" s="35" t="n">
        <x:v>0.4200000000000004</x:v>
      </x:c>
      <x:c r="D129" s="50" t="n">
        <x:v>0.0001474969929286</x:v>
      </x:c>
      <x:c r="E129" s="47" t="n">
        <x:f>LN(D129)/LN(10)</x:f>
        <x:v>-3.8312168337049917</x:v>
      </x:c>
      <x:c r="F129" s="50" t="n">
        <x:v>0.0013392062411556</x:v>
      </x:c>
      <x:c r="G129" s="98" t="n">
        <x:f>D129/F129</x:f>
        <x:v>0.11013762361301793</x:v>
      </x:c>
      <x:c r="H129" s="26" t="str">
        <x:f>IF(G129&lt;=1%,"YES","NO")</x:f>
        <x:v>NO</x:v>
      </x:c>
      <x:c r="I129" s="26" t="str">
        <x:v>nominal_vdd</x:v>
      </x:c>
      <x:c r="J129" s="27" t="str">
        <x:v>data/raw/ptm45_hp_vds_1v_raw.txt</x:v>
      </x:c>
    </x:row>
    <x:row r="130">
      <x:c r="A130" s="25" t="str">
        <x:v>HP</x:v>
      </x:c>
      <x:c r="B130" s="35" t="n">
        <x:v>1</x:v>
      </x:c>
      <x:c r="C130" s="35" t="n">
        <x:v>0.4250000000000004</x:v>
      </x:c>
      <x:c r="D130" s="50" t="n">
        <x:v>0.0001554259554536</x:v>
      </x:c>
      <x:c r="E130" s="47" t="n">
        <x:f>LN(D130)/LN(10)</x:f>
        <x:v>-3.808476454203005</x:v>
      </x:c>
      <x:c r="F130" s="50" t="n">
        <x:v>0.0013392062411556</x:v>
      </x:c>
      <x:c r="G130" s="98" t="n">
        <x:f>D130/F130</x:f>
        <x:v>0.11605826696228885</x:v>
      </x:c>
      <x:c r="H130" s="26" t="str">
        <x:f>IF(G130&lt;=1%,"YES","NO")</x:f>
        <x:v>NO</x:v>
      </x:c>
      <x:c r="I130" s="26" t="str">
        <x:v>nominal_vdd</x:v>
      </x:c>
      <x:c r="J130" s="27" t="str">
        <x:v>data/raw/ptm45_hp_vds_1v_raw.txt</x:v>
      </x:c>
    </x:row>
    <x:row r="131">
      <x:c r="A131" s="25" t="str">
        <x:v>HP</x:v>
      </x:c>
      <x:c r="B131" s="35" t="n">
        <x:v>1</x:v>
      </x:c>
      <x:c r="C131" s="35" t="n">
        <x:v>0.4300000000000004</x:v>
      </x:c>
      <x:c r="D131" s="50" t="n">
        <x:v>0.0001635412718062</x:v>
      </x:c>
      <x:c r="E131" s="47" t="n">
        <x:f>LN(D131)/LN(10)</x:f>
        <x:v>-3.786372629206714</x:v>
      </x:c>
      <x:c r="F131" s="50" t="n">
        <x:v>0.0013392062411556</x:v>
      </x:c>
      <x:c r="G131" s="98" t="n">
        <x:f>D131/F131</x:f>
        <x:v>0.12211806276013198</x:v>
      </x:c>
      <x:c r="H131" s="26" t="str">
        <x:f>IF(G131&lt;=1%,"YES","NO")</x:f>
        <x:v>NO</x:v>
      </x:c>
      <x:c r="I131" s="26" t="str">
        <x:v>nominal_vdd</x:v>
      </x:c>
      <x:c r="J131" s="27" t="str">
        <x:v>data/raw/ptm45_hp_vds_1v_raw.txt</x:v>
      </x:c>
    </x:row>
    <x:row r="132">
      <x:c r="A132" s="25" t="str">
        <x:v>HP</x:v>
      </x:c>
      <x:c r="B132" s="35" t="n">
        <x:v>1</x:v>
      </x:c>
      <x:c r="C132" s="35" t="n">
        <x:v>0.4350000000000004</x:v>
      </x:c>
      <x:c r="D132" s="50" t="n">
        <x:v>0.0001718346795011</x:v>
      </x:c>
      <x:c r="E132" s="47" t="n">
        <x:f>LN(D132)/LN(10)</x:f>
        <x:v>-3.764889182786202</x:v>
      </x:c>
      <x:c r="F132" s="50" t="n">
        <x:v>0.0013392062411556</x:v>
      </x:c>
      <x:c r="G132" s="98" t="n">
        <x:f>D132/F132</x:f>
        <x:v>0.12831084131808107</x:v>
      </x:c>
      <x:c r="H132" s="26" t="str">
        <x:f>IF(G132&lt;=1%,"YES","NO")</x:f>
        <x:v>NO</x:v>
      </x:c>
      <x:c r="I132" s="26" t="str">
        <x:v>nominal_vdd</x:v>
      </x:c>
      <x:c r="J132" s="27" t="str">
        <x:v>data/raw/ptm45_hp_vds_1v_raw.txt</x:v>
      </x:c>
    </x:row>
    <x:row r="133">
      <x:c r="A133" s="25" t="str">
        <x:v>HP</x:v>
      </x:c>
      <x:c r="B133" s="35" t="n">
        <x:v>1</x:v>
      </x:c>
      <x:c r="C133" s="35" t="n">
        <x:v>0.4400000000000004</x:v>
      </x:c>
      <x:c r="D133" s="50" t="n">
        <x:v>0.000180297807844</x:v>
      </x:c>
      <x:c r="E133" s="47" t="n">
        <x:f>LN(D133)/LN(10)</x:f>
        <x:v>-3.7440095536272477</x:v>
      </x:c>
      <x:c r="F133" s="50" t="n">
        <x:v>0.0013392062411556</x:v>
      </x:c>
      <x:c r="G133" s="98" t="n">
        <x:f>D133/F133</x:f>
        <x:v>0.1346303521468218</x:v>
      </x:c>
      <x:c r="H133" s="26" t="str">
        <x:f>IF(G133&lt;=1%,"YES","NO")</x:f>
        <x:v>NO</x:v>
      </x:c>
      <x:c r="I133" s="26" t="str">
        <x:v>nominal_vdd</x:v>
      </x:c>
      <x:c r="J133" s="27" t="str">
        <x:v>data/raw/ptm45_hp_vds_1v_raw.txt</x:v>
      </x:c>
    </x:row>
    <x:row r="134">
      <x:c r="A134" s="25" t="str">
        <x:v>HP</x:v>
      </x:c>
      <x:c r="B134" s="35" t="n">
        <x:v>1</x:v>
      </x:c>
      <x:c r="C134" s="35" t="n">
        <x:v>0.4450000000000004</x:v>
      </x:c>
      <x:c r="D134" s="50" t="n">
        <x:v>0.0001889222431137</x:v>
      </x:c>
      <x:c r="E134" s="47" t="n">
        <x:f>LN(D134)/LN(10)</x:f>
        <x:v>-3.7237169065946025</x:v>
      </x:c>
      <x:c r="F134" s="50" t="n">
        <x:v>0.0013392062411556</x:v>
      </x:c>
      <x:c r="G134" s="98" t="n">
        <x:f>D134/F134</x:f>
        <x:v>0.14107031262838138</x:v>
      </x:c>
      <x:c r="H134" s="26" t="str">
        <x:f>IF(G134&lt;=1%,"YES","NO")</x:f>
        <x:v>NO</x:v>
      </x:c>
      <x:c r="I134" s="26" t="str">
        <x:v>nominal_vdd</x:v>
      </x:c>
      <x:c r="J134" s="27" t="str">
        <x:v>data/raw/ptm45_hp_vds_1v_raw.txt</x:v>
      </x:c>
    </x:row>
    <x:row r="135">
      <x:c r="A135" s="25" t="str">
        <x:v>HP</x:v>
      </x:c>
      <x:c r="B135" s="35" t="n">
        <x:v>1</x:v>
      </x:c>
      <x:c r="C135" s="35" t="n">
        <x:v>0.4500000000000004</x:v>
      </x:c>
      <x:c r="D135" s="50" t="n">
        <x:v>0.0001976995880832</x:v>
      </x:c>
      <x:c r="E135" s="47" t="n">
        <x:f>LN(D135)/LN(10)</x:f>
        <x:v>-3.7039942355592648</x:v>
      </x:c>
      <x:c r="F135" s="50" t="n">
        <x:v>0.0013392062411556</x:v>
      </x:c>
      <x:c r="G135" s="98" t="n">
        <x:f>D135/F135</x:f>
        <x:v>0.14762445246118713</x:v>
      </x:c>
      <x:c r="H135" s="26" t="str">
        <x:f>IF(G135&lt;=1%,"YES","NO")</x:f>
        <x:v>NO</x:v>
      </x:c>
      <x:c r="I135" s="26" t="str">
        <x:v>nominal_vdd</x:v>
      </x:c>
      <x:c r="J135" s="27" t="str">
        <x:v>data/raw/ptm45_hp_vds_1v_raw.txt</x:v>
      </x:c>
    </x:row>
    <x:row r="136">
      <x:c r="A136" s="25" t="str">
        <x:v>HP</x:v>
      </x:c>
      <x:c r="B136" s="35" t="n">
        <x:v>1</x:v>
      </x:c>
      <x:c r="C136" s="35" t="n">
        <x:v>0.4550000000000004</x:v>
      </x:c>
      <x:c r="D136" s="50" t="n">
        <x:v>0.0002066215156007</x:v>
      </x:c>
      <x:c r="E136" s="47" t="n">
        <x:f>LN(D136)/LN(10)</x:f>
        <x:v>-3.6848244571622897</x:v>
      </x:c>
      <x:c r="F136" s="50" t="n">
        <x:v>0.0013392062411556</x:v>
      </x:c>
      <x:c r="G136" s="98" t="n">
        <x:f>D136/F136</x:f>
        <x:v>0.1542865536695875</x:v>
      </x:c>
      <x:c r="H136" s="26" t="str">
        <x:f>IF(G136&lt;=1%,"YES","NO")</x:f>
        <x:v>NO</x:v>
      </x:c>
      <x:c r="I136" s="26" t="str">
        <x:v>nominal_vdd</x:v>
      </x:c>
      <x:c r="J136" s="27" t="str">
        <x:v>data/raw/ptm45_hp_vds_1v_raw.txt</x:v>
      </x:c>
    </x:row>
    <x:row r="137">
      <x:c r="A137" s="25" t="str">
        <x:v>HP</x:v>
      </x:c>
      <x:c r="B137" s="35" t="n">
        <x:v>1</x:v>
      </x:c>
      <x:c r="C137" s="35" t="n">
        <x:v>0.4600000000000004</x:v>
      </x:c>
      <x:c r="D137" s="50" t="n">
        <x:v>0.0002156798161163</x:v>
      </x:c>
      <x:c r="E137" s="47" t="n">
        <x:f>LN(D137)/LN(10)</x:f>
        <x:v>-3.666190495414202</x:v>
      </x:c>
      <x:c r="F137" s="50" t="n">
        <x:v>0.0013392062411556</x:v>
      </x:c>
      <x:c r="G137" s="98" t="n">
        <x:f>D137/F137</x:f>
        <x:v>0.16105048609256037</x:v>
      </x:c>
      <x:c r="H137" s="26" t="str">
        <x:f>IF(G137&lt;=1%,"YES","NO")</x:f>
        <x:v>NO</x:v>
      </x:c>
      <x:c r="I137" s="26" t="str">
        <x:v>nominal_vdd</x:v>
      </x:c>
      <x:c r="J137" s="27" t="str">
        <x:v>data/raw/ptm45_hp_vds_1v_raw.txt</x:v>
      </x:c>
    </x:row>
    <x:row r="138">
      <x:c r="A138" s="25" t="str">
        <x:v>HP</x:v>
      </x:c>
      <x:c r="B138" s="35" t="n">
        <x:v>1</x:v>
      </x:c>
      <x:c r="C138" s="35" t="n">
        <x:v>0.4650000000000004</x:v>
      </x:c>
      <x:c r="D138" s="50" t="n">
        <x:v>0.0002248664391758</x:v>
      </x:c>
      <x:c r="E138" s="47" t="n">
        <x:f>LN(D138)/LN(10)</x:f>
        <x:v>-3.6480753572294113</x:v>
      </x:c>
      <x:c r="F138" s="50" t="n">
        <x:v>0.0013392062411556</x:v>
      </x:c>
      <x:c r="G138" s="98" t="n">
        <x:f>D138/F138</x:f>
        <x:v>0.16791023836758925</x:v>
      </x:c>
      <x:c r="H138" s="26" t="str">
        <x:f>IF(G138&lt;=1%,"YES","NO")</x:f>
        <x:v>NO</x:v>
      </x:c>
      <x:c r="I138" s="26" t="str">
        <x:v>nominal_vdd</x:v>
      </x:c>
      <x:c r="J138" s="27" t="str">
        <x:v>data/raw/ptm45_hp_vds_1v_raw.txt</x:v>
      </x:c>
    </x:row>
    <x:row r="139">
      <x:c r="A139" s="25" t="str">
        <x:v>HP</x:v>
      </x:c>
      <x:c r="B139" s="35" t="n">
        <x:v>1</x:v>
      </x:c>
      <x:c r="C139" s="35" t="n">
        <x:v>0.4700000000000004</x:v>
      </x:c>
      <x:c r="D139" s="50" t="n">
        <x:v>0.000234173529021</x:v>
      </x:c>
      <x:c r="E139" s="47" t="n">
        <x:f>LN(D139)/LN(10)</x:f>
        <x:v>-3.6304621991434636</x:v>
      </x:c>
      <x:c r="F139" s="50" t="n">
        <x:v>0.0013392062411556</x:v>
      </x:c>
      <x:c r="G139" s="98" t="n">
        <x:f>D139/F139</x:f>
        <x:v>0.17485994451379785</x:v>
      </x:c>
      <x:c r="H139" s="26" t="str">
        <x:f>IF(G139&lt;=1%,"YES","NO")</x:f>
        <x:v>NO</x:v>
      </x:c>
      <x:c r="I139" s="26" t="str">
        <x:v>nominal_vdd</x:v>
      </x:c>
      <x:c r="J139" s="27" t="str">
        <x:v>data/raw/ptm45_hp_vds_1v_raw.txt</x:v>
      </x:c>
    </x:row>
    <x:row r="140">
      <x:c r="A140" s="25" t="str">
        <x:v>HP</x:v>
      </x:c>
      <x:c r="B140" s="35" t="n">
        <x:v>1</x:v>
      </x:c>
      <x:c r="C140" s="35" t="n">
        <x:v>0.4750000000000004</x:v>
      </x:c>
      <x:c r="D140" s="50" t="n">
        <x:v>0.0002435934545293</x:v>
      </x:c>
      <x:c r="E140" s="47" t="n">
        <x:f>LN(D140)/LN(10)</x:f>
        <x:v>-3.613334385579383</x:v>
      </x:c>
      <x:c r="F140" s="50" t="n">
        <x:v>0.0013392062411556</x:v>
      </x:c>
      <x:c r="G140" s="98" t="n">
        <x:f>D140/F140</x:f>
        <x:v>0.18189390628817814</x:v>
      </x:c>
      <x:c r="H140" s="26" t="str">
        <x:f>IF(G140&lt;=1%,"YES","NO")</x:f>
        <x:v>NO</x:v>
      </x:c>
      <x:c r="I140" s="26" t="str">
        <x:v>nominal_vdd</x:v>
      </x:c>
      <x:c r="J140" s="27" t="str">
        <x:v>data/raw/ptm45_hp_vds_1v_raw.txt</x:v>
      </x:c>
    </x:row>
    <x:row r="141">
      <x:c r="A141" s="25" t="str">
        <x:v>HP</x:v>
      </x:c>
      <x:c r="B141" s="35" t="n">
        <x:v>1</x:v>
      </x:c>
      <x:c r="C141" s="35" t="n">
        <x:v>0.4800000000000004</x:v>
      </x:c>
      <x:c r="D141" s="50" t="n">
        <x:v>0.0002531188339792</x:v>
      </x:c>
      <x:c r="E141" s="47" t="n">
        <x:f>LN(D141)/LN(10)</x:f>
        <x:v>-3.596675538804911</x:v>
      </x:c>
      <x:c r="F141" s="50" t="n">
        <x:v>0.0013392062411556</x:v>
      </x:c>
      <x:c r="G141" s="98" t="n">
        <x:f>D141/F141</x:f>
        <x:v>0.18900661167826097</x:v>
      </x:c>
      <x:c r="H141" s="26" t="str">
        <x:f>IF(G141&lt;=1%,"YES","NO")</x:f>
        <x:v>NO</x:v>
      </x:c>
      <x:c r="I141" s="26" t="str">
        <x:v>nominal_vdd</x:v>
      </x:c>
      <x:c r="J141" s="27" t="str">
        <x:v>data/raw/ptm45_hp_vds_1v_raw.txt</x:v>
      </x:c>
    </x:row>
    <x:row r="142">
      <x:c r="A142" s="25" t="str">
        <x:v>HP</x:v>
      </x:c>
      <x:c r="B142" s="35" t="n">
        <x:v>1</x:v>
      </x:c>
      <x:c r="C142" s="35" t="n">
        <x:v>0.4850000000000004</x:v>
      </x:c>
      <x:c r="D142" s="50" t="n">
        <x:v>0.0002627425540466</x:v>
      </x:c>
      <x:c r="E142" s="47" t="n">
        <x:f>LN(D142)/LN(10)</x:f>
        <x:v>-3.580469582748986</x:v>
      </x:c>
      <x:c r="F142" s="50" t="n">
        <x:v>0.0013392062411556</x:v>
      </x:c>
      <x:c r="G142" s="98" t="n">
        <x:f>D142/F142</x:f>
        <x:v>0.19619274908686182</x:v>
      </x:c>
      <x:c r="H142" s="26" t="str">
        <x:f>IF(G142&lt;=1%,"YES","NO")</x:f>
        <x:v>NO</x:v>
      </x:c>
      <x:c r="I142" s="26" t="str">
        <x:v>nominal_vdd</x:v>
      </x:c>
      <x:c r="J142" s="27" t="str">
        <x:v>data/raw/ptm45_hp_vds_1v_raw.txt</x:v>
      </x:c>
    </x:row>
    <x:row r="143">
      <x:c r="A143" s="25" t="str">
        <x:v>HP</x:v>
      </x:c>
      <x:c r="B143" s="35" t="n">
        <x:v>1</x:v>
      </x:c>
      <x:c r="C143" s="35" t="n">
        <x:v>0.4900000000000004</x:v>
      </x:c>
      <x:c r="D143" s="50" t="n">
        <x:v>0.0002724577854341</x:v>
      </x:c>
      <x:c r="E143" s="47" t="n">
        <x:f>LN(D143)/LN(10)</x:f>
        <x:v>-3.5647007776928494</x:v>
      </x:c>
      <x:c r="F143" s="50" t="n">
        <x:v>0.0013392062411556</x:v>
      </x:c>
      <x:c r="G143" s="98" t="n">
        <x:f>D143/F143</x:f>
        <x:v>0.20344721900265073</x:v>
      </x:c>
      <x:c r="H143" s="26" t="str">
        <x:f>IF(G143&lt;=1%,"YES","NO")</x:f>
        <x:v>NO</x:v>
      </x:c>
      <x:c r="I143" s="26" t="str">
        <x:v>nominal_vdd</x:v>
      </x:c>
      <x:c r="J143" s="27" t="str">
        <x:v>data/raw/ptm45_hp_vds_1v_raw.txt</x:v>
      </x:c>
    </x:row>
    <x:row r="144">
      <x:c r="A144" s="25" t="str">
        <x:v>HP</x:v>
      </x:c>
      <x:c r="B144" s="35" t="n">
        <x:v>1</x:v>
      </x:c>
      <x:c r="C144" s="35" t="n">
        <x:v>0.4950000000000004</x:v>
      </x:c>
      <x:c r="D144" s="50" t="n">
        <x:v>0.0002822579933652</x:v>
      </x:c>
      <x:c r="E144" s="47" t="n">
        <x:f>LN(D144)/LN(10)</x:f>
        <x:v>-3.5493537502878736</x:v>
      </x:c>
      <x:c r="F144" s="50" t="n">
        <x:v>0.0013392062411556</x:v>
      </x:c>
      <x:c r="G144" s="98" t="n">
        <x:f>D144/F144</x:f>
        <x:v>0.2107651418362864</x:v>
      </x:c>
      <x:c r="H144" s="26" t="str">
        <x:f>IF(G144&lt;=1%,"YES","NO")</x:f>
        <x:v>NO</x:v>
      </x:c>
      <x:c r="I144" s="26" t="str">
        <x:v>nominal_vdd</x:v>
      </x:c>
      <x:c r="J144" s="27" t="str">
        <x:v>data/raw/ptm45_hp_vds_1v_raw.txt</x:v>
      </x:c>
    </x:row>
    <x:row r="145">
      <x:c r="A145" s="25" t="str">
        <x:v>HP</x:v>
      </x:c>
      <x:c r="B145" s="35" t="n">
        <x:v>1</x:v>
      </x:c>
      <x:c r="C145" s="35" t="n">
        <x:v>0.5000000000000004</x:v>
      </x:c>
      <x:c r="D145" s="50" t="n">
        <x:v>0.0002921369446236</x:v>
      </x:c>
      <x:c r="E145" s="47" t="n">
        <x:f>LN(D145)/LN(10)</x:f>
        <x:v>-3.534413517207963</x:v>
      </x:c>
      <x:c r="F145" s="50" t="n">
        <x:v>0.0013392062411556</x:v>
      </x:c>
      <x:c r="G145" s="98" t="n">
        <x:f>D145/F145</x:f>
        <x:v>0.21814186317673914</x:v>
      </x:c>
      <x:c r="H145" s="26" t="str">
        <x:f>IF(G145&lt;=1%,"YES","NO")</x:f>
        <x:v>NO</x:v>
      </x:c>
      <x:c r="I145" s="26" t="str">
        <x:v>nominal_vdd</x:v>
      </x:c>
      <x:c r="J145" s="27" t="str">
        <x:v>data/raw/ptm45_hp_vds_1v_raw.txt</x:v>
      </x:c>
    </x:row>
    <x:row r="146">
      <x:c r="A146" s="25" t="str">
        <x:v>HP</x:v>
      </x:c>
      <x:c r="B146" s="35" t="n">
        <x:v>1</x:v>
      </x:c>
      <x:c r="C146" s="35" t="n">
        <x:v>0.5050000000000004</x:v>
      </x:c>
      <x:c r="D146" s="50" t="n">
        <x:v>0.0003020887112043</x:v>
      </x:c>
      <x:c r="E146" s="47" t="n">
        <x:f>LN(D146)/LN(10)</x:f>
        <x:v>-3.5198655036353017</x:v>
      </x:c>
      <x:c r="F146" s="50" t="n">
        <x:v>0.0013392062411556</x:v>
      </x:c>
      <x:c r="G146" s="98" t="n">
        <x:f>D146/F146</x:f>
        <x:v>0.22557295651760695</x:v>
      </x:c>
      <x:c r="H146" s="26" t="str">
        <x:f>IF(G146&lt;=1%,"YES","NO")</x:f>
        <x:v>NO</x:v>
      </x:c>
      <x:c r="I146" s="26" t="str">
        <x:v>nominal_vdd</x:v>
      </x:c>
      <x:c r="J146" s="27" t="str">
        <x:v>data/raw/ptm45_hp_vds_1v_raw.txt</x:v>
      </x:c>
    </x:row>
    <x:row r="147">
      <x:c r="A147" s="25" t="str">
        <x:v>HP</x:v>
      </x:c>
      <x:c r="B147" s="35" t="n">
        <x:v>1</x:v>
      </x:c>
      <x:c r="C147" s="35" t="n">
        <x:v>0.5100000000000005</x:v>
      </x:c>
      <x:c r="D147" s="50" t="n">
        <x:v>0.0003121076710163</x:v>
      </x:c>
      <x:c r="E147" s="47" t="n">
        <x:f>LN(D147)/LN(10)</x:f>
        <x:v>-3.5056955570664563</x:v>
      </x:c>
      <x:c r="F147" s="50" t="n">
        <x:v>0.0013392062411556</x:v>
      </x:c>
      <x:c r="G147" s="98" t="n">
        <x:f>D147/F147</x:f>
        <x:v>0.23305422378182955</x:v>
      </x:c>
      <x:c r="H147" s="26" t="str">
        <x:f>IF(G147&lt;=1%,"YES","NO")</x:f>
        <x:v>NO</x:v>
      </x:c>
      <x:c r="I147" s="26" t="str">
        <x:v>nominal_vdd</x:v>
      </x:c>
      <x:c r="J147" s="27" t="str">
        <x:v>data/raw/ptm45_hp_vds_1v_raw.txt</x:v>
      </x:c>
    </x:row>
    <x:row r="148">
      <x:c r="A148" s="25" t="str">
        <x:v>HP</x:v>
      </x:c>
      <x:c r="B148" s="35" t="n">
        <x:v>1</x:v>
      </x:c>
      <x:c r="C148" s="35" t="n">
        <x:v>0.5150000000000005</x:v>
      </x:c>
      <x:c r="D148" s="50" t="n">
        <x:v>0.0003221885060294</x:v>
      </x:c>
      <x:c r="E148" s="47" t="n">
        <x:f>LN(D148)/LN(10)</x:f>
        <x:v>-3.491889956955427</x:v>
      </x:c>
      <x:c r="F148" s="50" t="n">
        <x:v>0.0013392062411556</x:v>
      </x:c>
      <x:c r="G148" s="98" t="n">
        <x:f>D148/F148</x:f>
        <x:v>0.24058169393788356</x:v>
      </x:c>
      <x:c r="H148" s="26" t="str">
        <x:f>IF(G148&lt;=1%,"YES","NO")</x:f>
        <x:v>NO</x:v>
      </x:c>
      <x:c r="I148" s="26" t="str">
        <x:v>nominal_vdd</x:v>
      </x:c>
      <x:c r="J148" s="27" t="str">
        <x:v>data/raw/ptm45_hp_vds_1v_raw.txt</x:v>
      </x:c>
    </x:row>
    <x:row r="149">
      <x:c r="A149" s="25" t="str">
        <x:v>HP</x:v>
      </x:c>
      <x:c r="B149" s="35" t="n">
        <x:v>1</x:v>
      </x:c>
      <x:c r="C149" s="35" t="n">
        <x:v>0.5200000000000005</x:v>
      </x:c>
      <x:c r="D149" s="50" t="n">
        <x:v>0.0003323261982324</x:v>
      </x:c>
      <x:c r="E149" s="47" t="n">
        <x:f>LN(D149)/LN(10)</x:f>
        <x:v>-3.478435420685523</x:v>
      </x:c>
      <x:c r="F149" s="50" t="n">
        <x:v>0.0013392062411556</x:v>
      </x:c>
      <x:c r="G149" s="98" t="n">
        <x:f>D149/F149</x:f>
        <x:v>0.24815161998172588</x:v>
      </x:c>
      <x:c r="H149" s="26" t="str">
        <x:f>IF(G149&lt;=1%,"YES","NO")</x:f>
        <x:v>NO</x:v>
      </x:c>
      <x:c r="I149" s="26" t="str">
        <x:v>nominal_vdd</x:v>
      </x:c>
      <x:c r="J149" s="27" t="str">
        <x:v>data/raw/ptm45_hp_vds_1v_raw.txt</x:v>
      </x:c>
    </x:row>
    <x:row r="150">
      <x:c r="A150" s="25" t="str">
        <x:v>HP</x:v>
      </x:c>
      <x:c r="B150" s="35" t="n">
        <x:v>1</x:v>
      </x:c>
      <x:c r="C150" s="35" t="n">
        <x:v>0.5250000000000005</x:v>
      </x:c>
      <x:c r="D150" s="50" t="n">
        <x:v>0.0003425160237474</x:v>
      </x:c>
      <x:c r="E150" s="47" t="n">
        <x:f>LN(D150)/LN(10)</x:f>
        <x:v>-3.465319106325446</x:v>
      </x:c>
      <x:c r="F150" s="50" t="n">
        <x:v>0.0013392062411556</x:v>
      </x:c>
      <x:c r="G150" s="98" t="n">
        <x:f>D150/F150</x:f>
        <x:v>0.2557604745418773</x:v>
      </x:c>
      <x:c r="H150" s="26" t="str">
        <x:f>IF(G150&lt;=1%,"YES","NO")</x:f>
        <x:v>NO</x:v>
      </x:c>
      <x:c r="I150" s="26" t="str">
        <x:v>nominal_vdd</x:v>
      </x:c>
      <x:c r="J150" s="27" t="str">
        <x:v>data/raw/ptm45_hp_vds_1v_raw.txt</x:v>
      </x:c>
    </x:row>
    <x:row r="151">
      <x:c r="A151" s="25" t="str">
        <x:v>HP</x:v>
      </x:c>
      <x:c r="B151" s="35" t="n">
        <x:v>1</x:v>
      </x:c>
      <x:c r="C151" s="35" t="n">
        <x:v>0.5300000000000005</x:v>
      </x:c>
      <x:c r="D151" s="50" t="n">
        <x:v>0.0003527535454156</x:v>
      </x:c>
      <x:c r="E151" s="47" t="n">
        <x:f>LN(D151)/LN(10)</x:f>
        <x:v>-3.452528612593619</x:v>
      </x:c>
      <x:c r="F151" s="50" t="n">
        <x:v>0.0013392062411556</x:v>
      </x:c>
      <x:c r="G151" s="98" t="n">
        <x:f>D151/F151</x:f>
        <x:v>0.26340494434315753</x:v>
      </x:c>
      <x:c r="H151" s="26" t="str">
        <x:f>IF(G151&lt;=1%,"YES","NO")</x:f>
        <x:v>NO</x:v>
      </x:c>
      <x:c r="I151" s="26" t="str">
        <x:v>nominal_vdd</x:v>
      </x:c>
      <x:c r="J151" s="27" t="str">
        <x:v>data/raw/ptm45_hp_vds_1v_raw.txt</x:v>
      </x:c>
    </x:row>
    <x:row r="152">
      <x:c r="A152" s="25" t="str">
        <x:v>HP</x:v>
      </x:c>
      <x:c r="B152" s="35" t="n">
        <x:v>1</x:v>
      </x:c>
      <x:c r="C152" s="35" t="n">
        <x:v>0.5350000000000005</x:v>
      </x:c>
      <x:c r="D152" s="50" t="n">
        <x:v>0.0003630346041452</x:v>
      </x:c>
      <x:c r="E152" s="47" t="n">
        <x:f>LN(D152)/LN(10)</x:f>
        <x:v>-3.4400519764155617</x:v>
      </x:c>
      <x:c r="F152" s="50" t="n">
        <x:v>0.0013392062411556</x:v>
      </x:c>
      <x:c r="G152" s="98" t="n">
        <x:f>D152/F152</x:f>
        <x:v>0.2710819237460675</x:v>
      </x:c>
      <x:c r="H152" s="26" t="str">
        <x:f>IF(G152&lt;=1%,"YES","NO")</x:f>
        <x:v>NO</x:v>
      </x:c>
      <x:c r="I152" s="26" t="str">
        <x:v>nominal_vdd</x:v>
      </x:c>
      <x:c r="J152" s="27" t="str">
        <x:v>data/raw/ptm45_hp_vds_1v_raw.txt</x:v>
      </x:c>
    </x:row>
    <x:row r="153">
      <x:c r="A153" s="25" t="str">
        <x:v>HP</x:v>
      </x:c>
      <x:c r="B153" s="35" t="n">
        <x:v>1</x:v>
      </x:c>
      <x:c r="C153" s="35" t="n">
        <x:v>0.5400000000000005</x:v>
      </x:c>
      <x:c r="D153" s="50" t="n">
        <x:v>0.0003733553092797</x:v>
      </x:c>
      <x:c r="E153" s="47" t="n">
        <x:f>LN(D153)/LN(10)</x:f>
        <x:v>-3.4278776684297876</x:v>
      </x:c>
      <x:c r="F153" s="50" t="n">
        <x:v>0.0013392062411556</x:v>
      </x:c>
      <x:c r="G153" s="98" t="n">
        <x:f>D153/F153</x:f>
        <x:v>0.27878850755469303</x:v>
      </x:c>
      <x:c r="H153" s="26" t="str">
        <x:f>IF(G153&lt;=1%,"YES","NO")</x:f>
        <x:v>NO</x:v>
      </x:c>
      <x:c r="I153" s="26" t="str">
        <x:v>nominal_vdd</x:v>
      </x:c>
      <x:c r="J153" s="27" t="str">
        <x:v>data/raw/ptm45_hp_vds_1v_raw.txt</x:v>
      </x:c>
    </x:row>
    <x:row r="154">
      <x:c r="A154" s="25" t="str">
        <x:v>HP</x:v>
      </x:c>
      <x:c r="B154" s="35" t="n">
        <x:v>1</x:v>
      </x:c>
      <x:c r="C154" s="35" t="n">
        <x:v>0.5450000000000005</x:v>
      </x:c>
      <x:c r="D154" s="50" t="n">
        <x:v>0.0003837120282195</x:v>
      </x:c>
      <x:c r="E154" s="47" t="n">
        <x:f>LN(D154)/LN(10)</x:f>
        <x:v>-3.4159945867608177</x:v>
      </x:c>
      <x:c r="F154" s="50" t="n">
        <x:v>0.0013392062411556</x:v>
      </x:c>
      <x:c r="G154" s="98" t="n">
        <x:f>D154/F154</x:f>
        <x:v>0.28652198326703976</x:v>
      </x:c>
      <x:c r="H154" s="26" t="str">
        <x:f>IF(G154&lt;=1%,"YES","NO")</x:f>
        <x:v>NO</x:v>
      </x:c>
      <x:c r="I154" s="26" t="str">
        <x:v>nominal_vdd</x:v>
      </x:c>
      <x:c r="J154" s="27" t="str">
        <x:v>data/raw/ptm45_hp_vds_1v_raw.txt</x:v>
      </x:c>
    </x:row>
    <x:row r="155">
      <x:c r="A155" s="25" t="str">
        <x:v>HP</x:v>
      </x:c>
      <x:c r="B155" s="35" t="n">
        <x:v>1</x:v>
      </x:c>
      <x:c r="C155" s="35" t="n">
        <x:v>0.5500000000000005</x:v>
      </x:c>
      <x:c r="D155" s="50" t="n">
        <x:v>0.0003941013755034</x:v>
      </x:c>
      <x:c r="E155" s="47" t="n">
        <x:f>LN(D155)/LN(10)</x:f>
        <x:v>-3.404392049345272</x:v>
      </x:c>
      <x:c r="F155" s="50" t="n">
        <x:v>0.0013392062411556</x:v>
      </x:c>
      <x:c r="G155" s="98" t="n">
        <x:f>D155/F155</x:f>
        <x:v>0.29427982292206933</x:v>
      </x:c>
      <x:c r="H155" s="26" t="str">
        <x:f>IF(G155&lt;=1%,"YES","NO")</x:f>
        <x:v>NO</x:v>
      </x:c>
      <x:c r="I155" s="26" t="str">
        <x:v>nominal_vdd</x:v>
      </x:c>
      <x:c r="J155" s="27" t="str">
        <x:v>data/raw/ptm45_hp_vds_1v_raw.txt</x:v>
      </x:c>
    </x:row>
    <x:row r="156">
      <x:c r="A156" s="25" t="str">
        <x:v>HP</x:v>
      </x:c>
      <x:c r="B156" s="35" t="n">
        <x:v>1</x:v>
      </x:c>
      <x:c r="C156" s="35" t="n">
        <x:v>0.5550000000000005</x:v>
      </x:c>
      <x:c r="D156" s="50" t="n">
        <x:v>0.0004045202015287</x:v>
      </x:c>
      <x:c r="E156" s="47" t="n">
        <x:f>LN(D156)/LN(10)</x:f>
        <x:v>-3.393059785069343</x:v>
      </x:c>
      <x:c r="F156" s="50" t="n">
        <x:v>0.0013392062411556</x:v>
      </x:c>
      <x:c r="G156" s="98" t="n">
        <x:f>D156/F156</x:f>
        <x:v>0.30205967467687417</x:v>
      </x:c>
      <x:c r="H156" s="26" t="str">
        <x:f>IF(G156&lt;=1%,"YES","NO")</x:f>
        <x:v>NO</x:v>
      </x:c>
      <x:c r="I156" s="26" t="str">
        <x:v>nominal_vdd</x:v>
      </x:c>
      <x:c r="J156" s="27" t="str">
        <x:v>data/raw/ptm45_hp_vds_1v_raw.txt</x:v>
      </x:c>
    </x:row>
    <x:row r="157">
      <x:c r="A157" s="25" t="str">
        <x:v>HP</x:v>
      </x:c>
      <x:c r="B157" s="35" t="n">
        <x:v>1</x:v>
      </x:c>
      <x:c r="C157" s="35" t="n">
        <x:v>0.5600000000000005</x:v>
      </x:c>
      <x:c r="D157" s="50" t="n">
        <x:v>0.0004149655810673</x:v>
      </x:c>
      <x:c r="E157" s="47" t="n">
        <x:f>LN(D157)/LN(10)</x:f>
        <x:v>-3.3819879239444117</x:v>
      </x:c>
      <x:c r="F157" s="50" t="n">
        <x:v>0.0013392062411556</x:v>
      </x:c>
      <x:c r="G157" s="98" t="n">
        <x:f>D157/F157</x:f>
        <x:v>0.3098593542315234</x:v>
      </x:c>
      <x:c r="H157" s="26" t="str">
        <x:f>IF(G157&lt;=1%,"YES","NO")</x:f>
        <x:v>NO</x:v>
      </x:c>
      <x:c r="I157" s="26" t="str">
        <x:v>nominal_vdd</x:v>
      </x:c>
      <x:c r="J157" s="27" t="str">
        <x:v>data/raw/ptm45_hp_vds_1v_raw.txt</x:v>
      </x:c>
    </x:row>
    <x:row r="158">
      <x:c r="A158" s="25" t="str">
        <x:v>HP</x:v>
      </x:c>
      <x:c r="B158" s="35" t="n">
        <x:v>1</x:v>
      </x:c>
      <x:c r="C158" s="35" t="n">
        <x:v>0.5650000000000005</x:v>
      </x:c>
      <x:c r="D158" s="50" t="n">
        <x:v>0.000425434801711</x:v>
      </x:c>
      <x:c r="E158" s="47" t="n">
        <x:f>LN(D158)/LN(10)</x:f>
        <x:v>-3.371166986523462</x:v>
      </x:c>
      <x:c r="F158" s="50" t="n">
        <x:v>0.0013392062411556</x:v>
      </x:c>
      <x:c r="G158" s="98" t="n">
        <x:f>D158/F158</x:f>
        <x:v>0.3176768362010415</x:v>
      </x:c>
      <x:c r="H158" s="26" t="str">
        <x:f>IF(G158&lt;=1%,"YES","NO")</x:f>
        <x:v>NO</x:v>
      </x:c>
      <x:c r="I158" s="26" t="str">
        <x:v>nominal_vdd</x:v>
      </x:c>
      <x:c r="J158" s="27" t="str">
        <x:v>data/raw/ptm45_hp_vds_1v_raw.txt</x:v>
      </x:c>
    </x:row>
    <x:row r="159">
      <x:c r="A159" s="25" t="str">
        <x:v>HP</x:v>
      </x:c>
      <x:c r="B159" s="35" t="n">
        <x:v>1</x:v>
      </x:c>
      <x:c r="C159" s="35" t="n">
        <x:v>0.5700000000000005</x:v>
      </x:c>
      <x:c r="D159" s="50" t="n">
        <x:v>0.0004359253523603</x:v>
      </x:c>
      <x:c r="E159" s="47" t="n">
        <x:f>LN(D159)/LN(10)</x:f>
        <x:v>-3.3605878727349965</x:v>
      </x:c>
      <x:c r="F159" s="50" t="n">
        <x:v>0.0013392062411556</x:v>
      </x:c>
      <x:c r="G159" s="98" t="n">
        <x:f>D159/F159</x:f>
        <x:v>0.32551024551986885</x:v>
      </x:c>
      <x:c r="H159" s="26" t="str">
        <x:f>IF(G159&lt;=1%,"YES","NO")</x:f>
        <x:v>NO</x:v>
      </x:c>
      <x:c r="I159" s="26" t="str">
        <x:v>nominal_vdd</x:v>
      </x:c>
      <x:c r="J159" s="27" t="str">
        <x:v>data/raw/ptm45_hp_vds_1v_raw.txt</x:v>
      </x:c>
    </x:row>
    <x:row r="160">
      <x:c r="A160" s="25" t="str">
        <x:v>HP</x:v>
      </x:c>
      <x:c r="B160" s="35" t="n">
        <x:v>1</x:v>
      </x:c>
      <x:c r="C160" s="35" t="n">
        <x:v>0.5750000000000005</x:v>
      </x:c>
      <x:c r="D160" s="50" t="n">
        <x:v>0.0004464349118524</x:v>
      </x:c>
      <x:c r="E160" s="47" t="n">
        <x:f>LN(D160)/LN(10)</x:f>
        <x:v>-3.3502418502891405</x:v>
      </x:c>
      <x:c r="F160" s="50" t="n">
        <x:v>0.0013392062411556</x:v>
      </x:c>
      <x:c r="G160" s="98" t="n">
        <x:f>D160/F160</x:f>
        <x:v>0.33335784895026455</x:v>
      </x:c>
      <x:c r="H160" s="26" t="str">
        <x:f>IF(G160&lt;=1%,"YES","NO")</x:f>
        <x:v>NO</x:v>
      </x:c>
      <x:c r="I160" s="26" t="str">
        <x:v>nominal_vdd</x:v>
      </x:c>
      <x:c r="J160" s="27" t="str">
        <x:v>data/raw/ptm45_hp_vds_1v_raw.txt</x:v>
      </x:c>
    </x:row>
    <x:row r="161">
      <x:c r="A161" s="25" t="str">
        <x:v>HP</x:v>
      </x:c>
      <x:c r="B161" s="35" t="n">
        <x:v>1</x:v>
      </x:c>
      <x:c r="C161" s="35" t="n">
        <x:v>0.5800000000000005</x:v>
      </x:c>
      <x:c r="D161" s="50" t="n">
        <x:v>0.0004569613378062</x:v>
      </x:c>
      <x:c r="E161" s="47" t="n">
        <x:f>LN(D161)/LN(10)</x:f>
        <x:v>-3.3401205427916714</x:v>
      </x:c>
      <x:c r="F161" s="50" t="n">
        <x:v>0.0013392062411556</x:v>
      </x:c>
      <x:c r="G161" s="98" t="n">
        <x:f>D161/F161</x:f>
        <x:v>0.3412180467527454</x:v>
      </x:c>
      <x:c r="H161" s="26" t="str">
        <x:f>IF(G161&lt;=1%,"YES","NO")</x:f>
        <x:v>NO</x:v>
      </x:c>
      <x:c r="I161" s="26" t="str">
        <x:v>nominal_vdd</x:v>
      </x:c>
      <x:c r="J161" s="27" t="str">
        <x:v>data/raw/ptm45_hp_vds_1v_raw.txt</x:v>
      </x:c>
    </x:row>
    <x:row r="162">
      <x:c r="A162" s="25" t="str">
        <x:v>HP</x:v>
      </x:c>
      <x:c r="B162" s="35" t="n">
        <x:v>1</x:v>
      </x:c>
      <x:c r="C162" s="35" t="n">
        <x:v>0.5850000000000005</x:v>
      </x:c>
      <x:c r="D162" s="50" t="n">
        <x:v>0.0004675026557491</x:v>
      </x:c>
      <x:c r="E162" s="47" t="n">
        <x:f>LN(D162)/LN(10)</x:f>
        <x:v>-3.3302159176815094</x:v>
      </x:c>
      <x:c r="F162" s="50" t="n">
        <x:v>0.0013392062411556</x:v>
      </x:c>
      <x:c r="G162" s="98" t="n">
        <x:f>D162/F162</x:f>
        <x:v>0.3490893645669485</x:v>
      </x:c>
      <x:c r="H162" s="26" t="str">
        <x:f>IF(G162&lt;=1%,"YES","NO")</x:f>
        <x:v>NO</x:v>
      </x:c>
      <x:c r="I162" s="26" t="str">
        <x:v>nominal_vdd</x:v>
      </x:c>
      <x:c r="J162" s="27" t="str">
        <x:v>data/raw/ptm45_hp_vds_1v_raw.txt</x:v>
      </x:c>
    </x:row>
    <x:row r="163">
      <x:c r="A163" s="25" t="str">
        <x:v>HP</x:v>
      </x:c>
      <x:c r="B163" s="35" t="n">
        <x:v>1</x:v>
      </x:c>
      <x:c r="C163" s="35" t="n">
        <x:v>0.5900000000000005</x:v>
      </x:c>
      <x:c r="D163" s="50" t="n">
        <x:v>0.0004780570485761</x:v>
      </x:c>
      <x:c r="E163" s="47" t="n">
        <x:f>LN(D163)/LN(10)</x:f>
        <x:v>-3.320520274091989</x:v>
      </x:c>
      <x:c r="F163" s="50" t="n">
        <x:v>0.0013392062411556</x:v>
      </x:c>
      <x:c r="G163" s="98" t="n">
        <x:f>D163/F163</x:f>
        <x:v>0.35697044554062485</x:v>
      </x:c>
      <x:c r="H163" s="26" t="str">
        <x:f>IF(G163&lt;=1%,"YES","NO")</x:f>
        <x:v>NO</x:v>
      </x:c>
      <x:c r="I163" s="26" t="str">
        <x:v>nominal_vdd</x:v>
      </x:c>
      <x:c r="J163" s="27" t="str">
        <x:v>data/raw/ptm45_hp_vds_1v_raw.txt</x:v>
      </x:c>
    </x:row>
    <x:row r="164">
      <x:c r="A164" s="25" t="str">
        <x:v>HP</x:v>
      </x:c>
      <x:c r="B164" s="35" t="n">
        <x:v>1</x:v>
      </x:c>
      <x:c r="C164" s="35" t="n">
        <x:v>0.5950000000000005</x:v>
      </x:c>
      <x:c r="D164" s="50" t="n">
        <x:v>0.0004886228463807</x:v>
      </x:c>
      <x:c r="E164" s="47" t="n">
        <x:f>LN(D164)/LN(10)</x:f>
        <x:v>-3.311026230720943</x:v>
      </x:c>
      <x:c r="F164" s="50" t="n">
        <x:v>0.0013392062411556</x:v>
      </x:c>
      <x:c r="G164" s="98" t="n">
        <x:f>D164/F164</x:f>
        <x:v>0.36486004273626127</x:v>
      </x:c>
      <x:c r="H164" s="26" t="str">
        <x:f>IF(G164&lt;=1%,"YES","NO")</x:f>
        <x:v>NO</x:v>
      </x:c>
      <x:c r="I164" s="26" t="str">
        <x:v>nominal_vdd</x:v>
      </x:c>
      <x:c r="J164" s="27" t="str">
        <x:v>data/raw/ptm45_hp_vds_1v_raw.txt</x:v>
      </x:c>
    </x:row>
    <x:row r="165">
      <x:c r="A165" s="25" t="str">
        <x:v>HP</x:v>
      </x:c>
      <x:c r="B165" s="35" t="n">
        <x:v>1</x:v>
      </x:c>
      <x:c r="C165" s="35" t="n">
        <x:v>0.6000000000000005</x:v>
      </x:c>
      <x:c r="D165" s="50" t="n">
        <x:v>0.0004991985166872</x:v>
      </x:c>
      <x:c r="E165" s="47" t="n">
        <x:f>LN(D165)/LN(10)</x:f>
        <x:v>-3.3017267137814037</x:v>
      </x:c>
      <x:c r="F165" s="50" t="n">
        <x:v>0.0013392062411556</x:v>
      </x:c>
      <x:c r="G165" s="98" t="n">
        <x:f>D165/F165</x:f>
        <x:v>0.37275701183743143</x:v>
      </x:c>
      <x:c r="H165" s="26" t="str">
        <x:f>IF(G165&lt;=1%,"YES","NO")</x:f>
        <x:v>NO</x:v>
      </x:c>
      <x:c r="I165" s="26" t="str">
        <x:v>nominal_vdd</x:v>
      </x:c>
      <x:c r="J165" s="27" t="str">
        <x:v>data/raw/ptm45_hp_vds_1v_raw.txt</x:v>
      </x:c>
    </x:row>
    <x:row r="166">
      <x:c r="A166" s="25" t="str">
        <x:v>HP</x:v>
      </x:c>
      <x:c r="B166" s="35" t="n">
        <x:v>1</x:v>
      </x:c>
      <x:c r="C166" s="35" t="n">
        <x:v>0.6050000000000005</x:v>
      </x:c>
      <x:c r="D166" s="50" t="n">
        <x:v>0.0005097826551036</x:v>
      </x:c>
      <x:c r="E166" s="47" t="n">
        <x:f>LN(D166)/LN(10)</x:f>
        <x:v>-3.292614945094571</x:v>
      </x:c>
      <x:c r="F166" s="50" t="n">
        <x:v>0.0013392062411556</x:v>
      </x:c>
      <x:c r="G166" s="98" t="n">
        <x:f>D166/F166</x:f>
        <x:v>0.3806603041692137</x:v>
      </x:c>
      <x:c r="H166" s="26" t="str">
        <x:f>IF(G166&lt;=1%,"YES","NO")</x:f>
        <x:v>NO</x:v>
      </x:c>
      <x:c r="I166" s="26" t="str">
        <x:v>nominal_vdd</x:v>
      </x:c>
      <x:c r="J166" s="27" t="str">
        <x:v>data/raw/ptm45_hp_vds_1v_raw.txt</x:v>
      </x:c>
    </x:row>
    <x:row r="167">
      <x:c r="A167" s="25" t="str">
        <x:v>HP</x:v>
      </x:c>
      <x:c r="B167" s="35" t="n">
        <x:v>1</x:v>
      </x:c>
      <x:c r="C167" s="35" t="n">
        <x:v>0.6100000000000005</x:v>
      </x:c>
      <x:c r="D167" s="50" t="n">
        <x:v>0.0005203739764104</x:v>
      </x:c>
      <x:c r="E167" s="47" t="n">
        <x:f>LN(D167)/LN(10)</x:f>
        <x:v>-3.283684430373246</x:v>
      </x:c>
      <x:c r="F167" s="50" t="n">
        <x:v>0.0013392062411556</x:v>
      </x:c>
      <x:c r="G167" s="98" t="n">
        <x:f>D167/F167</x:f>
        <x:v>0.38856896004410024</x:v>
      </x:c>
      <x:c r="H167" s="26" t="str">
        <x:f>IF(G167&lt;=1%,"YES","NO")</x:f>
        <x:v>NO</x:v>
      </x:c>
      <x:c r="I167" s="26" t="str">
        <x:v>nominal_vdd</x:v>
      </x:c>
      <x:c r="J167" s="27" t="str">
        <x:v>data/raw/ptm45_hp_vds_1v_raw.txt</x:v>
      </x:c>
    </x:row>
    <x:row r="168">
      <x:c r="A168" s="25" t="str">
        <x:v>HP</x:v>
      </x:c>
      <x:c r="B168" s="35" t="n">
        <x:v>1</x:v>
      </x:c>
      <x:c r="C168" s="35" t="n">
        <x:v>0.6150000000000005</x:v>
      </x:c>
      <x:c r="D168" s="50" t="n">
        <x:v>0.0005309713060902</x:v>
      </x:c>
      <x:c r="E168" s="47" t="n">
        <x:f>LN(D168)/LN(10)</x:f>
        <x:v>-3.2749289477384917</x:v>
      </x:c>
      <x:c r="F168" s="50" t="n">
        <x:v>0.0013392062411556</x:v>
      </x:c>
      <x:c r="G168" s="98" t="n">
        <x:f>D168/F168</x:f>
        <x:v>0.39648210243705656</x:v>
      </x:c>
      <x:c r="H168" s="26" t="str">
        <x:f>IF(G168&lt;=1%,"YES","NO")</x:f>
        <x:v>NO</x:v>
      </x:c>
      <x:c r="I168" s="26" t="str">
        <x:v>nominal_vdd</x:v>
      </x:c>
      <x:c r="J168" s="27" t="str">
        <x:v>data/raw/ptm45_hp_vds_1v_raw.txt</x:v>
      </x:c>
    </x:row>
    <x:row r="169">
      <x:c r="A169" s="25" t="str">
        <x:v>HP</x:v>
      </x:c>
      <x:c r="B169" s="35" t="n">
        <x:v>1</x:v>
      </x:c>
      <x:c r="C169" s="35" t="n">
        <x:v>0.6200000000000006</x:v>
      </x:c>
      <x:c r="D169" s="50" t="n">
        <x:v>0.0005415735723011</x:v>
      </x:c>
      <x:c r="E169" s="47" t="n">
        <x:f>LN(D169)/LN(10)</x:f>
        <x:v>-3.266342536501335</x:v>
      </x:c>
      <x:c r="F169" s="50" t="n">
        <x:v>0.0013392062411556</x:v>
      </x:c>
      <x:c r="G169" s="98" t="n">
        <x:f>D169/F169</x:f>
        <x:v>0.4043989309919708</x:v>
      </x:c>
      <x:c r="H169" s="26" t="str">
        <x:f>IF(G169&lt;=1%,"YES","NO")</x:f>
        <x:v>NO</x:v>
      </x:c>
      <x:c r="I169" s="26" t="str">
        <x:v>nominal_vdd</x:v>
      </x:c>
      <x:c r="J169" s="27" t="str">
        <x:v>data/raw/ptm45_hp_vds_1v_raw.txt</x:v>
      </x:c>
    </x:row>
    <x:row r="170">
      <x:c r="A170" s="25" t="str">
        <x:v>HP</x:v>
      </x:c>
      <x:c r="B170" s="35" t="n">
        <x:v>1</x:v>
      </x:c>
      <x:c r="C170" s="35" t="n">
        <x:v>0.6250000000000006</x:v>
      </x:c>
      <x:c r="D170" s="50" t="n">
        <x:v>0.0005521797982896</x:v>
      </x:c>
      <x:c r="E170" s="47" t="n">
        <x:f>LN(D170)/LN(10)</x:f>
        <x:v>-3.2579194862368506</x:v>
      </x:c>
      <x:c r="F170" s="50" t="n">
        <x:v>0.0013392062411556</x:v>
      </x:c>
      <x:c r="G170" s="98" t="n">
        <x:f>D170/F170</x:f>
        <x:v>0.4123187163562832</x:v>
      </x:c>
      <x:c r="H170" s="26" t="str">
        <x:f>IF(G170&lt;=1%,"YES","NO")</x:f>
        <x:v>NO</x:v>
      </x:c>
      <x:c r="I170" s="26" t="str">
        <x:v>nominal_vdd</x:v>
      </x:c>
      <x:c r="J170" s="27" t="str">
        <x:v>data/raw/ptm45_hp_vds_1v_raw.txt</x:v>
      </x:c>
    </x:row>
    <x:row r="171">
      <x:c r="A171" s="25" t="str">
        <x:v>HP</x:v>
      </x:c>
      <x:c r="B171" s="35" t="n">
        <x:v>1</x:v>
      </x:c>
      <x:c r="C171" s="35" t="n">
        <x:v>0.6300000000000006</x:v>
      </x:c>
      <x:c r="D171" s="50" t="n">
        <x:v>0.0005627890952377</x:v>
      </x:c>
      <x:c r="E171" s="47" t="n">
        <x:f>LN(D171)/LN(10)</x:f>
        <x:v>-3.2496543261697277</x:v>
      </x:c>
      <x:c r="F171" s="50" t="n">
        <x:v>0.0013392062411556</x:v>
      </x:c>
      <x:c r="G171" s="98" t="n">
        <x:f>D171/F171</x:f>
        <x:v>0.4202407948398372</x:v>
      </x:c>
      <x:c r="H171" s="26" t="str">
        <x:f>IF(G171&lt;=1%,"YES","NO")</x:f>
        <x:v>NO</x:v>
      </x:c>
      <x:c r="I171" s="26" t="str">
        <x:v>nominal_vdd</x:v>
      </x:c>
      <x:c r="J171" s="27" t="str">
        <x:v>data/raw/ptm45_hp_vds_1v_raw.txt</x:v>
      </x:c>
    </x:row>
    <x:row r="172">
      <x:c r="A172" s="25" t="str">
        <x:v>HP</x:v>
      </x:c>
      <x:c r="B172" s="35" t="n">
        <x:v>1</x:v>
      </x:c>
      <x:c r="C172" s="35" t="n">
        <x:v>0.6350000000000006</x:v>
      </x:c>
      <x:c r="D172" s="50" t="n">
        <x:v>0.0005734006555336</x:v>
      </x:c>
      <x:c r="E172" s="47" t="n">
        <x:f>LN(D172)/LN(10)</x:f>
        <x:v>-3.241541814887158</x:v>
      </x:c>
      <x:c r="F172" s="50" t="n">
        <x:v>0.0013392062411556</x:v>
      </x:c>
      <x:c r="G172" s="98" t="n">
        <x:f>D172/F172</x:f>
        <x:v>0.42816456339003695</x:v>
      </x:c>
      <x:c r="H172" s="26" t="str">
        <x:f>IF(G172&lt;=1%,"YES","NO")</x:f>
        <x:v>NO</x:v>
      </x:c>
      <x:c r="I172" s="26" t="str">
        <x:v>nominal_vdd</x:v>
      </x:c>
      <x:c r="J172" s="27" t="str">
        <x:v>data/raw/ptm45_hp_vds_1v_raw.txt</x:v>
      </x:c>
    </x:row>
    <x:row r="173">
      <x:c r="A173" s="25" t="str">
        <x:v>HP</x:v>
      </x:c>
      <x:c r="B173" s="35" t="n">
        <x:v>1</x:v>
      </x:c>
      <x:c r="C173" s="35" t="n">
        <x:v>0.6400000000000006</x:v>
      </x:c>
      <x:c r="D173" s="50" t="n">
        <x:v>0.0005840137464555</x:v>
      </x:c>
      <x:c r="E173" s="47" t="n">
        <x:f>LN(D173)/LN(10)</x:f>
        <x:v>-3.2335769303884425</x:v>
      </x:c>
      <x:c r="F173" s="50" t="n">
        <x:v>0.0013392062411556</x:v>
      </x:c>
      <x:c r="G173" s="98" t="n">
        <x:f>D173/F173</x:f>
        <x:v>0.4360894748754718</x:v>
      </x:c>
      <x:c r="H173" s="26" t="str">
        <x:f>IF(G173&lt;=1%,"YES","NO")</x:f>
        <x:v>NO</x:v>
      </x:c>
      <x:c r="I173" s="26" t="str">
        <x:v>nominal_vdd</x:v>
      </x:c>
      <x:c r="J173" s="27" t="str">
        <x:v>data/raw/ptm45_hp_vds_1v_raw.txt</x:v>
      </x:c>
    </x:row>
    <x:row r="174">
      <x:c r="A174" s="25" t="str">
        <x:v>HP</x:v>
      </x:c>
      <x:c r="B174" s="35" t="n">
        <x:v>1</x:v>
      </x:c>
      <x:c r="C174" s="35" t="n">
        <x:v>0.6450000000000006</x:v>
      </x:c>
      <x:c r="D174" s="50" t="n">
        <x:v>0.0005946277042531</x:v>
      </x:c>
      <x:c r="E174" s="47" t="n">
        <x:f>LN(D174)/LN(10)</x:f>
        <x:v>-3.2257548604792885</x:v>
      </x:c>
      <x:c r="F174" s="50" t="n">
        <x:v>0.0013392062411556</x:v>
      </x:c>
      <x:c r="G174" s="98" t="n">
        <x:f>D174/F174</x:f>
        <x:v>0.44401503366650696</x:v>
      </x:c>
      <x:c r="H174" s="26" t="str">
        <x:f>IF(G174&lt;=1%,"YES","NO")</x:f>
        <x:v>NO</x:v>
      </x:c>
      <x:c r="I174" s="26" t="str">
        <x:v>nominal_vdd</x:v>
      </x:c>
      <x:c r="J174" s="27" t="str">
        <x:v>data/raw/ptm45_hp_vds_1v_raw.txt</x:v>
      </x:c>
    </x:row>
    <x:row r="175">
      <x:c r="A175" s="25" t="str">
        <x:v>HP</x:v>
      </x:c>
      <x:c r="B175" s="35" t="n">
        <x:v>1</x:v>
      </x:c>
      <x:c r="C175" s="35" t="n">
        <x:v>0.6500000000000006</x:v>
      </x:c>
      <x:c r="D175" s="50" t="n">
        <x:v>0.0006052419286136</x:v>
      </x:c>
      <x:c r="E175" s="47" t="n">
        <x:f>LN(D175)/LN(10)</x:f>
        <x:v>-3.218070993512744</x:v>
      </x:c>
      <x:c r="F175" s="50" t="n">
        <x:v>0.0013392062411556</x:v>
      </x:c>
      <x:c r="G175" s="98" t="n">
        <x:f>D175/F175</x:f>
        <x:v>0.4519407915029856</x:v>
      </x:c>
      <x:c r="H175" s="26" t="str">
        <x:f>IF(G175&lt;=1%,"YES","NO")</x:f>
        <x:v>NO</x:v>
      </x:c>
      <x:c r="I175" s="26" t="str">
        <x:v>nominal_vdd</x:v>
      </x:c>
      <x:c r="J175" s="27" t="str">
        <x:v>data/raw/ptm45_hp_vds_1v_raw.txt</x:v>
      </x:c>
    </x:row>
    <x:row r="176">
      <x:c r="A176" s="25" t="str">
        <x:v>HP</x:v>
      </x:c>
      <x:c r="B176" s="35" t="n">
        <x:v>1</x:v>
      </x:c>
      <x:c r="C176" s="35" t="n">
        <x:v>0.6550000000000006</x:v>
      </x:c>
      <x:c r="D176" s="50" t="n">
        <x:v>0.0006158558774943</x:v>
      </x:c>
      <x:c r="E176" s="47" t="n">
        <x:f>LN(D176)/LN(10)</x:f>
        <x:v>-3.2105209094787757</x:v>
      </x:c>
      <x:c r="F176" s="50" t="n">
        <x:v>0.0013392062411556</x:v>
      </x:c>
      <x:c r="G176" s="98" t="n">
        <x:f>D176/F176</x:f>
        <x:v>0.4598663436356737</x:v>
      </x:c>
      <x:c r="H176" s="26" t="str">
        <x:f>IF(G176&lt;=1%,"YES","NO")</x:f>
        <x:v>NO</x:v>
      </x:c>
      <x:c r="I176" s="26" t="str">
        <x:v>nominal_vdd</x:v>
      </x:c>
      <x:c r="J176" s="27" t="str">
        <x:v>data/raw/ptm45_hp_vds_1v_raw.txt</x:v>
      </x:c>
    </x:row>
    <x:row r="177">
      <x:c r="A177" s="25" t="str">
        <x:v>HP</x:v>
      </x:c>
      <x:c r="B177" s="35" t="n">
        <x:v>1</x:v>
      </x:c>
      <x:c r="C177" s="35" t="n">
        <x:v>0.6600000000000006</x:v>
      </x:c>
      <x:c r="D177" s="50" t="n">
        <x:v>0.0006264690623075</x:v>
      </x:c>
      <x:c r="E177" s="47" t="n">
        <x:f>LN(D177)/LN(10)</x:f>
        <x:v>-3.203100371439017</x:v>
      </x:c>
      <x:c r="F177" s="50" t="n">
        <x:v>0.0013392062411556</x:v>
      </x:c>
      <x:c r="G177" s="98" t="n">
        <x:f>D177/F177</x:f>
        <x:v>0.4677913252307728</x:v>
      </x:c>
      <x:c r="H177" s="26" t="str">
        <x:f>IF(G177&lt;=1%,"YES","NO")</x:f>
        <x:v>NO</x:v>
      </x:c>
      <x:c r="I177" s="26" t="str">
        <x:v>nominal_vdd</x:v>
      </x:c>
      <x:c r="J177" s="27" t="str">
        <x:v>data/raw/ptm45_hp_vds_1v_raw.txt</x:v>
      </x:c>
    </x:row>
    <x:row r="178">
      <x:c r="A178" s="25" t="str">
        <x:v>HP</x:v>
      </x:c>
      <x:c r="B178" s="35" t="n">
        <x:v>1</x:v>
      </x:c>
      <x:c r="C178" s="35" t="n">
        <x:v>0.6650000000000006</x:v>
      </x:c>
      <x:c r="D178" s="50" t="n">
        <x:v>0.0006370810434385</x:v>
      </x:c>
      <x:c r="E178" s="47" t="n">
        <x:f>LN(D178)/LN(10)</x:f>
        <x:v>-3.1958053173046133</x:v>
      </x:c>
      <x:c r="F178" s="50" t="n">
        <x:v>0.0013392062411556</x:v>
      </x:c>
      <x:c r="G178" s="98" t="n">
        <x:f>D178/F178</x:f>
        <x:v>0.47571540802316103</x:v>
      </x:c>
      <x:c r="H178" s="26" t="str">
        <x:f>IF(G178&lt;=1%,"YES","NO")</x:f>
        <x:v>NO</x:v>
      </x:c>
      <x:c r="I178" s="26" t="str">
        <x:v>nominal_vdd</x:v>
      </x:c>
      <x:c r="J178" s="27" t="str">
        <x:v>data/raw/ptm45_hp_vds_1v_raw.txt</x:v>
      </x:c>
    </x:row>
    <x:row r="179">
      <x:c r="A179" s="25" t="str">
        <x:v>HP</x:v>
      </x:c>
      <x:c r="B179" s="35" t="n">
        <x:v>1</x:v>
      </x:c>
      <x:c r="C179" s="35" t="n">
        <x:v>0.6700000000000006</x:v>
      </x:c>
      <x:c r="D179" s="50" t="n">
        <x:v>0.0006476914260806</x:v>
      </x:c>
      <x:c r="E179" s="47" t="n">
        <x:f>LN(D179)/LN(10)</x:f>
        <x:v>-3.1886318519510923</x:v>
      </x:c>
      <x:c r="F179" s="50" t="n">
        <x:v>0.0013392062411556</x:v>
      </x:c>
      <x:c r="G179" s="98" t="n">
        <x:f>D179/F179</x:f>
        <x:v>0.4836382972063419</x:v>
      </x:c>
      <x:c r="H179" s="26" t="str">
        <x:f>IF(G179&lt;=1%,"YES","NO")</x:f>
        <x:v>NO</x:v>
      </x:c>
      <x:c r="I179" s="26" t="str">
        <x:v>nominal_vdd</x:v>
      </x:c>
      <x:c r="J179" s="27" t="str">
        <x:v>data/raw/ptm45_hp_vds_1v_raw.txt</x:v>
      </x:c>
    </x:row>
    <x:row r="180">
      <x:c r="A180" s="25" t="str">
        <x:v>HP</x:v>
      </x:c>
      <x:c r="B180" s="35" t="n">
        <x:v>1</x:v>
      </x:c>
      <x:c r="C180" s="35" t="n">
        <x:v>0.6750000000000006</x:v>
      </x:c>
      <x:c r="D180" s="50" t="n">
        <x:v>0.0006582998563704</x:v>
      </x:c>
      <x:c r="E180" s="47" t="n">
        <x:f>LN(D180)/LN(10)</x:f>
        <x:v>-3.1815762396634266</x:v>
      </x:c>
      <x:c r="F180" s="50" t="n">
        <x:v>0.0013392062411556</x:v>
      </x:c>
      <x:c r="G180" s="98" t="n">
        <x:f>D180/F180</x:f>
        <x:v>0.49155972854663044</x:v>
      </x:c>
      <x:c r="H180" s="26" t="str">
        <x:f>IF(G180&lt;=1%,"YES","NO")</x:f>
        <x:v>NO</x:v>
      </x:c>
      <x:c r="I180" s="26" t="str">
        <x:v>nominal_vdd</x:v>
      </x:c>
      <x:c r="J180" s="27" t="str">
        <x:v>data/raw/ptm45_hp_vds_1v_raw.txt</x:v>
      </x:c>
    </x:row>
    <x:row r="181">
      <x:c r="A181" s="25" t="str">
        <x:v>HP</x:v>
      </x:c>
      <x:c r="B181" s="35" t="n">
        <x:v>1</x:v>
      </x:c>
      <x:c r="C181" s="35" t="n">
        <x:v>0.6800000000000006</x:v>
      </x:c>
      <x:c r="D181" s="50" t="n">
        <x:v>0.0006689060178056</x:v>
      </x:c>
      <x:c r="E181" s="47" t="n">
        <x:f>LN(D181)/LN(10)</x:f>
        <x:v>-3.174634896904282</x:v>
      </x:c>
      <x:c r="F181" s="50" t="n">
        <x:v>0.0013392062411556</x:v>
      </x:c>
      <x:c r="G181" s="98" t="n">
        <x:f>D181/F181</x:f>
        <x:v>0.4994794657082852</x:v>
      </x:c>
      <x:c r="H181" s="26" t="str">
        <x:f>IF(G181&lt;=1%,"YES","NO")</x:f>
        <x:v>NO</x:v>
      </x:c>
      <x:c r="I181" s="26" t="str">
        <x:v>nominal_vdd</x:v>
      </x:c>
      <x:c r="J181" s="27" t="str">
        <x:v>data/raw/ptm45_hp_vds_1v_raw.txt</x:v>
      </x:c>
    </x:row>
    <x:row r="182">
      <x:c r="A182" s="25" t="str">
        <x:v>HP</x:v>
      </x:c>
      <x:c r="B182" s="35" t="n">
        <x:v>1</x:v>
      </x:c>
      <x:c r="C182" s="35" t="n">
        <x:v>0.6850000000000006</x:v>
      </x:c>
      <x:c r="D182" s="50" t="n">
        <x:v>0.0006795096279292</x:v>
      </x:c>
      <x:c r="E182" s="47" t="n">
        <x:f>LN(D182)/LN(10)</x:f>
        <x:v>-3.16780438539668</x:v>
      </x:c>
      <x:c r="F182" s="50" t="n">
        <x:v>0.0013392062411556</x:v>
      </x:c>
      <x:c r="G182" s="98" t="n">
        <x:f>D182/F182</x:f>
        <x:v>0.5073972977775639</x:v>
      </x:c>
      <x:c r="H182" s="26" t="str">
        <x:f>IF(G182&lt;=1%,"YES","NO")</x:f>
        <x:v>NO</x:v>
      </x:c>
      <x:c r="I182" s="26" t="str">
        <x:v>nominal_vdd</x:v>
      </x:c>
      <x:c r="J182" s="27" t="str">
        <x:v>data/raw/ptm45_hp_vds_1v_raw.txt</x:v>
      </x:c>
    </x:row>
    <x:row r="183">
      <x:c r="A183" s="25" t="str">
        <x:v>HP</x:v>
      </x:c>
      <x:c r="B183" s="35" t="n">
        <x:v>1</x:v>
      </x:c>
      <x:c r="C183" s="35" t="n">
        <x:v>0.6900000000000006</x:v>
      </x:c>
      <x:c r="D183" s="50" t="n">
        <x:v>0.0006901104352651</x:v>
      </x:c>
      <x:c r="E183" s="47" t="n">
        <x:f>LN(D183)/LN(10)</x:f>
        <x:v>-3.1610814055112804</x:v>
      </x:c>
      <x:c r="F183" s="50" t="n">
        <x:v>0.0013392062411556</x:v>
      </x:c>
      <x:c r="G183" s="98" t="n">
        <x:f>D183/F183</x:f>
        <x:v>0.5153130369745024</x:v>
      </x:c>
      <x:c r="H183" s="26" t="str">
        <x:f>IF(G183&lt;=1%,"YES","NO")</x:f>
        <x:v>NO</x:v>
      </x:c>
      <x:c r="I183" s="26" t="str">
        <x:v>nominal_vdd</x:v>
      </x:c>
      <x:c r="J183" s="27" t="str">
        <x:v>data/raw/ptm45_hp_vds_1v_raw.txt</x:v>
      </x:c>
    </x:row>
    <x:row r="184">
      <x:c r="A184" s="25" t="str">
        <x:v>HP</x:v>
      </x:c>
      <x:c r="B184" s="35" t="n">
        <x:v>1</x:v>
      </x:c>
      <x:c r="C184" s="35" t="n">
        <x:v>0.6950000000000006</x:v>
      </x:c>
      <x:c r="D184" s="50" t="n">
        <x:v>0.0007007082164866</x:v>
      </x:c>
      <x:c r="E184" s="47" t="n">
        <x:f>LN(D184)/LN(10)</x:f>
        <x:v>-3.154462789950595</x:v>
      </x:c>
      <x:c r="F184" s="50" t="n">
        <x:v>0.0013392062411556</x:v>
      </x:c>
      <x:c r="G184" s="98" t="n">
        <x:f>D184/F184</x:f>
        <x:v>0.5232265165386023</x:v>
      </x:c>
      <x:c r="H184" s="26" t="str">
        <x:f>IF(G184&lt;=1%,"YES","NO")</x:f>
        <x:v>NO</x:v>
      </x:c>
      <x:c r="I184" s="26" t="str">
        <x:v>nominal_vdd</x:v>
      </x:c>
      <x:c r="J184" s="27" t="str">
        <x:v>data/raw/ptm45_hp_vds_1v_raw.txt</x:v>
      </x:c>
    </x:row>
    <x:row r="185">
      <x:c r="A185" s="25" t="str">
        <x:v>HP</x:v>
      </x:c>
      <x:c r="B185" s="35" t="n">
        <x:v>1</x:v>
      </x:c>
      <x:c r="C185" s="35" t="n">
        <x:v>0.7000000000000006</x:v>
      </x:c>
      <x:c r="D185" s="50" t="n">
        <x:v>0.0007113027738068</x:v>
      </x:c>
      <x:c r="E185" s="47" t="n">
        <x:f>LN(D185)/LN(10)</x:f>
        <x:v>-3.1479454977176724</x:v>
      </x:c>
      <x:c r="F185" s="50" t="n">
        <x:v>0.0013392062411556</x:v>
      </x:c>
      <x:c r="G185" s="98" t="n">
        <x:f>D185/F185</x:f>
        <x:v>0.5311375887802147</x:v>
      </x:c>
      <x:c r="H185" s="26" t="str">
        <x:f>IF(G185&lt;=1%,"YES","NO")</x:f>
        <x:v>NO</x:v>
      </x:c>
      <x:c r="I185" s="26" t="str">
        <x:v>nominal_vdd</x:v>
      </x:c>
      <x:c r="J185" s="27" t="str">
        <x:v>data/raw/ptm45_hp_vds_1v_raw.txt</x:v>
      </x:c>
    </x:row>
    <x:row r="186">
      <x:c r="A186" s="25" t="str">
        <x:v>HP</x:v>
      </x:c>
      <x:c r="B186" s="35" t="n">
        <x:v>1</x:v>
      </x:c>
      <x:c r="C186" s="35" t="n">
        <x:v>0.7050000000000006</x:v>
      </x:c>
      <x:c r="D186" s="50" t="n">
        <x:v>0.0007218939325728</x:v>
      </x:c>
      <x:c r="E186" s="47" t="n">
        <x:f>LN(D186)/LN(10)</x:f>
        <x:v>-3.1415266083615117</x:v>
      </x:c>
      <x:c r="F186" s="50" t="n">
        <x:v>0.0013392062411556</x:v>
      </x:c>
      <x:c r="G186" s="98" t="n">
        <x:f>D186/F186</x:f>
        <x:v>0.5390461232841017</x:v>
      </x:c>
      <x:c r="H186" s="26" t="str">
        <x:f>IF(G186&lt;=1%,"YES","NO")</x:f>
        <x:v>NO</x:v>
      </x:c>
      <x:c r="I186" s="26" t="str">
        <x:v>nominal_vdd</x:v>
      </x:c>
      <x:c r="J186" s="27" t="str">
        <x:v>data/raw/ptm45_hp_vds_1v_raw.txt</x:v>
      </x:c>
    </x:row>
    <x:row r="187">
      <x:c r="A187" s="25" t="str">
        <x:v>HP</x:v>
      </x:c>
      <x:c r="B187" s="35" t="n">
        <x:v>1</x:v>
      </x:c>
      <x:c r="C187" s="35" t="n">
        <x:v>0.7100000000000006</x:v>
      </x:c>
      <x:c r="D187" s="50" t="n">
        <x:v>0.0007324815390527</x:v>
      </x:c>
      <x:c r="E187" s="47" t="n">
        <x:f>LN(D187)/LN(10)</x:f>
        <x:v>-3.135203316487267</x:v>
      </x:c>
      <x:c r="F187" s="50" t="n">
        <x:v>0.0013392062411556</x:v>
      </x:c>
      <x:c r="G187" s="98" t="n">
        <x:f>D187/F187</x:f>
        <x:v>0.5469520052569665</x:v>
      </x:c>
      <x:c r="H187" s="26" t="str">
        <x:f>IF(G187&lt;=1%,"YES","NO")</x:f>
        <x:v>NO</x:v>
      </x:c>
      <x:c r="I187" s="26" t="str">
        <x:v>nominal_vdd</x:v>
      </x:c>
      <x:c r="J187" s="27" t="str">
        <x:v>data/raw/ptm45_hp_vds_1v_raw.txt</x:v>
      </x:c>
    </x:row>
    <x:row r="188">
      <x:c r="A188" s="25" t="str">
        <x:v>HP</x:v>
      </x:c>
      <x:c r="B188" s="35" t="n">
        <x:v>1</x:v>
      </x:c>
      <x:c r="C188" s="35" t="n">
        <x:v>0.7150000000000006</x:v>
      </x:c>
      <x:c r="D188" s="50" t="n">
        <x:v>0.0007430654584006</x:v>
      </x:c>
      <x:c r="E188" s="47" t="n">
        <x:f>LN(D188)/LN(10)</x:f>
        <x:v>-3.128972926522085</x:v>
      </x:c>
      <x:c r="F188" s="50" t="n">
        <x:v>0.0013392062411556</x:v>
      </x:c>
      <x:c r="G188" s="98" t="n">
        <x:f>D188/F188</x:f>
        <x:v>0.5548551340078952</x:v>
      </x:c>
      <x:c r="H188" s="26" t="str">
        <x:f>IF(G188&lt;=1%,"YES","NO")</x:f>
        <x:v>NO</x:v>
      </x:c>
      <x:c r="I188" s="26" t="str">
        <x:v>nominal_vdd</x:v>
      </x:c>
      <x:c r="J188" s="27" t="str">
        <x:v>data/raw/ptm45_hp_vds_1v_raw.txt</x:v>
      </x:c>
    </x:row>
    <x:row r="189">
      <x:c r="A189" s="25" t="str">
        <x:v>HP</x:v>
      </x:c>
      <x:c r="B189" s="35" t="n">
        <x:v>1</x:v>
      </x:c>
      <x:c r="C189" s="35" t="n">
        <x:v>0.7200000000000006</x:v>
      </x:c>
      <x:c r="D189" s="50" t="n">
        <x:v>0.0007536455727879</x:v>
      </x:c>
      <x:c r="E189" s="47" t="n">
        <x:f>LN(D189)/LN(10)</x:f>
        <x:v>-3.122832847725942</x:v>
      </x:c>
      <x:c r="F189" s="50" t="n">
        <x:v>0.0013392062411556</x:v>
      </x:c>
      <x:c r="G189" s="98" t="n">
        <x:f>D189/F189</x:f>
        <x:v>0.5627554215529789</x:v>
      </x:c>
      <x:c r="H189" s="26" t="str">
        <x:f>IF(G189&lt;=1%,"YES","NO")</x:f>
        <x:v>NO</x:v>
      </x:c>
      <x:c r="I189" s="26" t="str">
        <x:v>nominal_vdd</x:v>
      </x:c>
      <x:c r="J189" s="27" t="str">
        <x:v>data/raw/ptm45_hp_vds_1v_raw.txt</x:v>
      </x:c>
    </x:row>
    <x:row r="190">
      <x:c r="A190" s="25" t="str">
        <x:v>HP</x:v>
      </x:c>
      <x:c r="B190" s="35" t="n">
        <x:v>1</x:v>
      </x:c>
      <x:c r="C190" s="35" t="n">
        <x:v>0.7250000000000006</x:v>
      </x:c>
      <x:c r="D190" s="50" t="n">
        <x:v>0.0007642217796893</x:v>
      </x:c>
      <x:c r="E190" s="47" t="n">
        <x:f>LN(D190)/LN(10)</x:f>
        <x:v>-3.1167805894373304</x:v>
      </x:c>
      <x:c r="F190" s="50" t="n">
        <x:v>0.0013392062411556</x:v>
      </x:c>
      <x:c r="G190" s="98" t="n">
        <x:f>D190/F190</x:f>
        <x:v>0.5706527913354509</x:v>
      </x:c>
      <x:c r="H190" s="26" t="str">
        <x:f>IF(G190&lt;=1%,"YES","NO")</x:f>
        <x:v>NO</x:v>
      </x:c>
      <x:c r="I190" s="26" t="str">
        <x:v>nominal_vdd</x:v>
      </x:c>
      <x:c r="J190" s="27" t="str">
        <x:v>data/raw/ptm45_hp_vds_1v_raw.txt</x:v>
      </x:c>
    </x:row>
    <x:row r="191">
      <x:c r="A191" s="25" t="str">
        <x:v>HP</x:v>
      </x:c>
      <x:c r="B191" s="35" t="n">
        <x:v>1</x:v>
      </x:c>
      <x:c r="C191" s="35" t="n">
        <x:v>0.7300000000000006</x:v>
      </x:c>
      <x:c r="D191" s="50" t="n">
        <x:v>0.0007747939903119</x:v>
      </x:c>
      <x:c r="E191" s="47" t="n">
        <x:f>LN(D191)/LN(10)</x:f>
        <x:v>-3.1108137565441787</x:v>
      </x:c>
      <x:c r="F191" s="50" t="n">
        <x:v>0.0013392062411556</x:v>
      </x:c>
      <x:c r="G191" s="98" t="n">
        <x:f>D191/F191</x:f>
        <x:v>0.5785471770526779</x:v>
      </x:c>
      <x:c r="H191" s="26" t="str">
        <x:f>IF(G191&lt;=1%,"YES","NO")</x:f>
        <x:v>NO</x:v>
      </x:c>
      <x:c r="I191" s="26" t="str">
        <x:v>nominal_vdd</x:v>
      </x:c>
      <x:c r="J191" s="27" t="str">
        <x:v>data/raw/ptm45_hp_vds_1v_raw.txt</x:v>
      </x:c>
    </x:row>
    <x:row r="192">
      <x:c r="A192" s="25" t="str">
        <x:v>HP</x:v>
      </x:c>
      <x:c r="B192" s="35" t="n">
        <x:v>1</x:v>
      </x:c>
      <x:c r="C192" s="35" t="n">
        <x:v>0.7350000000000007</x:v>
      </x:c>
      <x:c r="D192" s="50" t="n">
        <x:v>0.0007853621281574</x:v>
      </x:c>
      <x:c r="E192" s="47" t="n">
        <x:f>LN(D192)/LN(10)</x:f>
        <x:v>-3.1049300451700335</x:v>
      </x:c>
      <x:c r="F192" s="50" t="n">
        <x:v>0.0013392062411556</x:v>
      </x:c>
      <x:c r="G192" s="98" t="n">
        <x:f>D192/F192</x:f>
        <x:v>0.5864385215825396</x:v>
      </x:c>
      <x:c r="H192" s="26" t="str">
        <x:f>IF(G192&lt;=1%,"YES","NO")</x:f>
        <x:v>NO</x:v>
      </x:c>
      <x:c r="I192" s="26" t="str">
        <x:v>nominal_vdd</x:v>
      </x:c>
      <x:c r="J192" s="27" t="str">
        <x:v>data/raw/ptm45_hp_vds_1v_raw.txt</x:v>
      </x:c>
    </x:row>
    <x:row r="193">
      <x:c r="A193" s="25" t="str">
        <x:v>HP</x:v>
      </x:c>
      <x:c r="B193" s="35" t="n">
        <x:v>1</x:v>
      </x:c>
      <x:c r="C193" s="35" t="n">
        <x:v>0.7400000000000007</x:v>
      </x:c>
      <x:c r="D193" s="50" t="n">
        <x:v>0.0007959261277072</x:v>
      </x:c>
      <x:c r="E193" s="47" t="n">
        <x:f>LN(D193)/LN(10)</x:f>
        <x:v>-3.0991272385662394</x:v>
      </x:c>
      <x:c r="F193" s="50" t="n">
        <x:v>0.0013392062411556</x:v>
      </x:c>
      <x:c r="G193" s="98" t="n">
        <x:f>D193/F193</x:f>
        <x:v>0.5943267760015783</x:v>
      </x:c>
      <x:c r="H193" s="26" t="str">
        <x:f>IF(G193&lt;=1%,"YES","NO")</x:f>
        <x:v>NO</x:v>
      </x:c>
      <x:c r="I193" s="26" t="str">
        <x:v>nominal_vdd</x:v>
      </x:c>
      <x:c r="J193" s="27" t="str">
        <x:v>data/raw/ptm45_hp_vds_1v_raw.txt</x:v>
      </x:c>
    </x:row>
    <x:row r="194">
      <x:c r="A194" s="25" t="str">
        <x:v>HP</x:v>
      </x:c>
      <x:c r="B194" s="35" t="n">
        <x:v>1</x:v>
      </x:c>
      <x:c r="C194" s="35" t="n">
        <x:v>0.7450000000000007</x:v>
      </x:c>
      <x:c r="D194" s="50" t="n">
        <x:v>0.0008064859332213</x:v>
      </x:c>
      <x:c r="E194" s="47" t="n">
        <x:f>LN(D194)/LN(10)</x:f>
        <x:v>-3.093403203200804</x:v>
      </x:c>
      <x:c r="F194" s="50" t="n">
        <x:v>0.0013392062411556</x:v>
      </x:c>
      <x:c r="G194" s="98" t="n">
        <x:f>D194/F194</x:f>
        <x:v>0.6022118986881243</x:v>
      </x:c>
      <x:c r="H194" s="26" t="str">
        <x:f>IF(G194&lt;=1%,"YES","NO")</x:f>
        <x:v>NO</x:v>
      </x:c>
      <x:c r="I194" s="26" t="str">
        <x:v>nominal_vdd</x:v>
      </x:c>
      <x:c r="J194" s="27" t="str">
        <x:v>data/raw/ptm45_hp_vds_1v_raw.txt</x:v>
      </x:c>
    </x:row>
    <x:row r="195">
      <x:c r="A195" s="25" t="str">
        <x:v>HP</x:v>
      </x:c>
      <x:c r="B195" s="35" t="n">
        <x:v>1</x:v>
      </x:c>
      <x:c r="C195" s="35" t="n">
        <x:v>0.7500000000000007</x:v>
      </x:c>
      <x:c r="D195" s="50" t="n">
        <x:v>0.0008170414976427</x:v>
      </x:c>
      <x:c r="E195" s="47" t="n">
        <x:f>LN(D195)/LN(10)</x:f>
        <x:v>-3.087755885034838</x:v>
      </x:c>
      <x:c r="F195" s="50" t="n">
        <x:v>0.0013392062411556</x:v>
      </x:c>
      <x:c r="G195" s="98" t="n">
        <x:f>D195/F195</x:f>
        <x:v>0.6100938545041991</x:v>
      </x:c>
      <x:c r="H195" s="26" t="str">
        <x:f>IF(G195&lt;=1%,"YES","NO")</x:f>
        <x:v>NO</x:v>
      </x:c>
      <x:c r="I195" s="26" t="str">
        <x:v>nominal_vdd</x:v>
      </x:c>
      <x:c r="J195" s="27" t="str">
        <x:v>data/raw/ptm45_hp_vds_1v_raw.txt</x:v>
      </x:c>
    </x:row>
    <x:row r="196">
      <x:c r="A196" s="25" t="str">
        <x:v>HP</x:v>
      </x:c>
      <x:c r="B196" s="35" t="n">
        <x:v>1</x:v>
      </x:c>
      <x:c r="C196" s="35" t="n">
        <x:v>0.7550000000000007</x:v>
      </x:c>
      <x:c r="D196" s="50" t="n">
        <x:v>0.0008275927815984</x:v>
      </x:c>
      <x:c r="E196" s="47" t="n">
        <x:f>LN(D196)/LN(10)</x:f>
        <x:v>-3.0821833059783357</x:v>
      </x:c>
      <x:c r="F196" s="50" t="n">
        <x:v>0.0013392062411556</x:v>
      </x:c>
      <x:c r="G196" s="98" t="n">
        <x:f>D196/F196</x:f>
        <x:v>0.6179726140495514</x:v>
      </x:c>
      <x:c r="H196" s="26" t="str">
        <x:f>IF(G196&lt;=1%,"YES","NO")</x:f>
        <x:v>NO</x:v>
      </x:c>
      <x:c r="I196" s="26" t="str">
        <x:v>nominal_vdd</x:v>
      </x:c>
      <x:c r="J196" s="27" t="str">
        <x:v>data/raw/ptm45_hp_vds_1v_raw.txt</x:v>
      </x:c>
    </x:row>
    <x:row r="197">
      <x:c r="A197" s="25" t="str">
        <x:v>HP</x:v>
      </x:c>
      <x:c r="B197" s="35" t="n">
        <x:v>1</x:v>
      </x:c>
      <x:c r="C197" s="35" t="n">
        <x:v>0.7600000000000007</x:v>
      </x:c>
      <x:c r="D197" s="50" t="n">
        <x:v>0.0008381397524908</x:v>
      </x:c>
      <x:c r="E197" s="47" t="n">
        <x:f>LN(D197)/LN(10)</x:f>
        <x:v>-3.076683560516227</x:v>
      </x:c>
      <x:c r="F197" s="50" t="n">
        <x:v>0.0013392062411556</x:v>
      </x:c>
      <x:c r="G197" s="98" t="n">
        <x:f>D197/F197</x:f>
        <x:v>0.6258481529831954</x:v>
      </x:c>
      <x:c r="H197" s="26" t="str">
        <x:f>IF(G197&lt;=1%,"YES","NO")</x:f>
        <x:v>NO</x:v>
      </x:c>
      <x:c r="I197" s="26" t="str">
        <x:v>nominal_vdd</x:v>
      </x:c>
      <x:c r="J197" s="27" t="str">
        <x:v>data/raw/ptm45_hp_vds_1v_raw.txt</x:v>
      </x:c>
    </x:row>
    <x:row r="198">
      <x:c r="A198" s="25" t="str">
        <x:v>HP</x:v>
      </x:c>
      <x:c r="B198" s="35" t="n">
        <x:v>1</x:v>
      </x:c>
      <x:c r="C198" s="35" t="n">
        <x:v>0.7650000000000007</x:v>
      </x:c>
      <x:c r="D198" s="50" t="n">
        <x:v>0.0008486823836705</x:v>
      </x:c>
      <x:c r="E198" s="47" t="n">
        <x:f>LN(D198)/LN(10)</x:f>
        <x:v>-3.0712548124976675</x:v>
      </x:c>
      <x:c r="F198" s="50" t="n">
        <x:v>0.0013392062411556</x:v>
      </x:c>
      <x:c r="G198" s="98" t="n">
        <x:f>D198/F198</x:f>
        <x:v>0.6337204514057317</x:v>
      </x:c>
      <x:c r="H198" s="26" t="str">
        <x:f>IF(G198&lt;=1%,"YES","NO")</x:f>
        <x:v>NO</x:v>
      </x:c>
      <x:c r="I198" s="26" t="str">
        <x:v>nominal_vdd</x:v>
      </x:c>
      <x:c r="J198" s="27" t="str">
        <x:v>data/raw/ptm45_hp_vds_1v_raw.txt</x:v>
      </x:c>
    </x:row>
    <x:row r="199">
      <x:c r="A199" s="25" t="str">
        <x:v>HP</x:v>
      </x:c>
      <x:c r="B199" s="35" t="n">
        <x:v>1</x:v>
      </x:c>
      <x:c r="C199" s="35" t="n">
        <x:v>0.7700000000000007</x:v>
      </x:c>
      <x:c r="D199" s="50" t="n">
        <x:v>0.0008592206536862</x:v>
      </x:c>
      <x:c r="E199" s="47" t="n">
        <x:f>LN(D199)/LN(10)</x:f>
        <x:v>-3.0658952920796447</x:v>
      </x:c>
      <x:c r="F199" s="50" t="n">
        <x:v>0.0013392062411556</x:v>
      </x:c>
      <x:c r="G199" s="98" t="n">
        <x:f>D199/F199</x:f>
        <x:v>0.6415894932992391</x:v>
      </x:c>
      <x:c r="H199" s="26" t="str">
        <x:f>IF(G199&lt;=1%,"YES","NO")</x:f>
        <x:v>NO</x:v>
      </x:c>
      <x:c r="I199" s="26" t="str">
        <x:v>nominal_vdd</x:v>
      </x:c>
      <x:c r="J199" s="27" t="str">
        <x:v>data/raw/ptm45_hp_vds_1v_raw.txt</x:v>
      </x:c>
    </x:row>
    <x:row r="200">
      <x:c r="A200" s="25" t="str">
        <x:v>HP</x:v>
      </x:c>
      <x:c r="B200" s="35" t="n">
        <x:v>1</x:v>
      </x:c>
      <x:c r="C200" s="35" t="n">
        <x:v>0.7750000000000007</x:v>
      </x:c>
      <x:c r="D200" s="50" t="n">
        <x:v>0.0008697545456038</x:v>
      </x:c>
      <x:c r="E200" s="47" t="n">
        <x:f>LN(D200)/LN(10)</x:f>
        <x:v>-3.060603292818386</x:v>
      </x:c>
      <x:c r="F200" s="50" t="n">
        <x:v>0.0013392062411556</x:v>
      </x:c>
      <x:c r="G200" s="98" t="n">
        <x:f>D200/F200</x:f>
        <x:v>0.6494552660188393</x:v>
      </x:c>
      <x:c r="H200" s="26" t="str">
        <x:f>IF(G200&lt;=1%,"YES","NO")</x:f>
        <x:v>NO</x:v>
      </x:c>
      <x:c r="I200" s="26" t="str">
        <x:v>nominal_vdd</x:v>
      </x:c>
      <x:c r="J200" s="27" t="str">
        <x:v>data/raw/ptm45_hp_vds_1v_raw.txt</x:v>
      </x:c>
    </x:row>
    <x:row r="201">
      <x:c r="A201" s="25" t="str">
        <x:v>HP</x:v>
      </x:c>
      <x:c r="B201" s="35" t="n">
        <x:v>1</x:v>
      </x:c>
      <x:c r="C201" s="35" t="n">
        <x:v>0.7800000000000007</x:v>
      </x:c>
      <x:c r="D201" s="50" t="n">
        <x:v>0.0008802840463896</x:v>
      </x:c>
      <x:c r="E201" s="47" t="n">
        <x:f>LN(D201)/LN(10)</x:f>
        <x:v>-3.0553771689011304</x:v>
      </x:c>
      <x:c r="F201" s="50" t="n">
        <x:v>0.0013392062411556</x:v>
      </x:c>
      <x:c r="G201" s="98" t="n">
        <x:f>D201/F201</x:f>
        <x:v>0.6573177598321254</x:v>
      </x:c>
      <x:c r="H201" s="26" t="str">
        <x:f>IF(G201&lt;=1%,"YES","NO")</x:f>
        <x:v>NO</x:v>
      </x:c>
      <x:c r="I201" s="26" t="str">
        <x:v>nominal_vdd</x:v>
      </x:c>
      <x:c r="J201" s="27" t="str">
        <x:v>data/raw/ptm45_hp_vds_1v_raw.txt</x:v>
      </x:c>
    </x:row>
    <x:row r="202">
      <x:c r="A202" s="25" t="str">
        <x:v>HP</x:v>
      </x:c>
      <x:c r="B202" s="35" t="n">
        <x:v>1</x:v>
      </x:c>
      <x:c r="C202" s="35" t="n">
        <x:v>0.7850000000000007</x:v>
      </x:c>
      <x:c r="D202" s="50" t="n">
        <x:v>0.0008908091463533</x:v>
      </x:c>
      <x:c r="E202" s="47" t="n">
        <x:f>LN(D202)/LN(10)</x:f>
        <x:v>-3.05021533251095</x:v>
      </x:c>
      <x:c r="F202" s="50" t="n">
        <x:v>0.0013392062411556</x:v>
      </x:c>
      <x:c r="G202" s="98" t="n">
        <x:f>D202/F202</x:f>
        <x:v>0.665176967503244</x:v>
      </x:c>
      <x:c r="H202" s="26" t="str">
        <x:f>IF(G202&lt;=1%,"YES","NO")</x:f>
        <x:v>NO</x:v>
      </x:c>
      <x:c r="I202" s="26" t="str">
        <x:v>nominal_vdd</x:v>
      </x:c>
      <x:c r="J202" s="27" t="str">
        <x:v>data/raw/ptm45_hp_vds_1v_raw.txt</x:v>
      </x:c>
    </x:row>
    <x:row r="203">
      <x:c r="A203" s="25" t="str">
        <x:v>HP</x:v>
      </x:c>
      <x:c r="B203" s="35" t="n">
        <x:v>1</x:v>
      </x:c>
      <x:c r="C203" s="35" t="n">
        <x:v>0.7900000000000007</x:v>
      </x:c>
      <x:c r="D203" s="50" t="n">
        <x:v>0.0009013298386442</x:v>
      </x:c>
      <x:c r="E203" s="47" t="n">
        <x:f>LN(D203)/LN(10)</x:f>
        <x:v>-3.045116251318942</x:v>
      </x:c>
      <x:c r="F203" s="50" t="n">
        <x:v>0.0013392062411556</x:v>
      </x:c>
      <x:c r="G203" s="98" t="n">
        <x:f>D203/F203</x:f>
        <x:v>0.6730328839167021</x:v>
      </x:c>
      <x:c r="H203" s="26" t="str">
        <x:f>IF(G203&lt;=1%,"YES","NO")</x:f>
        <x:v>NO</x:v>
      </x:c>
      <x:c r="I203" s="26" t="str">
        <x:v>nominal_vdd</x:v>
      </x:c>
      <x:c r="J203" s="27" t="str">
        <x:v>data/raw/ptm45_hp_vds_1v_raw.txt</x:v>
      </x:c>
    </x:row>
    <x:row r="204">
      <x:c r="A204" s="25" t="str">
        <x:v>HP</x:v>
      </x:c>
      <x:c r="B204" s="35" t="n">
        <x:v>1</x:v>
      </x:c>
      <x:c r="C204" s="35" t="n">
        <x:v>0.7950000000000007</x:v>
      </x:c>
      <x:c r="D204" s="50" t="n">
        <x:v>0.0009118461187972</x:v>
      </x:c>
      <x:c r="E204" s="47" t="n">
        <x:f>LN(D204)/LN(10)</x:f>
        <x:v>-3.0400784460969685</x:v>
      </x:c>
      <x:c r="F204" s="50" t="n">
        <x:v>0.0013392062411556</x:v>
      </x:c>
      <x:c r="G204" s="98" t="n">
        <x:f>D204/F204</x:f>
        <x:v>0.6808855057383609</x:v>
      </x:c>
      <x:c r="H204" s="26" t="str">
        <x:f>IF(G204&lt;=1%,"YES","NO")</x:f>
        <x:v>NO</x:v>
      </x:c>
      <x:c r="I204" s="26" t="str">
        <x:v>nominal_vdd</x:v>
      </x:c>
      <x:c r="J204" s="27" t="str">
        <x:v>data/raw/ptm45_hp_vds_1v_raw.txt</x:v>
      </x:c>
    </x:row>
    <x:row r="205">
      <x:c r="A205" s="25" t="str">
        <x:v>HP</x:v>
      </x:c>
      <x:c r="B205" s="35" t="n">
        <x:v>1</x:v>
      </x:c>
      <x:c r="C205" s="35" t="n">
        <x:v>0.8000000000000007</x:v>
      </x:c>
      <x:c r="D205" s="50" t="n">
        <x:v>0.0009223579843246</x:v>
      </x:c>
      <x:c r="E205" s="47" t="n">
        <x:f>LN(D205)/LN(10)</x:f>
        <x:v>-3.0351004884449</x:v>
      </x:c>
      <x:c r="F205" s="50" t="n">
        <x:v>0.0013392062411556</x:v>
      </x:c>
      <x:c r="G205" s="98" t="n">
        <x:f>D205/F205</x:f>
        <x:v>0.6887348311106272</x:v>
      </x:c>
      <x:c r="H205" s="26" t="str">
        <x:f>IF(G205&lt;=1%,"YES","NO")</x:f>
        <x:v>NO</x:v>
      </x:c>
      <x:c r="I205" s="26" t="str">
        <x:v>nominal_vdd</x:v>
      </x:c>
      <x:c r="J205" s="27" t="str">
        <x:v>data/raw/ptm45_hp_vds_1v_raw.txt</x:v>
      </x:c>
    </x:row>
    <x:row r="206">
      <x:c r="A206" s="25" t="str">
        <x:v>HP</x:v>
      </x:c>
      <x:c r="B206" s="35" t="n">
        <x:v>1</x:v>
      </x:c>
      <x:c r="C206" s="35" t="n">
        <x:v>0.8050000000000007</x:v>
      </x:c>
      <x:c r="D206" s="50" t="n">
        <x:v>0.0009328654343488</x:v>
      </x:c>
      <x:c r="E206" s="47" t="n">
        <x:f>LN(D206)/LN(10)</x:f>
        <x:v>-3.0301809986271624</x:v>
      </x:c>
      <x:c r="F206" s="50" t="n">
        <x:v>0.0013392062411556</x:v>
      </x:c>
      <x:c r="G206" s="98" t="n">
        <x:f>D206/F206</x:f>
        <x:v>0.6965808593781875</x:v>
      </x:c>
      <x:c r="H206" s="26" t="str">
        <x:f>IF(G206&lt;=1%,"YES","NO")</x:f>
        <x:v>NO</x:v>
      </x:c>
      <x:c r="I206" s="26" t="str">
        <x:v>nominal_vdd</x:v>
      </x:c>
      <x:c r="J206" s="27" t="str">
        <x:v>data/raw/ptm45_hp_vds_1v_raw.txt</x:v>
      </x:c>
    </x:row>
    <x:row r="207">
      <x:c r="A207" s="25" t="str">
        <x:v>HP</x:v>
      </x:c>
      <x:c r="B207" s="35" t="n">
        <x:v>1</x:v>
      </x:c>
      <x:c r="C207" s="35" t="n">
        <x:v>0.8100000000000007</x:v>
      </x:c>
      <x:c r="D207" s="50" t="n">
        <x:v>0.0009433684692735</x:v>
      </x:c>
      <x:c r="E207" s="47" t="n">
        <x:f>LN(D207)/LN(10)</x:f>
        <x:v>-3.025318643512589</x:v>
      </x:c>
      <x:c r="F207" s="50" t="n">
        <x:v>0.0013392062411556</x:v>
      </x:c>
      <x:c r="G207" s="98" t="n">
        <x:f>D207/F207</x:f>
        <x:v>0.7044235908424891</x:v>
      </x:c>
      <x:c r="H207" s="26" t="str">
        <x:f>IF(G207&lt;=1%,"YES","NO")</x:f>
        <x:v>NO</x:v>
      </x:c>
      <x:c r="I207" s="26" t="str">
        <x:v>nominal_vdd</x:v>
      </x:c>
      <x:c r="J207" s="27" t="str">
        <x:v>data/raw/ptm45_hp_vds_1v_raw.txt</x:v>
      </x:c>
    </x:row>
    <x:row r="208">
      <x:c r="A208" s="25" t="str">
        <x:v>HP</x:v>
      </x:c>
      <x:c r="B208" s="35" t="n">
        <x:v>1</x:v>
      </x:c>
      <x:c r="C208" s="35" t="n">
        <x:v>0.8150000000000007</x:v>
      </x:c>
      <x:c r="D208" s="50" t="n">
        <x:v>0.0009538670904892</x:v>
      </x:c>
      <x:c r="E208" s="47" t="n">
        <x:f>LN(D208)/LN(10)</x:f>
        <x:v>-3.020512134612842</x:v>
      </x:c>
      <x:c r="F208" s="50" t="n">
        <x:v>0.0013392062411556</x:v>
      </x:c>
      <x:c r="G208" s="98" t="n">
        <x:f>D208/F208</x:f>
        <x:v>0.7122630265418334</x:v>
      </x:c>
      <x:c r="H208" s="26" t="str">
        <x:f>IF(G208&lt;=1%,"YES","NO")</x:f>
        <x:v>NO</x:v>
      </x:c>
      <x:c r="I208" s="26" t="str">
        <x:v>nominal_vdd</x:v>
      </x:c>
      <x:c r="J208" s="27" t="str">
        <x:v>data/raw/ptm45_hp_vds_1v_raw.txt</x:v>
      </x:c>
    </x:row>
    <x:row r="209">
      <x:c r="A209" s="25" t="str">
        <x:v>HP</x:v>
      </x:c>
      <x:c r="B209" s="35" t="n">
        <x:v>1</x:v>
      </x:c>
      <x:c r="C209" s="35" t="n">
        <x:v>0.8200000000000007</x:v>
      </x:c>
      <x:c r="D209" s="50" t="n">
        <x:v>0.0009643613001104</x:v>
      </x:c>
      <x:c r="E209" s="47" t="n">
        <x:f>LN(D209)/LN(10)</x:f>
        <x:v>-3.015760226214259</x:v>
      </x:c>
      <x:c r="F209" s="50" t="n">
        <x:v>0.0013392062411556</x:v>
      </x:c>
      <x:c r="G209" s="98" t="n">
        <x:f>D209/F209</x:f>
        <x:v>0.720099168055141</x:v>
      </x:c>
      <x:c r="H209" s="26" t="str">
        <x:f>IF(G209&lt;=1%,"YES","NO")</x:f>
        <x:v>NO</x:v>
      </x:c>
      <x:c r="I209" s="26" t="str">
        <x:v>nominal_vdd</x:v>
      </x:c>
      <x:c r="J209" s="27" t="str">
        <x:v>data/raw/ptm45_hp_vds_1v_raw.txt</x:v>
      </x:c>
    </x:row>
    <x:row r="210">
      <x:c r="A210" s="25" t="str">
        <x:v>HP</x:v>
      </x:c>
      <x:c r="B210" s="35" t="n">
        <x:v>1</x:v>
      </x:c>
      <x:c r="C210" s="35" t="n">
        <x:v>0.8250000000000007</x:v>
      </x:c>
      <x:c r="D210" s="50" t="n">
        <x:v>0.000974851100742</x:v>
      </x:c>
      <x:c r="E210" s="47" t="n">
        <x:f>LN(D210)/LN(10)</x:f>
        <x:v>-3.01106171359831</x:v>
      </x:c>
      <x:c r="F210" s="50" t="n">
        <x:v>0.0013392062411556</x:v>
      </x:c>
      <x:c r="G210" s="98" t="n">
        <x:f>D210/F210</x:f>
        <x:v>0.7279320173275192</x:v>
      </x:c>
      <x:c r="H210" s="26" t="str">
        <x:f>IF(G210&lt;=1%,"YES","NO")</x:f>
        <x:v>NO</x:v>
      </x:c>
      <x:c r="I210" s="26" t="str">
        <x:v>nominal_vdd</x:v>
      </x:c>
      <x:c r="J210" s="27" t="str">
        <x:v>data/raw/ptm45_hp_vds_1v_raw.txt</x:v>
      </x:c>
    </x:row>
    <x:row r="211">
      <x:c r="A211" s="25" t="str">
        <x:v>HP</x:v>
      </x:c>
      <x:c r="B211" s="35" t="n">
        <x:v>1</x:v>
      </x:c>
      <x:c r="C211" s="35" t="n">
        <x:v>0.8300000000000007</x:v>
      </x:c>
      <x:c r="D211" s="50" t="n">
        <x:v>0.0009853364952711</x:v>
      </x:c>
      <x:c r="E211" s="47" t="n">
        <x:f>LN(D211)/LN(10)</x:f>
        <x:v>-3.0064154313467513</x:v>
      </x:c>
      <x:c r="F211" s="50" t="n">
        <x:v>0.0013392062411556</x:v>
      </x:c>
      <x:c r="G211" s="98" t="n">
        <x:f>D211/F211</x:f>
        <x:v>0.7357615765147973</x:v>
      </x:c>
      <x:c r="H211" s="26" t="str">
        <x:f>IF(G211&lt;=1%,"YES","NO")</x:f>
        <x:v>NO</x:v>
      </x:c>
      <x:c r="I211" s="26" t="str">
        <x:v>nominal_vdd</x:v>
      </x:c>
      <x:c r="J211" s="27" t="str">
        <x:v>data/raw/ptm45_hp_vds_1v_raw.txt</x:v>
      </x:c>
    </x:row>
    <x:row r="212">
      <x:c r="A212" s="25" t="str">
        <x:v>HP</x:v>
      </x:c>
      <x:c r="B212" s="35" t="n">
        <x:v>1</x:v>
      </x:c>
      <x:c r="C212" s="35" t="n">
        <x:v>0.8350000000000007</x:v>
      </x:c>
      <x:c r="D212" s="50" t="n">
        <x:v>0.0009958174866837</x:v>
      </x:c>
      <x:c r="E212" s="47" t="n">
        <x:f>LN(D212)/LN(10)</x:f>
        <x:v>-3.0018202517263974</x:v>
      </x:c>
      <x:c r="F212" s="50" t="n">
        <x:v>0.0013392062411556</x:v>
      </x:c>
      <x:c r="G212" s="98" t="n">
        <x:f>D212/F212</x:f>
        <x:v>0.7435878478466542</x:v>
      </x:c>
      <x:c r="H212" s="26" t="str">
        <x:f>IF(G212&lt;=1%,"YES","NO")</x:f>
        <x:v>NO</x:v>
      </x:c>
      <x:c r="I212" s="26" t="str">
        <x:v>nominal_vdd</x:v>
      </x:c>
      <x:c r="J212" s="27" t="str">
        <x:v>data/raw/ptm45_hp_vds_1v_raw.txt</x:v>
      </x:c>
    </x:row>
    <x:row r="213">
      <x:c r="A213" s="25" t="str">
        <x:v>HP</x:v>
      </x:c>
      <x:c r="B213" s="35" t="n">
        <x:v>1</x:v>
      </x:c>
      <x:c r="C213" s="35" t="n">
        <x:v>0.8400000000000007</x:v>
      </x:c>
      <x:c r="D213" s="50" t="n">
        <x:v>0.0010062940779022</x:v>
      </x:c>
      <x:c r="E213" s="47" t="n">
        <x:f>LN(D213)/LN(10)</x:f>
        <x:v>-2.9972750831503405</x:v>
      </x:c>
      <x:c r="F213" s="50" t="n">
        <x:v>0.0013392062411556</x:v>
      </x:c>
      <x:c r="G213" s="98" t="n">
        <x:f>D213/F213</x:f>
        <x:v>0.7514108335052782</x:v>
      </x:c>
      <x:c r="H213" s="26" t="str">
        <x:f>IF(G213&lt;=1%,"YES","NO")</x:f>
        <x:v>NO</x:v>
      </x:c>
      <x:c r="I213" s="26" t="str">
        <x:v>nominal_vdd</x:v>
      </x:c>
      <x:c r="J213" s="27" t="str">
        <x:v>data/raw/ptm45_hp_vds_1v_raw.txt</x:v>
      </x:c>
    </x:row>
    <x:row r="214">
      <x:c r="A214" s="25" t="str">
        <x:v>HP</x:v>
      </x:c>
      <x:c r="B214" s="35" t="n">
        <x:v>1</x:v>
      </x:c>
      <x:c r="C214" s="35" t="n">
        <x:v>0.8450000000000008</x:v>
      </x:c>
      <x:c r="D214" s="50" t="n">
        <x:v>0.0010167662716433</x:v>
      </x:c>
      <x:c r="E214" s="47" t="n">
        <x:f>LN(D214)/LN(10)</x:f>
        <x:v>-2.9927788687110795</x:v>
      </x:c>
      <x:c r="F214" s="50" t="n">
        <x:v>0.0013392062411556</x:v>
      </x:c>
      <x:c r="G214" s="98" t="n">
        <x:f>D214/F214</x:f>
        <x:v>0.7592305355192589</x:v>
      </x:c>
      <x:c r="H214" s="26" t="str">
        <x:f>IF(G214&lt;=1%,"YES","NO")</x:f>
        <x:v>NO</x:v>
      </x:c>
      <x:c r="I214" s="26" t="str">
        <x:v>nominal_vdd</x:v>
      </x:c>
      <x:c r="J214" s="27" t="str">
        <x:v>data/raw/ptm45_hp_vds_1v_raw.txt</x:v>
      </x:c>
    </x:row>
    <x:row r="215">
      <x:c r="A215" s="25" t="str">
        <x:v>HP</x:v>
      </x:c>
      <x:c r="B215" s="35" t="n">
        <x:v>1</x:v>
      </x:c>
      <x:c r="C215" s="35" t="n">
        <x:v>0.8500000000000008</x:v>
      </x:c>
      <x:c r="D215" s="50" t="n">
        <x:v>0.0010272340702932</x:v>
      </x:c>
      <x:c r="E215" s="47" t="n">
        <x:f>LN(D215)/LN(10)</x:f>
        <x:v>-2.988330584782472</x:v>
      </x:c>
      <x:c r="F215" s="50" t="n">
        <x:v>0.0013392062411556</x:v>
      </x:c>
      <x:c r="G215" s="98" t="n">
        <x:f>D215/F215</x:f>
        <x:v>0.7670469556703982</x:v>
      </x:c>
      <x:c r="H215" s="26" t="str">
        <x:f>IF(G215&lt;=1%,"YES","NO")</x:f>
        <x:v>NO</x:v>
      </x:c>
      <x:c r="I215" s="26" t="str">
        <x:v>nominal_vdd</x:v>
      </x:c>
      <x:c r="J215" s="27" t="str">
        <x:v>data/raw/ptm45_hp_vds_1v_raw.txt</x:v>
      </x:c>
    </x:row>
    <x:row r="216">
      <x:c r="A216" s="25" t="str">
        <x:v>HP</x:v>
      </x:c>
      <x:c r="B216" s="35" t="n">
        <x:v>1</x:v>
      </x:c>
      <x:c r="C216" s="35" t="n">
        <x:v>0.8550000000000008</x:v>
      </x:c>
      <x:c r="D216" s="50" t="n">
        <x:v>0.0010376974757994</x:v>
      </x:c>
      <x:c r="E216" s="47" t="n">
        <x:f>LN(D216)/LN(10)</x:f>
        <x:v>-2.983929239686642</x:v>
      </x:c>
      <x:c r="F216" s="50" t="n">
        <x:v>0.0013392062411556</x:v>
      </x:c>
      <x:c r="G216" s="98" t="n">
        <x:f>D216/F216</x:f>
        <x:v>0.7748600954129155</x:v>
      </x:c>
      <x:c r="H216" s="26" t="str">
        <x:f>IF(G216&lt;=1%,"YES","NO")</x:f>
        <x:v>NO</x:v>
      </x:c>
      <x:c r="I216" s="26" t="str">
        <x:v>nominal_vdd</x:v>
      </x:c>
      <x:c r="J216" s="27" t="str">
        <x:v>data/raw/ptm45_hp_vds_1v_raw.txt</x:v>
      </x:c>
    </x:row>
    <x:row r="217">
      <x:c r="A217" s="25" t="str">
        <x:v>HP</x:v>
      </x:c>
      <x:c r="B217" s="35" t="n">
        <x:v>1</x:v>
      </x:c>
      <x:c r="C217" s="35" t="n">
        <x:v>0.8600000000000008</x:v>
      </x:c>
      <x:c r="D217" s="50" t="n">
        <x:v>0.0010481564895765</x:v>
      </x:c>
      <x:c r="E217" s="47" t="n">
        <x:f>LN(D217)/LN(10)</x:f>
        <x:v>-2.9795738724230003</x:v>
      </x:c>
      <x:c r="F217" s="50" t="n">
        <x:v>0.0013392062411556</x:v>
      </x:c>
      <x:c r="G217" s="98" t="n">
        <x:f>D217/F217</x:f>
        <x:v>0.7826699558031082</x:v>
      </x:c>
      <x:c r="H217" s="26" t="str">
        <x:f>IF(G217&lt;=1%,"YES","NO")</x:f>
        <x:v>NO</x:v>
      </x:c>
      <x:c r="I217" s="26" t="str">
        <x:v>nominal_vdd</x:v>
      </x:c>
      <x:c r="J217" s="27" t="str">
        <x:v>data/raw/ptm45_hp_vds_1v_raw.txt</x:v>
      </x:c>
    </x:row>
    <x:row r="218">
      <x:c r="A218" s="25" t="str">
        <x:v>HP</x:v>
      </x:c>
      <x:c r="B218" s="35" t="n">
        <x:v>1</x:v>
      </x:c>
      <x:c r="C218" s="35" t="n">
        <x:v>0.8650000000000008</x:v>
      </x:c>
      <x:c r="D218" s="50" t="n">
        <x:v>0.0010586111124261</x:v>
      </x:c>
      <x:c r="E218" s="47" t="n">
        <x:f>LN(D218)/LN(10)</x:f>
        <x:v>-2.9752635514556465</x:v>
      </x:c>
      <x:c r="F218" s="50" t="n">
        <x:v>0.0013392062411556</x:v>
      </x:c>
      <x:c r="G218" s="98" t="n">
        <x:f>D218/F218</x:f>
        <x:v>0.7904765374395398</x:v>
      </x:c>
      <x:c r="H218" s="26" t="str">
        <x:f>IF(G218&lt;=1%,"YES","NO")</x:f>
        <x:v>NO</x:v>
      </x:c>
      <x:c r="I218" s="26" t="str">
        <x:v>nominal_vdd</x:v>
      </x:c>
      <x:c r="J218" s="27" t="str">
        <x:v>data/raw/ptm45_hp_vds_1v_raw.txt</x:v>
      </x:c>
    </x:row>
    <x:row r="219">
      <x:c r="A219" s="25" t="str">
        <x:v>HP</x:v>
      </x:c>
      <x:c r="B219" s="35" t="n">
        <x:v>1</x:v>
      </x:c>
      <x:c r="C219" s="35" t="n">
        <x:v>0.8700000000000008</x:v>
      </x:c>
      <x:c r="D219" s="50" t="n">
        <x:v>0.0010690613444677</x:v>
      </x:c>
      <x:c r="E219" s="47" t="n">
        <x:f>LN(D219)/LN(10)</x:f>
        <x:v>-2.9709973735569513</x:v>
      </x:c>
      <x:c r="F219" s="50" t="n">
        <x:v>0.0013392062411556</x:v>
      </x:c>
      <x:c r="G219" s="98" t="n">
        <x:f>D219/F219</x:f>
        <x:v>0.7982798404114425</x:v>
      </x:c>
      <x:c r="H219" s="26" t="str">
        <x:f>IF(G219&lt;=1%,"YES","NO")</x:f>
        <x:v>NO</x:v>
      </x:c>
      <x:c r="I219" s="26" t="str">
        <x:v>nominal_vdd</x:v>
      </x:c>
      <x:c r="J219" s="27" t="str">
        <x:v>data/raw/ptm45_hp_vds_1v_raw.txt</x:v>
      </x:c>
    </x:row>
    <x:row r="220">
      <x:c r="A220" s="25" t="str">
        <x:v>HP</x:v>
      </x:c>
      <x:c r="B220" s="35" t="n">
        <x:v>1</x:v>
      </x:c>
      <x:c r="C220" s="35" t="n">
        <x:v>0.8750000000000008</x:v>
      </x:c>
      <x:c r="D220" s="50" t="n">
        <x:v>0.001079507185081</x:v>
      </x:c>
      <x:c r="E220" s="47" t="n">
        <x:f>LN(D220)/LN(10)</x:f>
        <x:v>-2.966774462703863</x:v>
      </x:c>
      <x:c r="F220" s="50" t="n">
        <x:v>0.0013392062411556</x:v>
      </x:c>
      <x:c r="G220" s="98" t="n">
        <x:f>D220/F220</x:f>
        <x:v>0.806079864255631</x:v>
      </x:c>
      <x:c r="H220" s="26" t="str">
        <x:f>IF(G220&lt;=1%,"YES","NO")</x:f>
        <x:v>NO</x:v>
      </x:c>
      <x:c r="I220" s="26" t="str">
        <x:v>nominal_vdd</x:v>
      </x:c>
      <x:c r="J220" s="27" t="str">
        <x:v>data/raw/ptm45_hp_vds_1v_raw.txt</x:v>
      </x:c>
    </x:row>
    <x:row r="221">
      <x:c r="A221" s="25" t="str">
        <x:v>HP</x:v>
      </x:c>
      <x:c r="B221" s="35" t="n">
        <x:v>1</x:v>
      </x:c>
      <x:c r="C221" s="35" t="n">
        <x:v>0.8800000000000008</x:v>
      </x:c>
      <x:c r="D221" s="50" t="n">
        <x:v>0.001089948632857</x:v>
      </x:c>
      <x:c r="E221" s="47" t="n">
        <x:f>LN(D221)/LN(10)</x:f>
        <x:v>-2.9625939690249035</x:v>
      </x:c>
      <x:c r="F221" s="50" t="n">
        <x:v>0.0013392062411556</x:v>
      </x:c>
      <x:c r="G221" s="98" t="n">
        <x:f>D221/F221</x:f>
        <x:v>0.8138766079199902</x:v>
      </x:c>
      <x:c r="H221" s="26" t="str">
        <x:f>IF(G221&lt;=1%,"YES","NO")</x:f>
        <x:v>NO</x:v>
      </x:c>
      <x:c r="I221" s="26" t="str">
        <x:v>nominal_vdd</x:v>
      </x:c>
      <x:c r="J221" s="27" t="str">
        <x:v>data/raw/ptm45_hp_vds_1v_raw.txt</x:v>
      </x:c>
    </x:row>
    <x:row r="222">
      <x:c r="A222" s="25" t="str">
        <x:v>HP</x:v>
      </x:c>
      <x:c r="B222" s="35" t="n">
        <x:v>1</x:v>
      </x:c>
      <x:c r="C222" s="35" t="n">
        <x:v>0.8850000000000008</x:v>
      </x:c>
      <x:c r="D222" s="50" t="n">
        <x:v>0.0011003856855589</x:v>
      </x:c>
      <x:c r="E222" s="47" t="n">
        <x:f>LN(D222)/LN(10)</x:f>
        <x:v>-2.958455067794546</x:v>
      </x:c>
      <x:c r="F222" s="50" t="n">
        <x:v>0.0013392062411556</x:v>
      </x:c>
      <x:c r="G222" s="98" t="n">
        <x:f>D222/F222</x:f>
        <x:v>0.8216700697342764</x:v>
      </x:c>
      <x:c r="H222" s="26" t="str">
        <x:f>IF(G222&lt;=1%,"YES","NO")</x:f>
        <x:v>NO</x:v>
      </x:c>
      <x:c r="I222" s="26" t="str">
        <x:v>nominal_vdd</x:v>
      </x:c>
      <x:c r="J222" s="27" t="str">
        <x:v>data/raw/ptm45_hp_vds_1v_raw.txt</x:v>
      </x:c>
    </x:row>
    <x:row r="223">
      <x:c r="A223" s="25" t="str">
        <x:v>HP</x:v>
      </x:c>
      <x:c r="B223" s="35" t="n">
        <x:v>1</x:v>
      </x:c>
      <x:c r="C223" s="35" t="n">
        <x:v>0.8900000000000008</x:v>
      </x:c>
      <x:c r="D223" s="50" t="n">
        <x:v>0.0011108183400895</x:v>
      </x:c>
      <x:c r="E223" s="47" t="n">
        <x:f>LN(D223)/LN(10)</x:f>
        <x:v>-2.9543569584735314</x:v>
      </x:c>
      <x:c r="F223" s="50" t="n">
        <x:v>0.0013392062411556</x:v>
      </x:c>
      <x:c r="G223" s="98" t="n">
        <x:f>D223/F223</x:f>
        <x:v>0.8294602473857766</x:v>
      </x:c>
      <x:c r="H223" s="26" t="str">
        <x:f>IF(G223&lt;=1%,"YES","NO")</x:f>
        <x:v>NO</x:v>
      </x:c>
      <x:c r="I223" s="26" t="str">
        <x:v>nominal_vdd</x:v>
      </x:c>
      <x:c r="J223" s="27" t="str">
        <x:v>data/raw/ptm45_hp_vds_1v_raw.txt</x:v>
      </x:c>
    </x:row>
    <x:row r="224">
      <x:c r="A224" s="25" t="str">
        <x:v>HP</x:v>
      </x:c>
      <x:c r="B224" s="35" t="n">
        <x:v>1</x:v>
      </x:c>
      <x:c r="C224" s="35" t="n">
        <x:v>0.8950000000000008</x:v>
      </x:c>
      <x:c r="D224" s="50" t="n">
        <x:v>0.0011212465924663</x:v>
      </x:c>
      <x:c r="E224" s="47" t="n">
        <x:f>LN(D224)/LN(10)</x:f>
        <x:v>-2.950298863792071</x:v>
      </x:c>
      <x:c r="F224" s="50" t="n">
        <x:v>0.0013392062411556</x:v>
      </x:c>
      <x:c r="G224" s="98" t="n">
        <x:f>D224/F224</x:f>
        <x:v>0.8372471379007144</x:v>
      </x:c>
      <x:c r="H224" s="26" t="str">
        <x:f>IF(G224&lt;=1%,"YES","NO")</x:f>
        <x:v>NO</x:v>
      </x:c>
      <x:c r="I224" s="26" t="str">
        <x:v>nominal_vdd</x:v>
      </x:c>
      <x:c r="J224" s="27" t="str">
        <x:v>data/raw/ptm45_hp_vds_1v_raw.txt</x:v>
      </x:c>
    </x:row>
    <x:row r="225">
      <x:c r="A225" s="25" t="str">
        <x:v>HP</x:v>
      </x:c>
      <x:c r="B225" s="35" t="n">
        <x:v>1</x:v>
      </x:c>
      <x:c r="C225" s="35" t="n">
        <x:v>0.9000000000000008</x:v>
      </x:c>
      <x:c r="D225" s="50" t="n">
        <x:v>0.0011316704378025</x:v>
      </x:c>
      <x:c r="E225" s="47" t="n">
        <x:f>LN(D225)/LN(10)</x:f>
        <x:v>-2.9462800288741984</x:v>
      </x:c>
      <x:c r="F225" s="50" t="n">
        <x:v>0.0013392062411556</x:v>
      </x:c>
      <x:c r="G225" s="98" t="n">
        <x:f>D225/F225</x:f>
        <x:v>0.8450307376300625</x:v>
      </x:c>
      <x:c r="H225" s="26" t="str">
        <x:f>IF(G225&lt;=1%,"YES","NO")</x:f>
        <x:v>NO</x:v>
      </x:c>
      <x:c r="I225" s="26" t="str">
        <x:v>nominal_vdd</x:v>
      </x:c>
      <x:c r="J225" s="27" t="str">
        <x:v>data/raw/ptm45_hp_vds_1v_raw.txt</x:v>
      </x:c>
    </x:row>
    <x:row r="226">
      <x:c r="A226" s="25" t="str">
        <x:v>HP</x:v>
      </x:c>
      <x:c r="B226" s="35" t="n">
        <x:v>1</x:v>
      </x:c>
      <x:c r="C226" s="35" t="n">
        <x:v>0.9050000000000008</x:v>
      </x:c>
      <x:c r="D226" s="50" t="n">
        <x:v>0.0011420898702931</x:v>
      </x:c>
      <x:c r="E226" s="47" t="n">
        <x:f>LN(D226)/LN(10)</x:f>
        <x:v>-2.942299720401282</x:v>
      </x:c>
      <x:c r="F226" s="50" t="n">
        <x:v>0.0013392062411556</x:v>
      </x:c>
      <x:c r="G226" s="98" t="n">
        <x:f>D226/F226</x:f>
        <x:v>0.8528110422391637</x:v>
      </x:c>
      <x:c r="H226" s="26" t="str">
        <x:f>IF(G226&lt;=1%,"YES","NO")</x:f>
        <x:v>NO</x:v>
      </x:c>
      <x:c r="I226" s="26" t="str">
        <x:v>nominal_vdd</x:v>
      </x:c>
      <x:c r="J226" s="27" t="str">
        <x:v>data/raw/ptm45_hp_vds_1v_raw.txt</x:v>
      </x:c>
    </x:row>
    <x:row r="227">
      <x:c r="A227" s="25" t="str">
        <x:v>HP</x:v>
      </x:c>
      <x:c r="B227" s="35" t="n">
        <x:v>1</x:v>
      </x:c>
      <x:c r="C227" s="35" t="n">
        <x:v>0.9100000000000008</x:v>
      </x:c>
      <x:c r="D227" s="50" t="n">
        <x:v>0.0011525048832066</x:v>
      </x:c>
      <x:c r="E227" s="47" t="n">
        <x:f>LN(D227)/LN(10)</x:f>
        <x:v>-2.9383572258123376</x:v>
      </x:c>
      <x:c r="F227" s="50" t="n">
        <x:v>0.0013392062411556</x:v>
      </x:c>
      <x:c r="G227" s="98" t="n">
        <x:f>D227/F227</x:f>
        <x:v>0.8605880467015331</x:v>
      </x:c>
      <x:c r="H227" s="26" t="str">
        <x:f>IF(G227&lt;=1%,"YES","NO")</x:f>
        <x:v>NO</x:v>
      </x:c>
      <x:c r="I227" s="26" t="str">
        <x:v>nominal_vdd</x:v>
      </x:c>
      <x:c r="J227" s="27" t="str">
        <x:v>data/raw/ptm45_hp_vds_1v_raw.txt</x:v>
      </x:c>
    </x:row>
    <x:row r="228">
      <x:c r="A228" s="25" t="str">
        <x:v>HP</x:v>
      </x:c>
      <x:c r="B228" s="35" t="n">
        <x:v>1</x:v>
      </x:c>
      <x:c r="C228" s="35" t="n">
        <x:v>0.9150000000000008</x:v>
      </x:c>
      <x:c r="D228" s="50" t="n">
        <x:v>0.0011629154688803</x:v>
      </x:c>
      <x:c r="E228" s="47" t="n">
        <x:f>LN(D228)/LN(10)</x:f>
        <x:v>-2.934451852539874</x:v>
      </x:c>
      <x:c r="F228" s="50" t="n">
        <x:v>0.0013392062411556</x:v>
      </x:c>
      <x:c r="G228" s="98" t="n">
        <x:f>D228/F228</x:f>
        <x:v>0.8683617452953485</x:v>
      </x:c>
      <x:c r="H228" s="26" t="str">
        <x:f>IF(G228&lt;=1%,"YES","NO")</x:f>
        <x:v>NO</x:v>
      </x:c>
      <x:c r="I228" s="26" t="str">
        <x:v>nominal_vdd</x:v>
      </x:c>
      <x:c r="J228" s="27" t="str">
        <x:v>data/raw/ptm45_hp_vds_1v_raw.txt</x:v>
      </x:c>
    </x:row>
    <x:row r="229">
      <x:c r="A229" s="25" t="str">
        <x:v>HP</x:v>
      </x:c>
      <x:c r="B229" s="35" t="n">
        <x:v>1</x:v>
      </x:c>
      <x:c r="C229" s="35" t="n">
        <x:v>0.9200000000000008</x:v>
      </x:c>
      <x:c r="D229" s="50" t="n">
        <x:v>0.0011733216187195</x:v>
      </x:c>
      <x:c r="E229" s="47" t="n">
        <x:f>LN(D229)/LN(10)</x:f>
        <x:v>-2.9305829272792097</x:v>
      </x:c>
      <x:c r="F229" s="50" t="n">
        <x:v>0.0013392062411556</x:v>
      </x:c>
      <x:c r="G229" s="98" t="n">
        <x:f>D229/F229</x:f>
        <x:v>0.8761321316028529</x:v>
      </x:c>
      <x:c r="H229" s="26" t="str">
        <x:f>IF(G229&lt;=1%,"YES","NO")</x:f>
        <x:v>NO</x:v>
      </x:c>
      <x:c r="I229" s="26" t="str">
        <x:v>nominal_vdd</x:v>
      </x:c>
      <x:c r="J229" s="27" t="str">
        <x:v>data/raw/ptm45_hp_vds_1v_raw.txt</x:v>
      </x:c>
    </x:row>
    <x:row r="230">
      <x:c r="A230" s="25" t="str">
        <x:v>HP</x:v>
      </x:c>
      <x:c r="B230" s="35" t="n">
        <x:v>1</x:v>
      </x:c>
      <x:c r="C230" s="35" t="n">
        <x:v>0.9250000000000008</x:v>
      </x:c>
      <x:c r="D230" s="50" t="n">
        <x:v>0.0011837233232002</x:v>
      </x:c>
      <x:c r="E230" s="47" t="n">
        <x:f>LN(D230)/LN(10)</x:f>
        <x:v>-2.9267497952896164</x:v>
      </x:c>
      <x:c r="F230" s="50" t="n">
        <x:v>0.0013392062411556</x:v>
      </x:c>
      <x:c r="G230" s="98" t="n">
        <x:f>D230/F230</x:f>
        <x:v>0.8838991985123711</x:v>
      </x:c>
      <x:c r="H230" s="26" t="str">
        <x:f>IF(G230&lt;=1%,"YES","NO")</x:f>
        <x:v>NO</x:v>
      </x:c>
      <x:c r="I230" s="26" t="str">
        <x:v>nominal_vdd</x:v>
      </x:c>
      <x:c r="J230" s="27" t="str">
        <x:v>data/raw/ptm45_hp_vds_1v_raw.txt</x:v>
      </x:c>
    </x:row>
    <x:row r="231">
      <x:c r="A231" s="25" t="str">
        <x:v>HP</x:v>
      </x:c>
      <x:c r="B231" s="35" t="n">
        <x:v>1</x:v>
      </x:c>
      <x:c r="C231" s="35" t="n">
        <x:v>0.9300000000000008</x:v>
      </x:c>
      <x:c r="D231" s="50" t="n">
        <x:v>0.0011941205718743</x:v>
      </x:c>
      <x:c r="E231" s="47" t="n">
        <x:f>LN(D231)/LN(10)</x:f>
        <x:v>-2.9229518197259314</x:v>
      </x:c>
      <x:c r="F231" s="50" t="n">
        <x:v>0.0013392062411556</x:v>
      </x:c>
      <x:c r="G231" s="98" t="n">
        <x:f>D231/F231</x:f>
        <x:v>0.8916629382221922</x:v>
      </x:c>
      <x:c r="H231" s="26" t="str">
        <x:f>IF(G231&lt;=1%,"YES","NO")</x:f>
        <x:v>NO</x:v>
      </x:c>
      <x:c r="I231" s="26" t="str">
        <x:v>nominal_vdd</x:v>
      </x:c>
      <x:c r="J231" s="27" t="str">
        <x:v>data/raw/ptm45_hp_vds_1v_raw.txt</x:v>
      </x:c>
    </x:row>
    <x:row r="232">
      <x:c r="A232" s="25" t="str">
        <x:v>HP</x:v>
      </x:c>
      <x:c r="B232" s="35" t="n">
        <x:v>1</x:v>
      </x:c>
      <x:c r="C232" s="35" t="n">
        <x:v>0.9350000000000008</x:v>
      </x:c>
      <x:c r="D232" s="50" t="n">
        <x:v>0.0012045133533775</x:v>
      </x:c>
      <x:c r="E232" s="47" t="n">
        <x:f>LN(D232)/LN(10)</x:f>
        <x:v>-2.919188380998957</x:v>
      </x:c>
      <x:c r="F232" s="50" t="n">
        <x:v>0.0013392062411556</x:v>
      </x:c>
      <x:c r="G232" s="98" t="n">
        <x:f>D232/F232</x:f>
        <x:v>0.8994233422464686</x:v>
      </x:c>
      <x:c r="H232" s="26" t="str">
        <x:f>IF(G232&lt;=1%,"YES","NO")</x:f>
        <x:v>NO</x:v>
      </x:c>
      <x:c r="I232" s="26" t="str">
        <x:v>nominal_vdd</x:v>
      </x:c>
      <x:c r="J232" s="27" t="str">
        <x:v>data/raw/ptm45_hp_vds_1v_raw.txt</x:v>
      </x:c>
    </x:row>
    <x:row r="233">
      <x:c r="A233" s="25" t="str">
        <x:v>HP</x:v>
      </x:c>
      <x:c r="B233" s="35" t="n">
        <x:v>1</x:v>
      </x:c>
      <x:c r="C233" s="35" t="n">
        <x:v>0.9400000000000008</x:v>
      </x:c>
      <x:c r="D233" s="50" t="n">
        <x:v>0.0012149016554393</x:v>
      </x:c>
      <x:c r="E233" s="47" t="n">
        <x:f>LN(D233)/LN(10)</x:f>
        <x:v>-2.9154588761633375</x:v>
      </x:c>
      <x:c r="F233" s="50" t="n">
        <x:v>0.0013392062411556</x:v>
      </x:c>
      <x:c r="G233" s="98" t="n">
        <x:f>D233/F233</x:f>
        <x:v>0.9071804014226834</x:v>
      </x:c>
      <x:c r="H233" s="26" t="str">
        <x:f>IF(G233&lt;=1%,"YES","NO")</x:f>
        <x:v>NO</x:v>
      </x:c>
      <x:c r="I233" s="26" t="str">
        <x:v>nominal_vdd</x:v>
      </x:c>
      <x:c r="J233" s="27" t="str">
        <x:v>data/raw/ptm45_hp_vds_1v_raw.txt</x:v>
      </x:c>
    </x:row>
    <x:row r="234">
      <x:c r="A234" s="25" t="str">
        <x:v>HP</x:v>
      </x:c>
      <x:c r="B234" s="35" t="n">
        <x:v>1</x:v>
      </x:c>
      <x:c r="C234" s="35" t="n">
        <x:v>0.9450000000000008</x:v>
      </x:c>
      <x:c r="D234" s="50" t="n">
        <x:v>0.0012252854648946</x:v>
      </x:c>
      <x:c r="E234" s="47" t="n">
        <x:f>LN(D234)/LN(10)</x:f>
        <x:v>-2.911762718331658</x:v>
      </x:c>
      <x:c r="F234" s="50" t="n">
        <x:v>0.0013392062411556</x:v>
      </x:c>
      <x:c r="G234" s="98" t="n">
        <x:f>D234/F234</x:f>
        <x:v>0.9149341059203115</x:v>
      </x:c>
      <x:c r="H234" s="26" t="str">
        <x:f>IF(G234&lt;=1%,"YES","NO")</x:f>
        <x:v>NO</x:v>
      </x:c>
      <x:c r="I234" s="26" t="str">
        <x:v>nominal_vdd</x:v>
      </x:c>
      <x:c r="J234" s="27" t="str">
        <x:v>data/raw/ptm45_hp_vds_1v_raw.txt</x:v>
      </x:c>
    </x:row>
    <x:row r="235">
      <x:c r="A235" s="25" t="str">
        <x:v>HP</x:v>
      </x:c>
      <x:c r="B235" s="35" t="n">
        <x:v>1</x:v>
      </x:c>
      <x:c r="C235" s="35" t="n">
        <x:v>0.9500000000000008</x:v>
      </x:c>
      <x:c r="D235" s="50" t="n">
        <x:v>0.0012356647676974</x:v>
      </x:c>
      <x:c r="E235" s="47" t="n">
        <x:f>LN(D235)/LN(10)</x:f>
        <x:v>-2.908099336113223</x:v>
      </x:c>
      <x:c r="F235" s="50" t="n">
        <x:v>0.0013392062411556</x:v>
      </x:c>
      <x:c r="G235" s="98" t="n">
        <x:f>D235/F235</x:f>
        <x:v>0.9226844452510511</x:v>
      </x:c>
      <x:c r="H235" s="26" t="str">
        <x:f>IF(G235&lt;=1%,"YES","NO")</x:f>
        <x:v>NO</x:v>
      </x:c>
      <x:c r="I235" s="26" t="str">
        <x:v>nominal_vdd</x:v>
      </x:c>
      <x:c r="J235" s="27" t="str">
        <x:v>data/raw/ptm45_hp_vds_1v_raw.txt</x:v>
      </x:c>
    </x:row>
    <x:row r="236">
      <x:c r="A236" s="25" t="str">
        <x:v>HP</x:v>
      </x:c>
      <x:c r="B236" s="35" t="n">
        <x:v>1</x:v>
      </x:c>
      <x:c r="C236" s="35" t="n">
        <x:v>0.9550000000000008</x:v>
      </x:c>
      <x:c r="D236" s="50" t="n">
        <x:v>0.0012460395489348</x:v>
      </x:c>
      <x:c r="E236" s="47" t="n">
        <x:f>LN(D236)/LN(10)</x:f>
        <x:v>-2.9044681730768755</x:v>
      </x:c>
      <x:c r="F236" s="50" t="n">
        <x:v>0.0013392062411556</x:v>
      </x:c>
      <x:c r="G236" s="98" t="n">
        <x:f>D236/F236</x:f>
        <x:v>0.9304314082792755</x:v>
      </x:c>
      <x:c r="H236" s="26" t="str">
        <x:f>IF(G236&lt;=1%,"YES","NO")</x:f>
        <x:v>NO</x:v>
      </x:c>
      <x:c r="I236" s="26" t="str">
        <x:v>nominal_vdd</x:v>
      </x:c>
      <x:c r="J236" s="27" t="str">
        <x:v>data/raw/ptm45_hp_vds_1v_raw.txt</x:v>
      </x:c>
    </x:row>
    <x:row r="237">
      <x:c r="A237" s="25" t="str">
        <x:v>HP</x:v>
      </x:c>
      <x:c r="B237" s="35" t="n">
        <x:v>1</x:v>
      </x:c>
      <x:c r="C237" s="35" t="n">
        <x:v>0.9600000000000009</x:v>
      </x:c>
      <x:c r="D237" s="50" t="n">
        <x:v>0.0012564097928429</x:v>
      </x:c>
      <x:c r="E237" s="47" t="n">
        <x:f>LN(D237)/LN(10)</x:f>
        <x:v>-2.9008686872360774</x:v>
      </x:c>
      <x:c r="F237" s="50" t="n">
        <x:v>0.0013392062411556</x:v>
      </x:c>
      <x:c r="G237" s="98" t="n">
        <x:f>D237/F237</x:f>
        <x:v>0.9381749832339081</x:v>
      </x:c>
      <x:c r="H237" s="26" t="str">
        <x:f>IF(G237&lt;=1%,"YES","NO")</x:f>
        <x:v>NO</x:v>
      </x:c>
      <x:c r="I237" s="26" t="str">
        <x:v>nominal_vdd</x:v>
      </x:c>
      <x:c r="J237" s="27" t="str">
        <x:v>data/raw/ptm45_hp_vds_1v_raw.txt</x:v>
      </x:c>
    </x:row>
    <x:row r="238">
      <x:c r="A238" s="25" t="str">
        <x:v>HP</x:v>
      </x:c>
      <x:c r="B238" s="35" t="n">
        <x:v>1</x:v>
      </x:c>
      <x:c r="C238" s="35" t="n">
        <x:v>0.9650000000000007</x:v>
      </x:c>
      <x:c r="D238" s="50" t="n">
        <x:v>0.0012667754828229</x:v>
      </x:c>
      <x:c r="E238" s="47" t="n">
        <x:f>LN(D238)/LN(10)</x:f>
        <x:v>-2.8973003505557013</x:v>
      </x:c>
      <x:c r="F238" s="50" t="n">
        <x:v>0.0013392062411556</x:v>
      </x:c>
      <x:c r="G238" s="98" t="n">
        <x:f>D238/F238</x:f>
        <x:v>0.9459151577204423</x:v>
      </x:c>
      <x:c r="H238" s="26" t="str">
        <x:f>IF(G238&lt;=1%,"YES","NO")</x:f>
        <x:v>NO</x:v>
      </x:c>
      <x:c r="I238" s="26" t="str">
        <x:v>nominal_vdd</x:v>
      </x:c>
      <x:c r="J238" s="27" t="str">
        <x:v>data/raw/ptm45_hp_vds_1v_raw.txt</x:v>
      </x:c>
    </x:row>
    <x:row r="239">
      <x:c r="A239" s="25" t="str">
        <x:v>HP</x:v>
      </x:c>
      <x:c r="B239" s="35" t="n">
        <x:v>1</x:v>
      </x:c>
      <x:c r="C239" s="35" t="n">
        <x:v>0.9700000000000008</x:v>
      </x:c>
      <x:c r="D239" s="50" t="n">
        <x:v>0.0012771366014587</x:v>
      </x:c>
      <x:c r="E239" s="47" t="n">
        <x:f>LN(D239)/LN(10)</x:f>
        <x:v>-2.893762648479004</x:v>
      </x:c>
      <x:c r="F239" s="50" t="n">
        <x:v>0.0013392062411556</x:v>
      </x:c>
      <x:c r="G239" s="98" t="n">
        <x:f>D239/F239</x:f>
        <x:v>0.9536519187340853</x:v>
      </x:c>
      <x:c r="H239" s="26" t="str">
        <x:f>IF(G239&lt;=1%,"YES","NO")</x:f>
        <x:v>NO</x:v>
      </x:c>
      <x:c r="I239" s="26" t="str">
        <x:v>nominal_vdd</x:v>
      </x:c>
      <x:c r="J239" s="27" t="str">
        <x:v>data/raw/ptm45_hp_vds_1v_raw.txt</x:v>
      </x:c>
    </x:row>
    <x:row r="240">
      <x:c r="A240" s="25" t="str">
        <x:v>HP</x:v>
      </x:c>
      <x:c r="B240" s="35" t="n">
        <x:v>1</x:v>
      </x:c>
      <x:c r="C240" s="35" t="n">
        <x:v>0.9750000000000008</x:v>
      </x:c>
      <x:c r="D240" s="50" t="n">
        <x:v>0.0012874931305335</x:v>
      </x:c>
      <x:c r="E240" s="47" t="n">
        <x:f>LN(D240)/LN(10)</x:f>
        <x:v>-2.8902550794746182</x:v>
      </x:c>
      <x:c r="F240" s="50" t="n">
        <x:v>0.0013392062411556</x:v>
      </x:c>
      <x:c r="G240" s="98" t="n">
        <x:f>D240/F240</x:f>
        <x:v>0.9613852526721525</x:v>
      </x:c>
      <x:c r="H240" s="26" t="str">
        <x:f>IF(G240&lt;=1%,"YES","NO")</x:f>
        <x:v>NO</x:v>
      </x:c>
      <x:c r="I240" s="26" t="str">
        <x:v>nominal_vdd</x:v>
      </x:c>
      <x:c r="J240" s="27" t="str">
        <x:v>data/raw/ptm45_hp_vds_1v_raw.txt</x:v>
      </x:c>
    </x:row>
    <x:row r="241">
      <x:c r="A241" s="25" t="str">
        <x:v>HP</x:v>
      </x:c>
      <x:c r="B241" s="35" t="n">
        <x:v>1</x:v>
      </x:c>
      <x:c r="C241" s="35" t="n">
        <x:v>0.9800000000000008</x:v>
      </x:c>
      <x:c r="D241" s="50" t="n">
        <x:v>0.0012978450510485</x:v>
      </x:c>
      <x:c r="E241" s="47" t="n">
        <x:f>LN(D241)/LN(10)</x:f>
        <x:v>-2.8867771546015333</x:v>
      </x:c>
      <x:c r="F241" s="50" t="n">
        <x:v>0.0013392062411556</x:v>
      </x:c>
      <x:c r="G241" s="98" t="n">
        <x:f>D241/F241</x:f>
        <x:v>0.9691151453480313</x:v>
      </x:c>
      <x:c r="H241" s="26" t="str">
        <x:f>IF(G241&lt;=1%,"YES","NO")</x:f>
        <x:v>NO</x:v>
      </x:c>
      <x:c r="I241" s="26" t="str">
        <x:v>nominal_vdd</x:v>
      </x:c>
      <x:c r="J241" s="27" t="str">
        <x:v>data/raw/ptm45_hp_vds_1v_raw.txt</x:v>
      </x:c>
    </x:row>
    <x:row r="242">
      <x:c r="A242" s="25" t="str">
        <x:v>HP</x:v>
      </x:c>
      <x:c r="B242" s="35" t="n">
        <x:v>1</x:v>
      </x:c>
      <x:c r="C242" s="35" t="n">
        <x:v>0.9850000000000008</x:v>
      </x:c>
      <x:c r="D242" s="50" t="n">
        <x:v>0.0013081923432403</x:v>
      </x:c>
      <x:c r="E242" s="47" t="n">
        <x:f>LN(D242)/LN(10)</x:f>
        <x:v>-2.8833283970923107</x:v>
      </x:c>
      <x:c r="F242" s="50" t="n">
        <x:v>0.0013392062411556</x:v>
      </x:c>
      <x:c r="G242" s="98" t="n">
        <x:f>D242/F242</x:f>
        <x:v>0.9768415820041743</x:v>
      </x:c>
      <x:c r="H242" s="26" t="str">
        <x:f>IF(G242&lt;=1%,"YES","NO")</x:f>
        <x:v>NO</x:v>
      </x:c>
      <x:c r="I242" s="26" t="str">
        <x:v>nominal_vdd</x:v>
      </x:c>
      <x:c r="J242" s="27" t="str">
        <x:v>data/raw/ptm45_hp_vds_1v_raw.txt</x:v>
      </x:c>
    </x:row>
    <x:row r="243">
      <x:c r="A243" s="25" t="str">
        <x:v>HP</x:v>
      </x:c>
      <x:c r="B243" s="35" t="n">
        <x:v>1</x:v>
      </x:c>
      <x:c r="C243" s="35" t="n">
        <x:v>0.9900000000000008</x:v>
      </x:c>
      <x:c r="D243" s="50" t="n">
        <x:v>0.0013185349865992</x:v>
      </x:c>
      <x:c r="E243" s="47" t="n">
        <x:f>LN(D243)/LN(10)</x:f>
        <x:v>-2.879908341952926</x:v>
      </x:c>
      <x:c r="F243" s="50" t="n">
        <x:v>0.0013392062411556</x:v>
      </x:c>
      <x:c r="G243" s="98" t="n">
        <x:f>D243/F243</x:f>
        <x:v>0.9845645473257632</x:v>
      </x:c>
      <x:c r="H243" s="26" t="str">
        <x:f>IF(G243&lt;=1%,"YES","NO")</x:f>
        <x:v>NO</x:v>
      </x:c>
      <x:c r="I243" s="26" t="str">
        <x:v>nominal_vdd</x:v>
      </x:c>
      <x:c r="J243" s="27" t="str">
        <x:v>data/raw/ptm45_hp_vds_1v_raw.txt</x:v>
      </x:c>
    </x:row>
    <x:row r="244">
      <x:c r="A244" s="25" t="str">
        <x:v>HP</x:v>
      </x:c>
      <x:c r="B244" s="35" t="n">
        <x:v>1</x:v>
      </x:c>
      <x:c r="C244" s="35" t="n">
        <x:v>0.9950000000000008</x:v>
      </x:c>
      <x:c r="D244" s="50" t="n">
        <x:v>0.0013288729598871</x:v>
      </x:c>
      <x:c r="E244" s="47" t="n">
        <x:f>LN(D244)/LN(10)</x:f>
        <x:v>-2.876516535578853</x:v>
      </x:c>
      <x:c r="F244" s="50" t="n">
        <x:v>0.0013392062411556</x:v>
      </x:c>
      <x:c r="G244" s="98" t="n">
        <x:f>D244/F244</x:f>
        <x:v>0.9922840254540753</x:v>
      </x:c>
      <x:c r="H244" s="26" t="str">
        <x:f>IF(G244&lt;=1%,"YES","NO")</x:f>
        <x:v>NO</x:v>
      </x:c>
      <x:c r="I244" s="26" t="str">
        <x:v>nominal_vdd</x:v>
      </x:c>
      <x:c r="J244" s="27" t="str">
        <x:v>data/raw/ptm45_hp_vds_1v_raw.txt</x:v>
      </x:c>
    </x:row>
    <x:row r="245">
      <x:c r="A245" s="25" t="str">
        <x:v>HP</x:v>
      </x:c>
      <x:c r="B245" s="35" t="n">
        <x:v>1</x:v>
      </x:c>
      <x:c r="C245" s="35" t="n">
        <x:v>1.000000000000001</x:v>
      </x:c>
      <x:c r="D245" s="50" t="n">
        <x:v>0.0013392062411556</x:v>
      </x:c>
      <x:c r="E245" s="47" t="n">
        <x:f>LN(D245)/LN(10)</x:f>
        <x:v>-2.873152535386417</x:v>
      </x:c>
      <x:c r="F245" s="50" t="n">
        <x:v>0.0013392062411556</x:v>
      </x:c>
      <x:c r="G245" s="98" t="n">
        <x:f>D245/F245</x:f>
        <x:v>1</x:v>
      </x:c>
      <x:c r="H245" s="26" t="str">
        <x:f>IF(G245&lt;=1%,"YES","NO")</x:f>
        <x:v>NO</x:v>
      </x:c>
      <x:c r="I245" s="26" t="str">
        <x:v>nominal_vdd</x:v>
      </x:c>
      <x:c r="J245" s="27" t="str">
        <x:v>data/raw/ptm45_hp_vds_1v_raw.txt</x:v>
      </x:c>
    </x:row>
    <x:row r="246">
      <x:c r="A246" s="25" t="str">
        <x:v>LP</x:v>
      </x:c>
      <x:c r="B246" s="35" t="n">
        <x:v>1</x:v>
      </x:c>
      <x:c r="C246" s="35" t="n">
        <x:v>-0.2</x:v>
      </x:c>
      <x:c r="D246" s="50" t="n">
        <x:v>1.114393572961754e-12</x:v>
      </x:c>
      <x:c r="E246" s="47" t="n">
        <x:f>LN(D246)/LN(10)</x:f>
        <x:v>-11.95296140128195</x:v>
      </x:c>
      <x:c r="F246" s="50" t="n">
        <x:v>0.0004019845680949</x:v>
      </x:c>
      <x:c r="G246" s="98" t="n">
        <x:f>D246/F246</x:f>
        <x:v>2.7722297356914194e-9</x:v>
      </x:c>
      <x:c r="H246" s="26" t="str">
        <x:f>IF(G246&lt;=1%,"YES","NO")</x:f>
        <x:v>YES</x:v>
      </x:c>
      <x:c r="I246" s="26" t="str">
        <x:v>common_1v</x:v>
      </x:c>
      <x:c r="J246" s="27" t="str">
        <x:v>data/raw/ptm45_lp_vds_1v_raw.txt</x:v>
      </x:c>
    </x:row>
    <x:row r="247">
      <x:c r="A247" s="25" t="str">
        <x:v>LP</x:v>
      </x:c>
      <x:c r="B247" s="35" t="n">
        <x:v>1</x:v>
      </x:c>
      <x:c r="C247" s="35" t="n">
        <x:v>-0.195</x:v>
      </x:c>
      <x:c r="D247" s="50" t="n">
        <x:v>1.124728504302294e-12</x:v>
      </x:c>
      <x:c r="E247" s="47" t="n">
        <x:f>LN(D247)/LN(10)</x:f>
        <x:v>-11.948952298275405</x:v>
      </x:c>
      <x:c r="F247" s="50" t="n">
        <x:v>0.0004019845680949</x:v>
      </x:c>
      <x:c r="G247" s="98" t="n">
        <x:f>D247/F247</x:f>
        <x:v>2.797939507062792e-9</x:v>
      </x:c>
      <x:c r="H247" s="26" t="str">
        <x:f>IF(G247&lt;=1%,"YES","NO")</x:f>
        <x:v>YES</x:v>
      </x:c>
      <x:c r="I247" s="26" t="str">
        <x:v>common_1v</x:v>
      </x:c>
      <x:c r="J247" s="27" t="str">
        <x:v>data/raw/ptm45_lp_vds_1v_raw.txt</x:v>
      </x:c>
    </x:row>
    <x:row r="248">
      <x:c r="A248" s="25" t="str">
        <x:v>LP</x:v>
      </x:c>
      <x:c r="B248" s="35" t="n">
        <x:v>1</x:v>
      </x:c>
      <x:c r="C248" s="35" t="n">
        <x:v>-0.19</x:v>
      </x:c>
      <x:c r="D248" s="50" t="n">
        <x:v>1.139010516579071e-12</x:v>
      </x:c>
      <x:c r="E248" s="47" t="n">
        <x:f>LN(D248)/LN(10)</x:f>
        <x:v>-11.943472266025223</x:v>
      </x:c>
      <x:c r="F248" s="50" t="n">
        <x:v>0.0004019845680949</x:v>
      </x:c>
      <x:c r="G248" s="98" t="n">
        <x:f>D248/F248</x:f>
        <x:v>2.833468264657799e-9</x:v>
      </x:c>
      <x:c r="H248" s="26" t="str">
        <x:f>IF(G248&lt;=1%,"YES","NO")</x:f>
        <x:v>YES</x:v>
      </x:c>
      <x:c r="I248" s="26" t="str">
        <x:v>common_1v</x:v>
      </x:c>
      <x:c r="J248" s="27" t="str">
        <x:v>data/raw/ptm45_lp_vds_1v_raw.txt</x:v>
      </x:c>
    </x:row>
    <x:row r="249">
      <x:c r="A249" s="25" t="str">
        <x:v>LP</x:v>
      </x:c>
      <x:c r="B249" s="35" t="n">
        <x:v>1</x:v>
      </x:c>
      <x:c r="C249" s="35" t="n">
        <x:v>-0.185</x:v>
      </x:c>
      <x:c r="D249" s="50" t="n">
        <x:v>1.155990295001871e-12</x:v>
      </x:c>
      <x:c r="E249" s="47" t="n">
        <x:f>LN(D249)/LN(10)</x:f>
        <x:v>-11.937045811975027</x:v>
      </x:c>
      <x:c r="F249" s="50" t="n">
        <x:v>0.0004019845680949</x:v>
      </x:c>
      <x:c r="G249" s="98" t="n">
        <x:f>D249/F249</x:f>
        <x:v>2.875708140937804e-9</x:v>
      </x:c>
      <x:c r="H249" s="26" t="str">
        <x:f>IF(G249&lt;=1%,"YES","NO")</x:f>
        <x:v>YES</x:v>
      </x:c>
      <x:c r="I249" s="26" t="str">
        <x:v>common_1v</x:v>
      </x:c>
      <x:c r="J249" s="27" t="str">
        <x:v>data/raw/ptm45_lp_vds_1v_raw.txt</x:v>
      </x:c>
    </x:row>
    <x:row r="250">
      <x:c r="A250" s="25" t="str">
        <x:v>LP</x:v>
      </x:c>
      <x:c r="B250" s="35" t="n">
        <x:v>1</x:v>
      </x:c>
      <x:c r="C250" s="35" t="n">
        <x:v>-0.18</x:v>
      </x:c>
      <x:c r="D250" s="50" t="n">
        <x:v>1.175859685930556e-12</x:v>
      </x:c>
      <x:c r="E250" s="47" t="n">
        <x:f>LN(D250)/LN(10)</x:f>
        <x:v>-11.929644499060695</x:v>
      </x:c>
      <x:c r="F250" s="50" t="n">
        <x:v>0.0004019845680949</x:v>
      </x:c>
      <x:c r="G250" s="98" t="n">
        <x:f>D250/F250</x:f>
        <x:v>2.925136383974224e-9</x:v>
      </x:c>
      <x:c r="H250" s="26" t="str">
        <x:f>IF(G250&lt;=1%,"YES","NO")</x:f>
        <x:v>YES</x:v>
      </x:c>
      <x:c r="I250" s="26" t="str">
        <x:v>common_1v</x:v>
      </x:c>
      <x:c r="J250" s="27" t="str">
        <x:v>data/raw/ptm45_lp_vds_1v_raw.txt</x:v>
      </x:c>
    </x:row>
    <x:row r="251">
      <x:c r="A251" s="25" t="str">
        <x:v>LP</x:v>
      </x:c>
      <x:c r="B251" s="35" t="n">
        <x:v>1</x:v>
      </x:c>
      <x:c r="C251" s="35" t="n">
        <x:v>-0.175</x:v>
      </x:c>
      <x:c r="D251" s="50" t="n">
        <x:v>1.198891947305063e-12</x:v>
      </x:c>
      <x:c r="E251" s="47" t="n">
        <x:f>LN(D251)/LN(10)</x:f>
        <x:v>-11.921219956854268</x:v>
      </x:c>
      <x:c r="F251" s="50" t="n">
        <x:v>0.0004019845680949</x:v>
      </x:c>
      <x:c r="G251" s="98" t="n">
        <x:f>D251/F251</x:f>
        <x:v>2.9824327659812805e-9</x:v>
      </x:c>
      <x:c r="H251" s="26" t="str">
        <x:f>IF(G251&lt;=1%,"YES","NO")</x:f>
        <x:v>YES</x:v>
      </x:c>
      <x:c r="I251" s="26" t="str">
        <x:v>common_1v</x:v>
      </x:c>
      <x:c r="J251" s="27" t="str">
        <x:v>data/raw/ptm45_lp_vds_1v_raw.txt</x:v>
      </x:c>
    </x:row>
    <x:row r="252">
      <x:c r="A252" s="25" t="str">
        <x:v>LP</x:v>
      </x:c>
      <x:c r="B252" s="35" t="n">
        <x:v>1</x:v>
      </x:c>
      <x:c r="C252" s="35" t="n">
        <x:v>-0.17</x:v>
      </x:c>
      <x:c r="D252" s="50" t="n">
        <x:v>1.225439278370611e-12</x:v>
      </x:c>
      <x:c r="E252" s="47" t="n">
        <x:f>LN(D252)/LN(10)</x:f>
        <x:v>-11.911708203564835</x:v>
      </x:c>
      <x:c r="F252" s="50" t="n">
        <x:v>0.0004019845680949</x:v>
      </x:c>
      <x:c r="G252" s="98" t="n">
        <x:f>D252/F252</x:f>
        <x:v>3.0484734381179304e-9</x:v>
      </x:c>
      <x:c r="H252" s="26" t="str">
        <x:f>IF(G252&lt;=1%,"YES","NO")</x:f>
        <x:v>YES</x:v>
      </x:c>
      <x:c r="I252" s="26" t="str">
        <x:v>common_1v</x:v>
      </x:c>
      <x:c r="J252" s="27" t="str">
        <x:v>data/raw/ptm45_lp_vds_1v_raw.txt</x:v>
      </x:c>
    </x:row>
    <x:row r="253">
      <x:c r="A253" s="25" t="str">
        <x:v>LP</x:v>
      </x:c>
      <x:c r="B253" s="35" t="n">
        <x:v>1</x:v>
      </x:c>
      <x:c r="C253" s="35" t="n">
        <x:v>-0.165</x:v>
      </x:c>
      <x:c r="D253" s="50" t="n">
        <x:v>1.255933406559433e-12</x:v>
      </x:c>
      <x:c r="E253" s="47" t="n">
        <x:f>LN(D253)/LN(10)</x:f>
        <x:v>-11.90103338761355</x:v>
      </x:c>
      <x:c r="F253" s="50" t="n">
        <x:v>0.0004019845680949</x:v>
      </x:c>
      <x:c r="G253" s="98" t="n">
        <x:f>D253/F253</x:f>
        <x:v>3.1243323904487147e-9</x:v>
      </x:c>
      <x:c r="H253" s="26" t="str">
        <x:f>IF(G253&lt;=1%,"YES","NO")</x:f>
        <x:v>YES</x:v>
      </x:c>
      <x:c r="I253" s="26" t="str">
        <x:v>common_1v</x:v>
      </x:c>
      <x:c r="J253" s="27" t="str">
        <x:v>data/raw/ptm45_lp_vds_1v_raw.txt</x:v>
      </x:c>
    </x:row>
    <x:row r="254">
      <x:c r="A254" s="25" t="str">
        <x:v>LP</x:v>
      </x:c>
      <x:c r="B254" s="35" t="n">
        <x:v>1</x:v>
      </x:c>
      <x:c r="C254" s="35" t="n">
        <x:v>-0.16</x:v>
      </x:c>
      <x:c r="D254" s="50" t="n">
        <x:v>1.290888916606739e-12</x:v>
      </x:c>
      <x:c r="E254" s="47" t="n">
        <x:f>LN(D254)/LN(10)</x:f>
        <x:v>-11.889111127973981</x:v>
      </x:c>
      <x:c r="F254" s="50" t="n">
        <x:v>0.0004019845680949</x:v>
      </x:c>
      <x:c r="G254" s="98" t="n">
        <x:f>D254/F254</x:f>
        <x:v>3.2112897336446697e-9</x:v>
      </x:c>
      <x:c r="H254" s="26" t="str">
        <x:f>IF(G254&lt;=1%,"YES","NO")</x:f>
        <x:v>YES</x:v>
      </x:c>
      <x:c r="I254" s="26" t="str">
        <x:v>common_1v</x:v>
      </x:c>
      <x:c r="J254" s="27" t="str">
        <x:v>data/raw/ptm45_lp_vds_1v_raw.txt</x:v>
      </x:c>
    </x:row>
    <x:row r="255">
      <x:c r="A255" s="25" t="str">
        <x:v>LP</x:v>
      </x:c>
      <x:c r="B255" s="35" t="n">
        <x:v>1</x:v>
      </x:c>
      <x:c r="C255" s="35" t="n">
        <x:v>-0.155</x:v>
      </x:c>
      <x:c r="D255" s="50" t="n">
        <x:v>1.330909109242401e-12</x:v>
      </x:c>
      <x:c r="E255" s="47" t="n">
        <x:f>LN(D255)/LN(10)</x:f>
        <x:v>-11.875851602453432</x:v>
      </x:c>
      <x:c r="F255" s="50" t="n">
        <x:v>0.0004019845680949</x:v>
      </x:c>
      <x:c r="G255" s="98" t="n">
        <x:f>D255/F255</x:f>
        <x:v>3.3108462734027184e-9</x:v>
      </x:c>
      <x:c r="H255" s="26" t="str">
        <x:f>IF(G255&lt;=1%,"YES","NO")</x:f>
        <x:v>YES</x:v>
      </x:c>
      <x:c r="I255" s="26" t="str">
        <x:v>common_1v</x:v>
      </x:c>
      <x:c r="J255" s="27" t="str">
        <x:v>data/raw/ptm45_lp_vds_1v_raw.txt</x:v>
      </x:c>
    </x:row>
    <x:row r="256">
      <x:c r="A256" s="25" t="str">
        <x:v>LP</x:v>
      </x:c>
      <x:c r="B256" s="35" t="n">
        <x:v>1</x:v>
      </x:c>
      <x:c r="C256" s="35" t="n">
        <x:v>-0.15</x:v>
      </x:c>
      <x:c r="D256" s="50" t="n">
        <x:v>1.376694269019026e-12</x:v>
      </x:c>
      <x:c r="E256" s="47" t="n">
        <x:f>LN(D256)/LN(10)</x:f>
        <x:v>-11.86116249548761</x:v>
      </x:c>
      <x:c r="F256" s="50" t="n">
        <x:v>0.0004019845680949</x:v>
      </x:c>
      <x:c r="G256" s="98" t="n">
        <x:f>D256/F256</x:f>
        <x:v>3.424744077971714e-9</x:v>
      </x:c>
      <x:c r="H256" s="26" t="str">
        <x:f>IF(G256&lt;=1%,"YES","NO")</x:f>
        <x:v>YES</x:v>
      </x:c>
      <x:c r="I256" s="26" t="str">
        <x:v>common_1v</x:v>
      </x:c>
      <x:c r="J256" s="27" t="str">
        <x:v>data/raw/ptm45_lp_vds_1v_raw.txt</x:v>
      </x:c>
    </x:row>
    <x:row r="257">
      <x:c r="A257" s="25" t="str">
        <x:v>LP</x:v>
      </x:c>
      <x:c r="B257" s="35" t="n">
        <x:v>1</x:v>
      </x:c>
      <x:c r="C257" s="35" t="n">
        <x:v>-0.145</x:v>
      </x:c>
      <x:c r="D257" s="50" t="n">
        <x:v>1.429052304852317e-12</x:v>
      </x:c>
      <x:c r="E257" s="47" t="n">
        <x:f>LN(D257)/LN(10)</x:f>
        <x:v>-11.844951875272692</x:v>
      </x:c>
      <x:c r="F257" s="50" t="n">
        <x:v>0.0004019845680949</x:v>
      </x:c>
      <x:c r="G257" s="98" t="n">
        <x:f>D257/F257</x:f>
        <x:v>3.554992948174439e-9</x:v>
      </x:c>
      <x:c r="H257" s="26" t="str">
        <x:f>IF(G257&lt;=1%,"YES","NO")</x:f>
        <x:v>YES</x:v>
      </x:c>
      <x:c r="I257" s="26" t="str">
        <x:v>common_1v</x:v>
      </x:c>
      <x:c r="J257" s="27" t="str">
        <x:v>data/raw/ptm45_lp_vds_1v_raw.txt</x:v>
      </x:c>
    </x:row>
    <x:row r="258">
      <x:c r="A258" s="25" t="str">
        <x:v>LP</x:v>
      </x:c>
      <x:c r="B258" s="35" t="n">
        <x:v>1</x:v>
      </x:c>
      <x:c r="C258" s="35" t="n">
        <x:v>-0.14</x:v>
      </x:c>
      <x:c r="D258" s="50" t="n">
        <x:v>1.488911804458349e-12</x:v>
      </x:c>
      <x:c r="E258" s="47" t="n">
        <x:f>LN(D258)/LN(10)</x:f>
        <x:v>-11.827131026876081</x:v>
      </x:c>
      <x:c r="F258" s="50" t="n">
        <x:v>0.0004019845680949</x:v>
      </x:c>
      <x:c r="G258" s="98" t="n">
        <x:f>D258/F258</x:f>
        <x:v>3.7039028923788158e-9</x:v>
      </x:c>
      <x:c r="H258" s="26" t="str">
        <x:f>IF(G258&lt;=1%,"YES","NO")</x:f>
        <x:v>YES</x:v>
      </x:c>
      <x:c r="I258" s="26" t="str">
        <x:v>common_1v</x:v>
      </x:c>
      <x:c r="J258" s="27" t="str">
        <x:v>data/raw/ptm45_lp_vds_1v_raw.txt</x:v>
      </x:c>
    </x:row>
    <x:row r="259">
      <x:c r="A259" s="25" t="str">
        <x:v>LP</x:v>
      </x:c>
      <x:c r="B259" s="35" t="n">
        <x:v>1</x:v>
      </x:c>
      <x:c r="C259" s="35" t="n">
        <x:v>-0.135</x:v>
      </x:c>
      <x:c r="D259" s="50" t="n">
        <x:v>1.557337616727506e-12</x:v>
      </x:c>
      <x:c r="E259" s="47" t="n">
        <x:f>LN(D259)/LN(10)</x:f>
        <x:v>-11.807617226104256</x:v>
      </x:c>
      <x:c r="F259" s="50" t="n">
        <x:v>0.0004019845680949</x:v>
      </x:c>
      <x:c r="G259" s="98" t="n">
        <x:f>D259/F259</x:f>
        <x:v>3.874122890110179e-9</x:v>
      </x:c>
      <x:c r="H259" s="26" t="str">
        <x:f>IF(G259&lt;=1%,"YES","NO")</x:f>
        <x:v>YES</x:v>
      </x:c>
      <x:c r="I259" s="26" t="str">
        <x:v>common_1v</x:v>
      </x:c>
      <x:c r="J259" s="27" t="str">
        <x:v>data/raw/ptm45_lp_vds_1v_raw.txt</x:v>
      </x:c>
    </x:row>
    <x:row r="260">
      <x:c r="A260" s="25" t="str">
        <x:v>LP</x:v>
      </x:c>
      <x:c r="B260" s="35" t="n">
        <x:v>1</x:v>
      </x:c>
      <x:c r="C260" s="35" t="n">
        <x:v>-0.1299999999999999</x:v>
      </x:c>
      <x:c r="D260" s="50" t="n">
        <x:v>1.635549146188096e-12</x:v>
      </x:c>
      <x:c r="E260" s="47" t="n">
        <x:f>LN(D260)/LN(10)</x:f>
        <x:v>-11.78633640134174</x:v>
      </x:c>
      <x:c r="F260" s="50" t="n">
        <x:v>0.0004019845680949</x:v>
      </x:c>
      <x:c r="G260" s="98" t="n">
        <x:f>D260/F260</x:f>
        <x:v>4.068686402414278e-9</x:v>
      </x:c>
      <x:c r="H260" s="26" t="str">
        <x:f>IF(G260&lt;=1%,"YES","NO")</x:f>
        <x:v>YES</x:v>
      </x:c>
      <x:c r="I260" s="26" t="str">
        <x:v>common_1v</x:v>
      </x:c>
      <x:c r="J260" s="27" t="str">
        <x:v>data/raw/ptm45_lp_vds_1v_raw.txt</x:v>
      </x:c>
    </x:row>
    <x:row r="261">
      <x:c r="A261" s="25" t="str">
        <x:v>LP</x:v>
      </x:c>
      <x:c r="B261" s="35" t="n">
        <x:v>1</x:v>
      </x:c>
      <x:c r="C261" s="35" t="n">
        <x:v>-0.1249999999999999</x:v>
      </x:c>
      <x:c r="D261" s="50" t="n">
        <x:v>1.724941612654433e-12</x:v>
      </x:c>
      <x:c r="E261" s="47" t="n">
        <x:f>LN(D261)/LN(10)</x:f>
        <x:v>-11.763225600724704</x:v>
      </x:c>
      <x:c r="F261" s="50" t="n">
        <x:v>0.0004019845680949</x:v>
      </x:c>
      <x:c r="G261" s="98" t="n">
        <x:f>D261/F261</x:f>
        <x:v>4.2910642585842024e-9</x:v>
      </x:c>
      <x:c r="H261" s="26" t="str">
        <x:f>IF(G261&lt;=1%,"YES","NO")</x:f>
        <x:v>YES</x:v>
      </x:c>
      <x:c r="I261" s="26" t="str">
        <x:v>common_1v</x:v>
      </x:c>
      <x:c r="J261" s="27" t="str">
        <x:v>data/raw/ptm45_lp_vds_1v_raw.txt</x:v>
      </x:c>
    </x:row>
    <x:row r="262">
      <x:c r="A262" s="25" t="str">
        <x:v>LP</x:v>
      </x:c>
      <x:c r="B262" s="35" t="n">
        <x:v>1</x:v>
      </x:c>
      <x:c r="C262" s="35" t="n">
        <x:v>-0.1199999999999999</x:v>
      </x:c>
      <x:c r="D262" s="50" t="n">
        <x:v>1.827110598673053e-12</x:v>
      </x:c>
      <x:c r="E262" s="47" t="n">
        <x:f>LN(D262)/LN(10)</x:f>
        <x:v>-11.738235163134798</x:v>
      </x:c>
      <x:c r="F262" s="50" t="n">
        <x:v>0.0004019845680949</x:v>
      </x:c>
      <x:c r="G262" s="98" t="n">
        <x:f>D262/F262</x:f>
        <x:v>4.545225721803607e-9</x:v>
      </x:c>
      <x:c r="H262" s="26" t="str">
        <x:f>IF(G262&lt;=1%,"YES","NO")</x:f>
        <x:v>YES</x:v>
      </x:c>
      <x:c r="I262" s="26" t="str">
        <x:v>common_1v</x:v>
      </x:c>
      <x:c r="J262" s="27" t="str">
        <x:v>data/raw/ptm45_lp_vds_1v_raw.txt</x:v>
      </x:c>
    </x:row>
    <x:row r="263">
      <x:c r="A263" s="25" t="str">
        <x:v>LP</x:v>
      </x:c>
      <x:c r="B263" s="35" t="n">
        <x:v>1</x:v>
      </x:c>
      <x:c r="C263" s="35" t="n">
        <x:v>-0.1149999999999999</x:v>
      </x:c>
      <x:c r="D263" s="50" t="n">
        <x:v>1.943880279456145e-12</x:v>
      </x:c>
      <x:c r="E263" s="47" t="n">
        <x:f>LN(D263)/LN(10)</x:f>
        <x:v>-11.711330486103492</x:v>
      </x:c>
      <x:c r="F263" s="50" t="n">
        <x:v>0.0004019845680949</x:v>
      </x:c>
      <x:c r="G263" s="98" t="n">
        <x:f>D263/F263</x:f>
        <x:v>4.835708715557549e-9</x:v>
      </x:c>
      <x:c r="H263" s="26" t="str">
        <x:f>IF(G263&lt;=1%,"YES","NO")</x:f>
        <x:v>YES</x:v>
      </x:c>
      <x:c r="I263" s="26" t="str">
        <x:v>common_1v</x:v>
      </x:c>
      <x:c r="J263" s="27" t="str">
        <x:v>data/raw/ptm45_lp_vds_1v_raw.txt</x:v>
      </x:c>
    </x:row>
    <x:row r="264">
      <x:c r="A264" s="25" t="str">
        <x:v>LP</x:v>
      </x:c>
      <x:c r="B264" s="35" t="n">
        <x:v>1</x:v>
      </x:c>
      <x:c r="C264" s="35" t="n">
        <x:v>-0.1099999999999999</x:v>
      </x:c>
      <x:c r="D264" s="50" t="n">
        <x:v>2.077335806080723e-12</x:v>
      </x:c>
      <x:c r="E264" s="47" t="n">
        <x:f>LN(D264)/LN(10)</x:f>
        <x:v>-11.682493293094351</x:v>
      </x:c>
      <x:c r="F264" s="50" t="n">
        <x:v>0.0004019845680949</x:v>
      </x:c>
      <x:c r="G264" s="98" t="n">
        <x:f>D264/F264</x:f>
        <x:v>5.167700381946772e-9</x:v>
      </x:c>
      <x:c r="H264" s="26" t="str">
        <x:f>IF(G264&lt;=1%,"YES","NO")</x:f>
        <x:v>YES</x:v>
      </x:c>
      <x:c r="I264" s="26" t="str">
        <x:v>common_1v</x:v>
      </x:c>
      <x:c r="J264" s="27" t="str">
        <x:v>data/raw/ptm45_lp_vds_1v_raw.txt</x:v>
      </x:c>
    </x:row>
    <x:row r="265">
      <x:c r="A265" s="25" t="str">
        <x:v>LP</x:v>
      </x:c>
      <x:c r="B265" s="35" t="n">
        <x:v>1</x:v>
      </x:c>
      <x:c r="C265" s="35" t="n">
        <x:v>-0.1049999999999999</x:v>
      </x:c>
      <x:c r="D265" s="50" t="n">
        <x:v>2.229860394880488e-12</x:v>
      </x:c>
      <x:c r="E265" s="47" t="n">
        <x:f>LN(D265)/LN(10)</x:f>
        <x:v>-11.651722326024007</x:v>
      </x:c>
      <x:c r="F265" s="50" t="n">
        <x:v>0.0004019845680949</x:v>
      </x:c>
      <x:c r="G265" s="98" t="n">
        <x:f>D265/F265</x:f>
        <x:v>5.547129347398394e-9</x:v>
      </x:c>
      <x:c r="H265" s="26" t="str">
        <x:f>IF(G265&lt;=1%,"YES","NO")</x:f>
        <x:v>YES</x:v>
      </x:c>
      <x:c r="I265" s="26" t="str">
        <x:v>common_1v</x:v>
      </x:c>
      <x:c r="J265" s="27" t="str">
        <x:v>data/raw/ptm45_lp_vds_1v_raw.txt</x:v>
      </x:c>
    </x:row>
    <x:row r="266">
      <x:c r="A266" s="25" t="str">
        <x:v>LP</x:v>
      </x:c>
      <x:c r="B266" s="35" t="n">
        <x:v>1</x:v>
      </x:c>
      <x:c r="C266" s="35" t="n">
        <x:v>-0.0999999999999999</x:v>
      </x:c>
      <x:c r="D266" s="50" t="n">
        <x:v>2.404177765986292e-12</x:v>
      </x:c>
      <x:c r="E266" s="47" t="n">
        <x:f>LN(D266)/LN(10)</x:f>
        <x:v>-11.619033423552558</x:v>
      </x:c>
      <x:c r="F266" s="50" t="n">
        <x:v>0.0004019845680949</x:v>
      </x:c>
      <x:c r="G266" s="98" t="n">
        <x:f>D266/F266</x:f>
        <x:v>5.9807712952272256e-9</x:v>
      </x:c>
      <x:c r="H266" s="26" t="str">
        <x:f>IF(G266&lt;=1%,"YES","NO")</x:f>
        <x:v>YES</x:v>
      </x:c>
      <x:c r="I266" s="26" t="str">
        <x:v>common_1v</x:v>
      </x:c>
      <x:c r="J266" s="27" t="str">
        <x:v>data/raw/ptm45_lp_vds_1v_raw.txt</x:v>
      </x:c>
    </x:row>
    <x:row r="267">
      <x:c r="A267" s="25" t="str">
        <x:v>LP</x:v>
      </x:c>
      <x:c r="B267" s="35" t="n">
        <x:v>1</x:v>
      </x:c>
      <x:c r="C267" s="35" t="n">
        <x:v>-0.0949999999999999</x:v>
      </x:c>
      <x:c r="D267" s="50" t="n">
        <x:v>2.60340067369274e-12</x:v>
      </x:c>
      <x:c r="E267" s="47" t="n">
        <x:f>LN(D267)/LN(10)</x:f>
        <x:v>-11.584458987102954</x:v>
      </x:c>
      <x:c r="F267" s="50" t="n">
        <x:v>0.0004019845680949</x:v>
      </x:c>
      <x:c r="G267" s="98" t="n">
        <x:f>D267/F267</x:f>
        <x:v>6.476369692575195e-9</x:v>
      </x:c>
      <x:c r="H267" s="26" t="str">
        <x:f>IF(G267&lt;=1%,"YES","NO")</x:f>
        <x:v>YES</x:v>
      </x:c>
      <x:c r="I267" s="26" t="str">
        <x:v>common_1v</x:v>
      </x:c>
      <x:c r="J267" s="27" t="str">
        <x:v>data/raw/ptm45_lp_vds_1v_raw.txt</x:v>
      </x:c>
    </x:row>
    <x:row r="268">
      <x:c r="A268" s="25" t="str">
        <x:v>LP</x:v>
      </x:c>
      <x:c r="B268" s="35" t="n">
        <x:v>1</x:v>
      </x:c>
      <x:c r="C268" s="35" t="n">
        <x:v>-0.0899999999999999</x:v>
      </x:c>
      <x:c r="D268" s="50" t="n">
        <x:v>2.831086383090201e-12</x:v>
      </x:c>
      <x:c r="E268" s="47" t="n">
        <x:f>LN(D268)/LN(10)</x:f>
        <x:v>-11.54804687908878</x:v>
      </x:c>
      <x:c r="F268" s="50" t="n">
        <x:v>0.0004019845680949</x:v>
      </x:c>
      <x:c r="G268" s="98" t="n">
        <x:f>D268/F268</x:f>
        <x:v>7.042773797281297e-9</x:v>
      </x:c>
      <x:c r="H268" s="26" t="str">
        <x:f>IF(G268&lt;=1%,"YES","NO")</x:f>
        <x:v>YES</x:v>
      </x:c>
      <x:c r="I268" s="26" t="str">
        <x:v>common_1v</x:v>
      </x:c>
      <x:c r="J268" s="27" t="str">
        <x:v>data/raw/ptm45_lp_vds_1v_raw.txt</x:v>
      </x:c>
    </x:row>
    <x:row r="269">
      <x:c r="A269" s="25" t="str">
        <x:v>LP</x:v>
      </x:c>
      <x:c r="B269" s="35" t="n">
        <x:v>1</x:v>
      </x:c>
      <x:c r="C269" s="35" t="n">
        <x:v>-0.0849999999999999</x:v>
      </x:c>
      <x:c r="D269" s="50" t="n">
        <x:v>3.091300073124645e-12</x:v>
      </x:c>
      <x:c r="E269" s="47" t="n">
        <x:f>LN(D269)/LN(10)</x:f>
        <x:v>-11.509858835837083</x:v>
      </x:c>
      <x:c r="F269" s="50" t="n">
        <x:v>0.0004019845680949</x:v>
      </x:c>
      <x:c r="G269" s="98" t="n">
        <x:f>D269/F269</x:f>
        <x:v>7.69009638299064e-9</x:v>
      </x:c>
      <x:c r="H269" s="26" t="str">
        <x:f>IF(G269&lt;=1%,"YES","NO")</x:f>
        <x:v>YES</x:v>
      </x:c>
      <x:c r="I269" s="26" t="str">
        <x:v>common_1v</x:v>
      </x:c>
      <x:c r="J269" s="27" t="str">
        <x:v>data/raw/ptm45_lp_vds_1v_raw.txt</x:v>
      </x:c>
    </x:row>
    <x:row r="270">
      <x:c r="A270" s="25" t="str">
        <x:v>LP</x:v>
      </x:c>
      <x:c r="B270" s="35" t="n">
        <x:v>1</x:v>
      </x:c>
      <x:c r="C270" s="35" t="n">
        <x:v>-0.0799999999999999</x:v>
      </x:c>
      <x:c r="D270" s="50" t="n">
        <x:v>3.388687288649685e-12</x:v>
      </x:c>
      <x:c r="E270" s="47" t="n">
        <x:f>LN(D270)/LN(10)</x:f>
        <x:v>-11.46996850642965</x:v>
      </x:c>
      <x:c r="F270" s="50" t="n">
        <x:v>0.0004019845680949</x:v>
      </x:c>
      <x:c r="G270" s="98" t="n">
        <x:f>D270/F270</x:f>
        <x:v>8.429893975058486e-9</x:v>
      </x:c>
      <x:c r="H270" s="26" t="str">
        <x:f>IF(G270&lt;=1%,"YES","NO")</x:f>
        <x:v>YES</x:v>
      </x:c>
      <x:c r="I270" s="26" t="str">
        <x:v>common_1v</x:v>
      </x:c>
      <x:c r="J270" s="27" t="str">
        <x:v>data/raw/ptm45_lp_vds_1v_raw.txt</x:v>
      </x:c>
    </x:row>
    <x:row r="271">
      <x:c r="A271" s="25" t="str">
        <x:v>LP</x:v>
      </x:c>
      <x:c r="B271" s="35" t="n">
        <x:v>1</x:v>
      </x:c>
      <x:c r="C271" s="35" t="n">
        <x:v>-0.0749999999999999</x:v>
      </x:c>
      <x:c r="D271" s="50" t="n">
        <x:v>3.728556725636688e-12</x:v>
      </x:c>
      <x:c r="E271" s="47" t="n">
        <x:f>LN(D271)/LN(10)</x:f>
        <x:v>-11.428459245239656</x:v>
      </x:c>
      <x:c r="F271" s="50" t="n">
        <x:v>0.0004019845680949</x:v>
      </x:c>
      <x:c r="G271" s="98" t="n">
        <x:f>D271/F271</x:f>
        <x:v>9.275372791814373e-9</x:v>
      </x:c>
      <x:c r="H271" s="26" t="str">
        <x:f>IF(G271&lt;=1%,"YES","NO")</x:f>
        <x:v>YES</x:v>
      </x:c>
      <x:c r="I271" s="26" t="str">
        <x:v>common_1v</x:v>
      </x:c>
      <x:c r="J271" s="27" t="str">
        <x:v>data/raw/ptm45_lp_vds_1v_raw.txt</x:v>
      </x:c>
    </x:row>
    <x:row r="272">
      <x:c r="A272" s="25" t="str">
        <x:v>LP</x:v>
      </x:c>
      <x:c r="B272" s="35" t="n">
        <x:v>1</x:v>
      </x:c>
      <x:c r="C272" s="35" t="n">
        <x:v>-0.0699999999999999</x:v>
      </x:c>
      <x:c r="D272" s="50" t="n">
        <x:v>4.116974817444895e-12</x:v>
      </x:c>
      <x:c r="E272" s="47" t="n">
        <x:f>LN(D272)/LN(10)</x:f>
        <x:v>-11.38542178947037</x:v>
      </x:c>
      <x:c r="F272" s="50" t="n">
        <x:v>0.0004019845680949</x:v>
      </x:c>
      <x:c r="G272" s="98" t="n">
        <x:f>D272/F272</x:f>
        <x:v>1.0241624042823866e-8</x:v>
      </x:c>
      <x:c r="H272" s="26" t="str">
        <x:f>IF(G272&lt;=1%,"YES","NO")</x:f>
        <x:v>YES</x:v>
      </x:c>
      <x:c r="I272" s="26" t="str">
        <x:v>common_1v</x:v>
      </x:c>
      <x:c r="J272" s="27" t="str">
        <x:v>data/raw/ptm45_lp_vds_1v_raw.txt</x:v>
      </x:c>
    </x:row>
    <x:row r="273">
      <x:c r="A273" s="25" t="str">
        <x:v>LP</x:v>
      </x:c>
      <x:c r="B273" s="35" t="n">
        <x:v>1</x:v>
      </x:c>
      <x:c r="C273" s="35" t="n">
        <x:v>-0.0649999999999998</x:v>
      </x:c>
      <x:c r="D273" s="50" t="n">
        <x:v>4.56087379943123e-12</x:v>
      </x:c>
      <x:c r="E273" s="47" t="n">
        <x:f>LN(D273)/LN(10)</x:f>
        <x:v>-11.340951944634504</x:v>
      </x:c>
      <x:c r="F273" s="50" t="n">
        <x:v>0.0004019845680949</x:v>
      </x:c>
      <x:c r="G273" s="98" t="n">
        <x:f>D273/F273</x:f>
        <x:v>1.1345892756645585e-8</x:v>
      </x:c>
      <x:c r="H273" s="26" t="str">
        <x:f>IF(G273&lt;=1%,"YES","NO")</x:f>
        <x:v>YES</x:v>
      </x:c>
      <x:c r="I273" s="26" t="str">
        <x:v>common_1v</x:v>
      </x:c>
      <x:c r="J273" s="27" t="str">
        <x:v>data/raw/ptm45_lp_vds_1v_raw.txt</x:v>
      </x:c>
    </x:row>
    <x:row r="274">
      <x:c r="A274" s="25" t="str">
        <x:v>LP</x:v>
      </x:c>
      <x:c r="B274" s="35" t="n">
        <x:v>1</x:v>
      </x:c>
      <x:c r="C274" s="35" t="n">
        <x:v>-0.0599999999999998</x:v>
      </x:c>
      <x:c r="D274" s="50" t="n">
        <x:v>5.068175167828729e-12</x:v>
      </x:c>
      <x:c r="E274" s="47" t="n">
        <x:f>LN(D274)/LN(10)</x:f>
        <x:v>-11.295148383309757</x:v>
      </x:c>
      <x:c r="F274" s="50" t="n">
        <x:v>0.0004019845680949</x:v>
      </x:c>
      <x:c r="G274" s="98" t="n">
        <x:f>D274/F274</x:f>
        <x:v>1.2607884904258916e-8</x:v>
      </x:c>
      <x:c r="H274" s="26" t="str">
        <x:f>IF(G274&lt;=1%,"YES","NO")</x:f>
        <x:v>YES</x:v>
      </x:c>
      <x:c r="I274" s="26" t="str">
        <x:v>common_1v</x:v>
      </x:c>
      <x:c r="J274" s="27" t="str">
        <x:v>data/raw/ptm45_lp_vds_1v_raw.txt</x:v>
      </x:c>
    </x:row>
    <x:row r="275">
      <x:c r="A275" s="25" t="str">
        <x:v>LP</x:v>
      </x:c>
      <x:c r="B275" s="35" t="n">
        <x:v>1</x:v>
      </x:c>
      <x:c r="C275" s="35" t="n">
        <x:v>-0.0549999999999999</x:v>
      </x:c>
      <x:c r="D275" s="50" t="n">
        <x:v>5.647930720840611e-12</x:v>
      </x:c>
      <x:c r="E275" s="47" t="n">
        <x:f>LN(D275)/LN(10)</x:f>
        <x:v>-11.248110639105892</x:v>
      </x:c>
      <x:c r="F275" s="50" t="n">
        <x:v>0.0004019845680949</x:v>
      </x:c>
      <x:c r="G275" s="98" t="n">
        <x:f>D275/F275</x:f>
        <x:v>1.405011826102552e-8</x:v>
      </x:c>
      <x:c r="H275" s="26" t="str">
        <x:f>IF(G275&lt;=1%,"YES","NO")</x:f>
        <x:v>YES</x:v>
      </x:c>
      <x:c r="I275" s="26" t="str">
        <x:v>common_1v</x:v>
      </x:c>
      <x:c r="J275" s="27" t="str">
        <x:v>data/raw/ptm45_lp_vds_1v_raw.txt</x:v>
      </x:c>
    </x:row>
    <x:row r="276">
      <x:c r="A276" s="25" t="str">
        <x:v>LP</x:v>
      </x:c>
      <x:c r="B276" s="35" t="n">
        <x:v>1</x:v>
      </x:c>
      <x:c r="C276" s="35" t="n">
        <x:v>-0.0499999999999999</x:v>
      </x:c>
      <x:c r="D276" s="50" t="n">
        <x:v>6.310483680331215e-12</x:v>
      </x:c>
      <x:c r="E276" s="47" t="n">
        <x:f>LN(D276)/LN(10)</x:f>
        <x:v>-11.199937352063564</x:v>
      </x:c>
      <x:c r="F276" s="50" t="n">
        <x:v>0.0004019845680949</x:v>
      </x:c>
      <x:c r="G276" s="98" t="n">
        <x:f>D276/F276</x:f>
        <x:v>1.5698323222302017e-8</x:v>
      </x:c>
      <x:c r="H276" s="26" t="str">
        <x:f>IF(G276&lt;=1%,"YES","NO")</x:f>
        <x:v>YES</x:v>
      </x:c>
      <x:c r="I276" s="26" t="str">
        <x:v>common_1v</x:v>
      </x:c>
      <x:c r="J276" s="27" t="str">
        <x:v>data/raw/ptm45_lp_vds_1v_raw.txt</x:v>
      </x:c>
    </x:row>
    <x:row r="277">
      <x:c r="A277" s="25" t="str">
        <x:v>LP</x:v>
      </x:c>
      <x:c r="B277" s="35" t="n">
        <x:v>1</x:v>
      </x:c>
      <x:c r="C277" s="35" t="n">
        <x:v>-0.0449999999999999</x:v>
      </x:c>
      <x:c r="D277" s="50" t="n">
        <x:v>7.067652746641881e-12</x:v>
      </x:c>
      <x:c r="E277" s="47" t="n">
        <x:f>LN(D277)/LN(10)</x:f>
        <x:v>-11.15072479673206</x:v>
      </x:c>
      <x:c r="F277" s="50" t="n">
        <x:v>0.0004019845680949</x:v>
      </x:c>
      <x:c r="G277" s="98" t="n">
        <x:f>D277/F277</x:f>
        <x:v>1.7581900668817115e-8</x:v>
      </x:c>
      <x:c r="H277" s="26" t="str">
        <x:f>IF(G277&lt;=1%,"YES","NO")</x:f>
        <x:v>YES</x:v>
      </x:c>
      <x:c r="I277" s="26" t="str">
        <x:v>common_1v</x:v>
      </x:c>
      <x:c r="J277" s="27" t="str">
        <x:v>data/raw/ptm45_lp_vds_1v_raw.txt</x:v>
      </x:c>
    </x:row>
    <x:row r="278">
      <x:c r="A278" s="25" t="str">
        <x:v>LP</x:v>
      </x:c>
      <x:c r="B278" s="35" t="n">
        <x:v>1</x:v>
      </x:c>
      <x:c r="C278" s="35" t="n">
        <x:v>-0.0399999999999999</x:v>
      </x:c>
      <x:c r="D278" s="50" t="n">
        <x:v>7.932942342892279e-12</x:v>
      </x:c>
      <x:c r="E278" s="47" t="n">
        <x:f>LN(D278)/LN(10)</x:f>
        <x:v>-11.100565702181076</x:v>
      </x:c>
      <x:c r="F278" s="50" t="n">
        <x:v>0.0004019845680949</x:v>
      </x:c>
      <x:c r="G278" s="98" t="n">
        <x:f>D278/F278</x:f>
        <x:v>1.973444498252351e-8</x:v>
      </x:c>
      <x:c r="H278" s="26" t="str">
        <x:f>IF(G278&lt;=1%,"YES","NO")</x:f>
        <x:v>YES</x:v>
      </x:c>
      <x:c r="I278" s="26" t="str">
        <x:v>common_1v</x:v>
      </x:c>
      <x:c r="J278" s="27" t="str">
        <x:v>data/raw/ptm45_lp_vds_1v_raw.txt</x:v>
      </x:c>
    </x:row>
    <x:row r="279">
      <x:c r="A279" s="25" t="str">
        <x:v>LP</x:v>
      </x:c>
      <x:c r="B279" s="35" t="n">
        <x:v>1</x:v>
      </x:c>
      <x:c r="C279" s="35" t="n">
        <x:v>-0.0349999999999999</x:v>
      </x:c>
      <x:c r="D279" s="50" t="n">
        <x:v>8.921782765968998e-12</x:v>
      </x:c>
      <x:c r="E279" s="47" t="n">
        <x:f>LN(D279)/LN(10)</x:f>
        <x:v>-11.049548355482376</x:v>
      </x:c>
      <x:c r="F279" s="50" t="n">
        <x:v>0.0004019845680949</x:v>
      </x:c>
      <x:c r="G279" s="98" t="n">
        <x:f>D279/F279</x:f>
        <x:v>2.2194341460050166e-8</x:v>
      </x:c>
      <x:c r="H279" s="26" t="str">
        <x:f>IF(G279&lt;=1%,"YES","NO")</x:f>
        <x:v>YES</x:v>
      </x:c>
      <x:c r="I279" s="26" t="str">
        <x:v>common_1v</x:v>
      </x:c>
      <x:c r="J279" s="27" t="str">
        <x:v>data/raw/ptm45_lp_vds_1v_raw.txt</x:v>
      </x:c>
    </x:row>
    <x:row r="280">
      <x:c r="A280" s="25" t="str">
        <x:v>LP</x:v>
      </x:c>
      <x:c r="B280" s="35" t="n">
        <x:v>1</x:v>
      </x:c>
      <x:c r="C280" s="35" t="n">
        <x:v>-0.0299999999999999</x:v>
      </x:c>
      <x:c r="D280" s="50" t="n">
        <x:v>1.005180448712331e-11</x:v>
      </x:c>
      <x:c r="E280" s="47" t="n">
        <x:f>LN(D280)/LN(10)</x:f>
        <x:v>-10.997755967253084</x:v>
      </x:c>
      <x:c r="F280" s="50" t="n">
        <x:v>0.0004019845680949</x:v>
      </x:c>
      <x:c r="G280" s="98" t="n">
        <x:f>D280/F280</x:f>
        <x:v>2.5005448678692294e-8</x:v>
      </x:c>
      <x:c r="H280" s="26" t="str">
        <x:f>IF(G280&lt;=1%,"YES","NO")</x:f>
        <x:v>YES</x:v>
      </x:c>
      <x:c r="I280" s="26" t="str">
        <x:v>common_1v</x:v>
      </x:c>
      <x:c r="J280" s="27" t="str">
        <x:v>data/raw/ptm45_lp_vds_1v_raw.txt</x:v>
      </x:c>
    </x:row>
    <x:row r="281">
      <x:c r="A281" s="25" t="str">
        <x:v>LP</x:v>
      </x:c>
      <x:c r="B281" s="35" t="n">
        <x:v>1</x:v>
      </x:c>
      <x:c r="C281" s="35" t="n">
        <x:v>-0.0249999999999999</x:v>
      </x:c>
      <x:c r="D281" s="50" t="n">
        <x:v>1.134315144431181e-11</x:v>
      </x:c>
      <x:c r="E281" s="47" t="n">
        <x:f>LN(D281)/LN(10)</x:f>
        <x:v>-10.94526626954084</x:v>
      </x:c>
      <x:c r="F281" s="50" t="n">
        <x:v>0.0004019845680949</x:v>
      </x:c>
      <x:c r="G281" s="98" t="n">
        <x:f>D281/F281</x:f>
        <x:v>2.8217877860510144e-8</x:v>
      </x:c>
      <x:c r="H281" s="26" t="str">
        <x:f>IF(G281&lt;=1%,"YES","NO")</x:f>
        <x:v>YES</x:v>
      </x:c>
      <x:c r="I281" s="26" t="str">
        <x:v>common_1v</x:v>
      </x:c>
      <x:c r="J281" s="27" t="str">
        <x:v>data/raw/ptm45_lp_vds_1v_raw.txt</x:v>
      </x:c>
    </x:row>
    <x:row r="282">
      <x:c r="A282" s="25" t="str">
        <x:v>LP</x:v>
      </x:c>
      <x:c r="B282" s="35" t="n">
        <x:v>1</x:v>
      </x:c>
      <x:c r="C282" s="35" t="n">
        <x:v>-0.0199999999999999</x:v>
      </x:c>
      <x:c r="D282" s="50" t="n">
        <x:v>1.281883885238538e-11</x:v>
      </x:c>
      <x:c r="E282" s="47" t="n">
        <x:f>LN(D282)/LN(10)</x:f>
        <x:v>-10.892151312012224</x:v>
      </x:c>
      <x:c r="F282" s="50" t="n">
        <x:v>0.0004019845680949</x:v>
      </x:c>
      <x:c r="G282" s="98" t="n">
        <x:f>D282/F282</x:f>
        <x:v>3.1888882981595265e-8</x:v>
      </x:c>
      <x:c r="H282" s="26" t="str">
        <x:f>IF(G282&lt;=1%,"YES","NO")</x:f>
        <x:v>YES</x:v>
      </x:c>
      <x:c r="I282" s="26" t="str">
        <x:v>common_1v</x:v>
      </x:c>
      <x:c r="J282" s="27" t="str">
        <x:v>data/raw/ptm45_lp_vds_1v_raw.txt</x:v>
      </x:c>
    </x:row>
    <x:row r="283">
      <x:c r="A283" s="25" t="str">
        <x:v>LP</x:v>
      </x:c>
      <x:c r="B283" s="35" t="n">
        <x:v>1</x:v>
      </x:c>
      <x:c r="C283" s="35" t="n">
        <x:v>-0.0149999999999999</x:v>
      </x:c>
      <x:c r="D283" s="50" t="n">
        <x:v>1.4505161836316829e-11</x:v>
      </x:c>
      <x:c r="E283" s="47" t="n">
        <x:f>LN(D283)/LN(10)</x:f>
        <x:v>-10.838477421344095</x:v>
      </x:c>
      <x:c r="F283" s="50" t="n">
        <x:v>0.0004019845680949</x:v>
      </x:c>
      <x:c r="G283" s="98" t="n">
        <x:f>D283/F283</x:f>
        <x:v>3.608387731165956e-8</x:v>
      </x:c>
      <x:c r="H283" s="26" t="str">
        <x:f>IF(G283&lt;=1%,"YES","NO")</x:f>
        <x:v>YES</x:v>
      </x:c>
      <x:c r="I283" s="26" t="str">
        <x:v>common_1v</x:v>
      </x:c>
      <x:c r="J283" s="27" t="str">
        <x:v>data/raw/ptm45_lp_vds_1v_raw.txt</x:v>
      </x:c>
    </x:row>
    <x:row r="284">
      <x:c r="A284" s="25" t="str">
        <x:v>LP</x:v>
      </x:c>
      <x:c r="B284" s="35" t="n">
        <x:v>1</x:v>
      </x:c>
      <x:c r="C284" s="35" t="n">
        <x:v>-0.0099999999999999</x:v>
      </x:c>
      <x:c r="D284" s="50" t="n">
        <x:v>1.643216208159562e-11</x:v>
      </x:c>
      <x:c r="E284" s="47" t="n">
        <x:f>LN(D284)/LN(10)</x:f>
        <x:v>-10.784305289983685</x:v>
      </x:c>
      <x:c r="F284" s="50" t="n">
        <x:v>0.0004019845680949</x:v>
      </x:c>
      <x:c r="G284" s="98" t="n">
        <x:f>D284/F284</x:f>
        <x:v>4.08775942804758e-8</x:v>
      </x:c>
      <x:c r="H284" s="26" t="str">
        <x:f>IF(G284&lt;=1%,"YES","NO")</x:f>
        <x:v>YES</x:v>
      </x:c>
      <x:c r="I284" s="26" t="str">
        <x:v>common_1v</x:v>
      </x:c>
      <x:c r="J284" s="27" t="str">
        <x:v>data/raw/ptm45_lp_vds_1v_raw.txt</x:v>
      </x:c>
    </x:row>
    <x:row r="285">
      <x:c r="A285" s="25" t="str">
        <x:v>LP</x:v>
      </x:c>
      <x:c r="B285" s="35" t="n">
        <x:v>1</x:v>
      </x:c>
      <x:c r="C285" s="35" t="n">
        <x:v>-0.0049999999999999</x:v>
      </x:c>
      <x:c r="D285" s="50" t="n">
        <x:v>1.8634160708620268e-11</x:v>
      </x:c>
      <x:c r="E285" s="47" t="n">
        <x:f>LN(D285)/LN(10)</x:f>
        <x:v>-10.729690163297768</x:v>
      </x:c>
      <x:c r="F285" s="50" t="n">
        <x:v>0.0004019845680949</x:v>
      </x:c>
      <x:c r="G285" s="98" t="n">
        <x:f>D285/F285</x:f>
        <x:v>4.635541308695497e-8</x:v>
      </x:c>
      <x:c r="H285" s="26" t="str">
        <x:f>IF(G285&lt;=1%,"YES","NO")</x:f>
        <x:v>YES</x:v>
      </x:c>
      <x:c r="I285" s="26" t="str">
        <x:v>common_1v</x:v>
      </x:c>
      <x:c r="J285" s="27" t="str">
        <x:v>data/raw/ptm45_lp_vds_1v_raw.txt</x:v>
      </x:c>
    </x:row>
    <x:row r="286">
      <x:c r="A286" s="25" t="str">
        <x:v>LP</x:v>
      </x:c>
      <x:c r="B286" s="35" t="n">
        <x:v>1</x:v>
      </x:c>
      <x:c r="C286" s="35" t="n">
        <x:v>9.887923813067799e-17</x:v>
      </x:c>
      <x:c r="D286" s="50" t="n">
        <x:v>2.115036673217059e-11</x:v>
      </x:c>
      <x:c r="E286" s="47" t="n">
        <x:f>LN(D286)/LN(10)</x:f>
        <x:v>-10.674682097869212</x:v>
      </x:c>
      <x:c r="F286" s="50" t="n">
        <x:v>0.0004019845680949</x:v>
      </x:c>
      <x:c r="G286" s="98" t="n">
        <x:f>D286/F286</x:f>
        <x:v>5.261487233802826e-8</x:v>
      </x:c>
      <x:c r="H286" s="26" t="str">
        <x:f>IF(G286&lt;=1%,"YES","NO")</x:f>
        <x:v>YES</x:v>
      </x:c>
      <x:c r="I286" s="26" t="str">
        <x:v>common_1v</x:v>
      </x:c>
      <x:c r="J286" s="27" t="str">
        <x:v>data/raw/ptm45_lp_vds_1v_raw.txt</x:v>
      </x:c>
    </x:row>
    <x:row r="287">
      <x:c r="A287" s="25" t="str">
        <x:v>LP</x:v>
      </x:c>
      <x:c r="B287" s="35" t="n">
        <x:v>1</x:v>
      </x:c>
      <x:c r="C287" s="35" t="n">
        <x:v>0.005</x:v>
      </x:c>
      <x:c r="D287" s="50" t="n">
        <x:v>2.4025571782320378e-11</x:v>
      </x:c>
      <x:c r="E287" s="47" t="n">
        <x:f>LN(D287)/LN(10)</x:f>
        <x:v>-10.619326267802947</x:v>
      </x:c>
      <x:c r="F287" s="50" t="n">
        <x:v>0.0004019845680949</x:v>
      </x:c>
      <x:c r="G287" s="98" t="n">
        <x:f>D287/F287</x:f>
        <x:v>5.976739827646431e-8</x:v>
      </x:c>
      <x:c r="H287" s="26" t="str">
        <x:f>IF(G287&lt;=1%,"YES","NO")</x:f>
        <x:v>YES</x:v>
      </x:c>
      <x:c r="I287" s="26" t="str">
        <x:v>common_1v</x:v>
      </x:c>
      <x:c r="J287" s="27" t="str">
        <x:v>data/raw/ptm45_lp_vds_1v_raw.txt</x:v>
      </x:c>
    </x:row>
    <x:row r="288">
      <x:c r="A288" s="25" t="str">
        <x:v>LP</x:v>
      </x:c>
      <x:c r="B288" s="35" t="n">
        <x:v>1</x:v>
      </x:c>
      <x:c r="C288" s="35" t="n">
        <x:v>0.0100000000000001</x:v>
      </x:c>
      <x:c r="D288" s="50" t="n">
        <x:v>2.7310943261342637e-11</x:v>
      </x:c>
      <x:c r="E288" s="47" t="n">
        <x:f>LN(D288)/LN(10)</x:f>
        <x:v>-10.563663300002275</x:v>
      </x:c>
      <x:c r="F288" s="50" t="n">
        <x:v>0.0004019845680949</x:v>
      </x:c>
      <x:c r="G288" s="98" t="n">
        <x:f>D288/F288</x:f>
        <x:v>6.794027788373982e-8</x:v>
      </x:c>
      <x:c r="H288" s="26" t="str">
        <x:f>IF(G288&lt;=1%,"YES","NO")</x:f>
        <x:v>YES</x:v>
      </x:c>
      <x:c r="I288" s="26" t="str">
        <x:v>common_1v</x:v>
      </x:c>
      <x:c r="J288" s="27" t="str">
        <x:v>data/raw/ptm45_lp_vds_1v_raw.txt</x:v>
      </x:c>
    </x:row>
    <x:row r="289">
      <x:c r="A289" s="25" t="str">
        <x:v>LP</x:v>
      </x:c>
      <x:c r="B289" s="35" t="n">
        <x:v>1</x:v>
      </x:c>
      <x:c r="C289" s="35" t="n">
        <x:v>0.0150000000000001</x:v>
      </x:c>
      <x:c r="D289" s="50" t="n">
        <x:v>3.106492981728692e-11</x:v>
      </x:c>
      <x:c r="E289" s="47" t="n">
        <x:f>LN(D289)/LN(10)</x:f>
        <x:v>-10.507729623219365</x:v>
      </x:c>
      <x:c r="F289" s="50" t="n">
        <x:v>0.0004019845680949</x:v>
      </x:c>
      <x:c r="G289" s="98" t="n">
        <x:f>D289/F289</x:f>
        <x:v>7.727891138834254e-8</x:v>
      </x:c>
      <x:c r="H289" s="26" t="str">
        <x:f>IF(G289&lt;=1%,"YES","NO")</x:f>
        <x:v>YES</x:v>
      </x:c>
      <x:c r="I289" s="26" t="str">
        <x:v>common_1v</x:v>
      </x:c>
      <x:c r="J289" s="27" t="str">
        <x:v>data/raw/ptm45_lp_vds_1v_raw.txt</x:v>
      </x:c>
    </x:row>
    <x:row r="290">
      <x:c r="A290" s="25" t="str">
        <x:v>LP</x:v>
      </x:c>
      <x:c r="B290" s="35" t="n">
        <x:v>1</x:v>
      </x:c>
      <x:c r="C290" s="35" t="n">
        <x:v>0.0200000000000001</x:v>
      </x:c>
      <x:c r="D290" s="50" t="n">
        <x:v>3.535429495798751e-11</x:v>
      </x:c>
      <x:c r="E290" s="47" t="n">
        <x:f>LN(D290)/LN(10)</x:f>
        <x:v>-10.451557819116037</x:v>
      </x:c>
      <x:c r="F290" s="50" t="n">
        <x:v>0.0004019845680949</x:v>
      </x:c>
      <x:c r="G290" s="98" t="n">
        <x:f>D290/F290</x:f>
        <x:v>8.794938354360188e-8</x:v>
      </x:c>
      <x:c r="H290" s="26" t="str">
        <x:f>IF(G290&lt;=1%,"YES","NO")</x:f>
        <x:v>YES</x:v>
      </x:c>
      <x:c r="I290" s="26" t="str">
        <x:v>common_1v</x:v>
      </x:c>
      <x:c r="J290" s="27" t="str">
        <x:v>data/raw/ptm45_lp_vds_1v_raw.txt</x:v>
      </x:c>
    </x:row>
    <x:row r="291">
      <x:c r="A291" s="25" t="str">
        <x:v>LP</x:v>
      </x:c>
      <x:c r="B291" s="35" t="n">
        <x:v>1</x:v>
      </x:c>
      <x:c r="C291" s="35" t="n">
        <x:v>0.0250000000000001</x:v>
      </x:c>
      <x:c r="D291" s="50" t="n">
        <x:v>4.0255296840700295e-11</x:v>
      </x:c>
      <x:c r="E291" s="47" t="n">
        <x:f>LN(D291)/LN(10)</x:f>
        <x:v>-10.395176966542397</x:v>
      </x:c>
      <x:c r="F291" s="50" t="n">
        <x:v>0.0004019845680949</x:v>
      </x:c>
      <x:c r="G291" s="98" t="n">
        <x:f>D291/F291</x:f>
        <x:v>1.0014139854044565e-7</x:v>
      </x:c>
      <x:c r="H291" s="26" t="str">
        <x:f>IF(G291&lt;=1%,"YES","NO")</x:f>
        <x:v>YES</x:v>
      </x:c>
      <x:c r="I291" s="26" t="str">
        <x:v>common_1v</x:v>
      </x:c>
      <x:c r="J291" s="27" t="str">
        <x:v>data/raw/ptm45_lp_vds_1v_raw.txt</x:v>
      </x:c>
    </x:row>
    <x:row r="292">
      <x:c r="A292" s="25" t="str">
        <x:v>LP</x:v>
      </x:c>
      <x:c r="B292" s="35" t="n">
        <x:v>1</x:v>
      </x:c>
      <x:c r="C292" s="35" t="n">
        <x:v>0.0300000000000001</x:v>
      </x:c>
      <x:c r="D292" s="50" t="n">
        <x:v>4.5855034789212085e-11</x:v>
      </x:c>
      <x:c r="E292" s="47" t="n">
        <x:f>LN(D292)/LN(10)</x:f>
        <x:v>-10.338612972728377</x:v>
      </x:c>
      <x:c r="F292" s="50" t="n">
        <x:v>0.0004019845680949</x:v>
      </x:c>
      <x:c r="G292" s="98" t="n">
        <x:f>D292/F292</x:f>
        <x:v>1.1407162968103464e-7</x:v>
      </x:c>
      <x:c r="H292" s="26" t="str">
        <x:f>IF(G292&lt;=1%,"YES","NO")</x:f>
        <x:v>YES</x:v>
      </x:c>
      <x:c r="I292" s="26" t="str">
        <x:v>common_1v</x:v>
      </x:c>
      <x:c r="J292" s="27" t="str">
        <x:v>data/raw/ptm45_lp_vds_1v_raw.txt</x:v>
      </x:c>
    </x:row>
    <x:row r="293">
      <x:c r="A293" s="25" t="str">
        <x:v>LP</x:v>
      </x:c>
      <x:c r="B293" s="35" t="n">
        <x:v>1</x:v>
      </x:c>
      <x:c r="C293" s="35" t="n">
        <x:v>0.0350000000000001</x:v>
      </x:c>
      <x:c r="D293" s="50" t="n">
        <x:v>5.2252985954002747e-11</x:v>
      </x:c>
      <x:c r="E293" s="47" t="n">
        <x:f>LN(D293)/LN(10)</x:f>
        <x:v>-10.281888887106016</x:v>
      </x:c>
      <x:c r="F293" s="50" t="n">
        <x:v>0.0004019845680949</x:v>
      </x:c>
      <x:c r="G293" s="98" t="n">
        <x:f>D293/F293</x:f>
        <x:v>1.2998754206322401e-7</x:v>
      </x:c>
      <x:c r="H293" s="26" t="str">
        <x:f>IF(G293&lt;=1%,"YES","NO")</x:f>
        <x:v>YES</x:v>
      </x:c>
      <x:c r="I293" s="26" t="str">
        <x:v>common_1v</x:v>
      </x:c>
      <x:c r="J293" s="27" t="str">
        <x:v>data/raw/ptm45_lp_vds_1v_raw.txt</x:v>
      </x:c>
    </x:row>
    <x:row r="294">
      <x:c r="A294" s="25" t="str">
        <x:v>LP</x:v>
      </x:c>
      <x:c r="B294" s="35" t="n">
        <x:v>1</x:v>
      </x:c>
      <x:c r="C294" s="35" t="n">
        <x:v>0.0400000000000001</x:v>
      </x:c>
      <x:c r="D294" s="50" t="n">
        <x:v>5.956275878741194e-11</x:v>
      </x:c>
      <x:c r="E294" s="47" t="n">
        <x:f>LN(D294)/LN(10)</x:f>
        <x:v>-10.225025195097121</x:v>
      </x:c>
      <x:c r="F294" s="50" t="n">
        <x:v>0.0004019845680949</x:v>
      </x:c>
      <x:c r="G294" s="98" t="n">
        <x:f>D294/F294</x:f>
        <x:v>1.4817175462653692e-7</x:v>
      </x:c>
      <x:c r="H294" s="26" t="str">
        <x:f>IF(G294&lt;=1%,"YES","NO")</x:f>
        <x:v>YES</x:v>
      </x:c>
      <x:c r="I294" s="26" t="str">
        <x:v>common_1v</x:v>
      </x:c>
      <x:c r="J294" s="27" t="str">
        <x:v>data/raw/ptm45_lp_vds_1v_raw.txt</x:v>
      </x:c>
    </x:row>
    <x:row r="295">
      <x:c r="A295" s="25" t="str">
        <x:v>LP</x:v>
      </x:c>
      <x:c r="B295" s="35" t="n">
        <x:v>1</x:v>
      </x:c>
      <x:c r="C295" s="35" t="n">
        <x:v>0.0450000000000001</x:v>
      </x:c>
      <x:c r="D295" s="50" t="n">
        <x:v>6.791409370813255e-11</x:v>
      </x:c>
      <x:c r="E295" s="47" t="n">
        <x:f>LN(D295)/LN(10)</x:f>
        <x:v>-10.168040090454056</x:v>
      </x:c>
      <x:c r="F295" s="50" t="n">
        <x:v>0.0004019845680949</x:v>
      </x:c>
      <x:c r="G295" s="98" t="n">
        <x:f>D295/F295</x:f>
        <x:v>1.6894701712056637e-7</x:v>
      </x:c>
      <x:c r="H295" s="26" t="str">
        <x:f>IF(G295&lt;=1%,"YES","NO")</x:f>
        <x:v>YES</x:v>
      </x:c>
      <x:c r="I295" s="26" t="str">
        <x:v>common_1v</x:v>
      </x:c>
      <x:c r="J295" s="27" t="str">
        <x:v>data/raw/ptm45_lp_vds_1v_raw.txt</x:v>
      </x:c>
    </x:row>
    <x:row r="296">
      <x:c r="A296" s="25" t="str">
        <x:v>LP</x:v>
      </x:c>
      <x:c r="B296" s="35" t="n">
        <x:v>1</x:v>
      </x:c>
      <x:c r="C296" s="35" t="n">
        <x:v>0.05</x:v>
      </x:c>
      <x:c r="D296" s="50" t="n">
        <x:v>7.745514553794716e-11</x:v>
      </x:c>
      <x:c r="E296" s="47" t="n">
        <x:f>LN(D296)/LN(10)</x:f>
        <x:v>-10.11094972568389</x:v>
      </x:c>
      <x:c r="F296" s="50" t="n">
        <x:v>0.0004019845680949</x:v>
      </x:c>
      <x:c r="G296" s="98" t="n">
        <x:f>D296/F296</x:f>
        <x:v>1.9268188802626286e-7</x:v>
      </x:c>
      <x:c r="H296" s="26" t="str">
        <x:f>IF(G296&lt;=1%,"YES","NO")</x:f>
        <x:v>YES</x:v>
      </x:c>
      <x:c r="I296" s="26" t="str">
        <x:v>common_1v</x:v>
      </x:c>
      <x:c r="J296" s="27" t="str">
        <x:v>data/raw/ptm45_lp_vds_1v_raw.txt</x:v>
      </x:c>
    </x:row>
    <x:row r="297">
      <x:c r="A297" s="25" t="str">
        <x:v>LP</x:v>
      </x:c>
      <x:c r="B297" s="35" t="n">
        <x:v>1</x:v>
      </x:c>
      <x:c r="C297" s="35" t="n">
        <x:v>0.055</x:v>
      </x:c>
      <x:c r="D297" s="50" t="n">
        <x:v>8.835508707411416e-11</x:v>
      </x:c>
      <x:c r="E297" s="47" t="n">
        <x:f>LN(D297)/LN(10)</x:f>
        <x:v>-10.053768440785227</x:v>
      </x:c>
      <x:c r="F297" s="50" t="n">
        <x:v>0.0004019845680949</x:v>
      </x:c>
      <x:c r="G297" s="98" t="n">
        <x:f>D297/F297</x:f>
        <x:v>2.1979721135278858e-7</x:v>
      </x:c>
      <x:c r="H297" s="26" t="str">
        <x:f>IF(G297&lt;=1%,"YES","NO")</x:f>
        <x:v>YES</x:v>
      </x:c>
      <x:c r="I297" s="26" t="str">
        <x:v>common_1v</x:v>
      </x:c>
      <x:c r="J297" s="27" t="str">
        <x:v>data/raw/ptm45_lp_vds_1v_raw.txt</x:v>
      </x:c>
    </x:row>
    <x:row r="298">
      <x:c r="A298" s="25" t="str">
        <x:v>LP</x:v>
      </x:c>
      <x:c r="B298" s="35" t="n">
        <x:v>1</x:v>
      </x:c>
      <x:c r="C298" s="35" t="n">
        <x:v>0.06</x:v>
      </x:c>
      <x:c r="D298" s="50" t="n">
        <x:v>1.008070785903204e-10</x:v>
      </x:c>
      <x:c r="E298" s="47" t="n">
        <x:f>LN(D298)/LN(10)</x:f>
        <x:v>-9.996508971017679</x:v>
      </x:c>
      <x:c r="F298" s="50" t="n">
        <x:v>0.0004019845680949</x:v>
      </x:c>
      <x:c r="G298" s="98" t="n">
        <x:f>D298/F298</x:f>
        <x:v>2.5077350373938233e-7</x:v>
      </x:c>
      <x:c r="H298" s="26" t="str">
        <x:f>IF(G298&lt;=1%,"YES","NO")</x:f>
        <x:v>YES</x:v>
      </x:c>
      <x:c r="I298" s="26" t="str">
        <x:v>common_1v</x:v>
      </x:c>
      <x:c r="J298" s="27" t="str">
        <x:v>data/raw/ptm45_lp_vds_1v_raw.txt</x:v>
      </x:c>
    </x:row>
    <x:row r="299">
      <x:c r="A299" s="25" t="str">
        <x:v>LP</x:v>
      </x:c>
      <x:c r="B299" s="35" t="n">
        <x:v>1</x:v>
      </x:c>
      <x:c r="C299" s="35" t="n">
        <x:v>0.065</x:v>
      </x:c>
      <x:c r="D299" s="50" t="n">
        <x:v>1.1503165422272059e-10</x:v>
      </x:c>
      <x:c r="E299" s="47" t="n">
        <x:f>LN(D299)/LN(10)</x:f>
        <x:v>-9.93918263475413</x:v>
      </x:c>
      <x:c r="F299" s="50" t="n">
        <x:v>0.0004019845680949</x:v>
      </x:c>
      <x:c r="G299" s="98" t="n">
        <x:f>D299/F299</x:f>
        <x:v>2.8615937862461447e-7</x:v>
      </x:c>
      <x:c r="H299" s="26" t="str">
        <x:f>IF(G299&lt;=1%,"YES","NO")</x:f>
        <x:v>YES</x:v>
      </x:c>
      <x:c r="I299" s="26" t="str">
        <x:v>common_1v</x:v>
      </x:c>
      <x:c r="J299" s="27" t="str">
        <x:v>data/raw/ptm45_lp_vds_1v_raw.txt</x:v>
      </x:c>
    </x:row>
    <x:row r="300">
      <x:c r="A300" s="25" t="str">
        <x:v>LP</x:v>
      </x:c>
      <x:c r="B300" s="35" t="n">
        <x:v>1</x:v>
      </x:c>
      <x:c r="C300" s="35" t="n">
        <x:v>0.07</x:v>
      </x:c>
      <x:c r="D300" s="50" t="n">
        <x:v>1.312805831898021e-10</x:v>
      </x:c>
      <x:c r="E300" s="47" t="n">
        <x:f>LN(D300)/LN(10)</x:f>
        <x:v>-9.88179950267746</x:v>
      </x:c>
      <x:c r="F300" s="50" t="n">
        <x:v>0.0004019845680949</x:v>
      </x:c>
      <x:c r="G300" s="98" t="n">
        <x:f>D300/F300</x:f>
        <x:v>3.265811516396558e-7</x:v>
      </x:c>
      <x:c r="H300" s="26" t="str">
        <x:f>IF(G300&lt;=1%,"YES","NO")</x:f>
        <x:v>YES</x:v>
      </x:c>
      <x:c r="I300" s="26" t="str">
        <x:v>common_1v</x:v>
      </x:c>
      <x:c r="J300" s="27" t="str">
        <x:v>data/raw/ptm45_lp_vds_1v_raw.txt</x:v>
      </x:c>
    </x:row>
    <x:row r="301">
      <x:c r="A301" s="25" t="str">
        <x:v>LP</x:v>
      </x:c>
      <x:c r="B301" s="35" t="n">
        <x:v>1</x:v>
      </x:c>
      <x:c r="C301" s="35" t="n">
        <x:v>0.0750000000000001</x:v>
      </x:c>
      <x:c r="D301" s="50" t="n">
        <x:v>1.5105804807905818e-10</x:v>
      </x:c>
      <x:c r="E301" s="47" t="n">
        <x:f>LN(D301)/LN(10)</x:f>
        <x:v>-9.820856131408817</x:v>
      </x:c>
      <x:c r="F301" s="50" t="n">
        <x:v>0.0004019845680949</x:v>
      </x:c>
      <x:c r="G301" s="98" t="n">
        <x:f>D301/F301</x:f>
        <x:v>3.7578071415765543e-7</x:v>
      </x:c>
      <x:c r="H301" s="26" t="str">
        <x:f>IF(G301&lt;=1%,"YES","NO")</x:f>
        <x:v>YES</x:v>
      </x:c>
      <x:c r="I301" s="26" t="str">
        <x:v>common_1v</x:v>
      </x:c>
      <x:c r="J301" s="27" t="str">
        <x:v>data/raw/ptm45_lp_vds_1v_raw.txt</x:v>
      </x:c>
    </x:row>
    <x:row r="302">
      <x:c r="A302" s="25" t="str">
        <x:v>LP</x:v>
      </x:c>
      <x:c r="B302" s="35" t="n">
        <x:v>1</x:v>
      </x:c>
      <x:c r="C302" s="35" t="n">
        <x:v>0.0800000000000001</x:v>
      </x:c>
      <x:c r="D302" s="50" t="n">
        <x:v>1.7243119146362487e-10</x:v>
      </x:c>
      <x:c r="E302" s="47" t="n">
        <x:f>LN(D302)/LN(10)</x:f>
        <x:v>-9.763384170905432</x:v>
      </x:c>
      <x:c r="F302" s="50" t="n">
        <x:v>0.0004019845680949</x:v>
      </x:c>
      <x:c r="G302" s="98" t="n">
        <x:f>D302/F302</x:f>
        <x:v>4.289497785470151e-7</x:v>
      </x:c>
      <x:c r="H302" s="26" t="str">
        <x:f>IF(G302&lt;=1%,"YES","NO")</x:f>
        <x:v>YES</x:v>
      </x:c>
      <x:c r="I302" s="26" t="str">
        <x:v>common_1v</x:v>
      </x:c>
      <x:c r="J302" s="27" t="str">
        <x:v>data/raw/ptm45_lp_vds_1v_raw.txt</x:v>
      </x:c>
    </x:row>
    <x:row r="303">
      <x:c r="A303" s="25" t="str">
        <x:v>LP</x:v>
      </x:c>
      <x:c r="B303" s="35" t="n">
        <x:v>1</x:v>
      </x:c>
      <x:c r="C303" s="35" t="n">
        <x:v>0.0850000000000001</x:v>
      </x:c>
      <x:c r="D303" s="50" t="n">
        <x:v>1.9684298301248878e-10</x:v>
      </x:c>
      <x:c r="E303" s="47" t="n">
        <x:f>LN(D303)/LN(10)</x:f>
        <x:v>-9.705880062170536</x:v>
      </x:c>
      <x:c r="F303" s="50" t="n">
        <x:v>0.0004019845680949</x:v>
      </x:c>
      <x:c r="G303" s="98" t="n">
        <x:f>D303/F303</x:f>
        <x:v>4.896779593937505e-7</x:v>
      </x:c>
      <x:c r="H303" s="26" t="str">
        <x:f>IF(G303&lt;=1%,"YES","NO")</x:f>
        <x:v>YES</x:v>
      </x:c>
      <x:c r="I303" s="26" t="str">
        <x:v>common_1v</x:v>
      </x:c>
      <x:c r="J303" s="27" t="str">
        <x:v>data/raw/ptm45_lp_vds_1v_raw.txt</x:v>
      </x:c>
    </x:row>
    <x:row r="304">
      <x:c r="A304" s="25" t="str">
        <x:v>LP</x:v>
      </x:c>
      <x:c r="B304" s="35" t="n">
        <x:v>1</x:v>
      </x:c>
      <x:c r="C304" s="35" t="n">
        <x:v>0.0900000000000001</x:v>
      </x:c>
      <x:c r="D304" s="50" t="n">
        <x:v>2.2472416984666888e-10</x:v>
      </x:c>
      <x:c r="E304" s="47" t="n">
        <x:f>LN(D304)/LN(10)</x:f>
        <x:v>-9.648350215224255</x:v>
      </x:c>
      <x:c r="F304" s="50" t="n">
        <x:v>0.0004019845680949</x:v>
      </x:c>
      <x:c r="G304" s="98" t="n">
        <x:f>D304/F304</x:f>
        <x:v>5.590368080836782e-7</x:v>
      </x:c>
      <x:c r="H304" s="26" t="str">
        <x:f>IF(G304&lt;=1%,"YES","NO")</x:f>
        <x:v>YES</x:v>
      </x:c>
      <x:c r="I304" s="26" t="str">
        <x:v>common_1v</x:v>
      </x:c>
      <x:c r="J304" s="27" t="str">
        <x:v>data/raw/ptm45_lp_vds_1v_raw.txt</x:v>
      </x:c>
    </x:row>
    <x:row r="305">
      <x:c r="A305" s="25" t="str">
        <x:v>LP</x:v>
      </x:c>
      <x:c r="B305" s="35" t="n">
        <x:v>1</x:v>
      </x:c>
      <x:c r="C305" s="35" t="n">
        <x:v>0.0950000000000001</x:v>
      </x:c>
      <x:c r="D305" s="50" t="n">
        <x:v>2.5656628572766e-10</x:v>
      </x:c>
      <x:c r="E305" s="47" t="n">
        <x:f>LN(D305)/LN(10)</x:f>
        <x:v>-9.590800412982183</x:v>
      </x:c>
      <x:c r="F305" s="50" t="n">
        <x:v>0.0004019845680949</x:v>
      </x:c>
      <x:c r="G305" s="98" t="n">
        <x:f>D305/F305</x:f>
        <x:v>6.382490923559288e-7</x:v>
      </x:c>
      <x:c r="H305" s="26" t="str">
        <x:f>IF(G305&lt;=1%,"YES","NO")</x:f>
        <x:v>YES</x:v>
      </x:c>
      <x:c r="I305" s="26" t="str">
        <x:v>common_1v</x:v>
      </x:c>
      <x:c r="J305" s="27" t="str">
        <x:v>data/raw/ptm45_lp_vds_1v_raw.txt</x:v>
      </x:c>
    </x:row>
    <x:row r="306">
      <x:c r="A306" s="25" t="str">
        <x:v>LP</x:v>
      </x:c>
      <x:c r="B306" s="35" t="n">
        <x:v>1</x:v>
      </x:c>
      <x:c r="C306" s="35" t="n">
        <x:v>0.1000000000000001</x:v>
      </x:c>
      <x:c r="D306" s="50" t="n">
        <x:v>2.929301697023655e-10</x:v>
      </x:c>
      <x:c r="E306" s="47" t="n">
        <x:f>LN(D306)/LN(10)</x:f>
        <x:v>-9.533235896804227</x:v>
      </x:c>
      <x:c r="F306" s="50" t="n">
        <x:v>0.0004019845680949</x:v>
      </x:c>
      <x:c r="G306" s="98" t="n">
        <x:f>D306/F306</x:f>
        <x:v>7.287099877754783e-7</x:v>
      </x:c>
      <x:c r="H306" s="26" t="str">
        <x:f>IF(G306&lt;=1%,"YES","NO")</x:f>
        <x:v>YES</x:v>
      </x:c>
      <x:c r="I306" s="26" t="str">
        <x:v>common_1v</x:v>
      </x:c>
      <x:c r="J306" s="27" t="str">
        <x:v>data/raw/ptm45_lp_vds_1v_raw.txt</x:v>
      </x:c>
    </x:row>
    <x:row r="307">
      <x:c r="A307" s="25" t="str">
        <x:v>LP</x:v>
      </x:c>
      <x:c r="B307" s="35" t="n">
        <x:v>1</x:v>
      </x:c>
      <x:c r="C307" s="35" t="n">
        <x:v>0.1050000000000001</x:v>
      </x:c>
      <x:c r="D307" s="50" t="n">
        <x:v>3.3445566569647457e-10</x:v>
      </x:c>
      <x:c r="E307" s="47" t="n">
        <x:f>LN(D307)/LN(10)</x:f>
        <x:v>-9.475661442677788</x:v>
      </x:c>
      <x:c r="F307" s="50" t="n">
        <x:v>0.0004019845680949</x:v>
      </x:c>
      <x:c r="G307" s="98" t="n">
        <x:f>D307/F307</x:f>
        <x:v>8.320112070011521e-7</x:v>
      </x:c>
      <x:c r="H307" s="26" t="str">
        <x:f>IF(G307&lt;=1%,"YES","NO")</x:f>
        <x:v>YES</x:v>
      </x:c>
      <x:c r="I307" s="26" t="str">
        <x:v>common_1v</x:v>
      </x:c>
      <x:c r="J307" s="27" t="str">
        <x:v>data/raw/ptm45_lp_vds_1v_raw.txt</x:v>
      </x:c>
    </x:row>
    <x:row r="308">
      <x:c r="A308" s="25" t="str">
        <x:v>LP</x:v>
      </x:c>
      <x:c r="B308" s="35" t="n">
        <x:v>1</x:v>
      </x:c>
      <x:c r="C308" s="35" t="n">
        <x:v>0.1100000000000001</x:v>
      </x:c>
      <x:c r="D308" s="50" t="n">
        <x:v>3.8187266400736416e-10</x:v>
      </x:c>
      <x:c r="E308" s="47" t="n">
        <x:f>LN(D308)/LN(10)</x:f>
        <x:v>-9.418081429072785</x:v>
      </x:c>
      <x:c r="F308" s="50" t="n">
        <x:v>0.0004019845680949</x:v>
      </x:c>
      <x:c r="G308" s="98" t="n">
        <x:f>D308/F308</x:f>
        <x:v>9.499684672402951e-7</x:v>
      </x:c>
      <x:c r="H308" s="26" t="str">
        <x:f>IF(G308&lt;=1%,"YES","NO")</x:f>
        <x:v>YES</x:v>
      </x:c>
      <x:c r="I308" s="26" t="str">
        <x:v>common_1v</x:v>
      </x:c>
      <x:c r="J308" s="27" t="str">
        <x:v>data/raw/ptm45_lp_vds_1v_raw.txt</x:v>
      </x:c>
    </x:row>
    <x:row r="309">
      <x:c r="A309" s="25" t="str">
        <x:v>LP</x:v>
      </x:c>
      <x:c r="B309" s="35" t="n">
        <x:v>1</x:v>
      </x:c>
      <x:c r="C309" s="35" t="n">
        <x:v>0.1150000000000001</x:v>
      </x:c>
      <x:c r="D309" s="50" t="n">
        <x:v>4.3601366699345075e-10</x:v>
      </x:c>
      <x:c r="E309" s="47" t="n">
        <x:f>LN(D309)/LN(10)</x:f>
        <x:v>-9.360499897413032</x:v>
      </x:c>
      <x:c r="F309" s="50" t="n">
        <x:v>0.0004019845680949</x:v>
      </x:c>
      <x:c r="G309" s="98" t="n">
        <x:f>D309/F309</x:f>
        <x:v>0.0000010846527493824519</x:v>
      </x:c>
      <x:c r="H309" s="26" t="str">
        <x:f>IF(G309&lt;=1%,"YES","NO")</x:f>
        <x:v>YES</x:v>
      </x:c>
      <x:c r="I309" s="26" t="str">
        <x:v>common_1v</x:v>
      </x:c>
      <x:c r="J309" s="27" t="str">
        <x:v>data/raw/ptm45_lp_vds_1v_raw.txt</x:v>
      </x:c>
    </x:row>
    <x:row r="310">
      <x:c r="A310" s="25" t="str">
        <x:v>LP</x:v>
      </x:c>
      <x:c r="B310" s="35" t="n">
        <x:v>1</x:v>
      </x:c>
      <x:c r="C310" s="35" t="n">
        <x:v>0.1200000000000001</x:v>
      </x:c>
      <x:c r="D310" s="50" t="n">
        <x:v>4.978280853064774e-10</x:v>
      </x:c>
      <x:c r="E310" s="47" t="n">
        <x:f>LN(D310)/LN(10)</x:f>
        <x:v>-9.302920606020797</x:v>
      </x:c>
      <x:c r="F310" s="50" t="n">
        <x:v>0.0004019845680949</x:v>
      </x:c>
      <x:c r="G310" s="98" t="n">
        <x:f>D310/F310</x:f>
        <x:v>0.0000012384258621314808</x:v>
      </x:c>
      <x:c r="H310" s="26" t="str">
        <x:f>IF(G310&lt;=1%,"YES","NO")</x:f>
        <x:v>YES</x:v>
      </x:c>
      <x:c r="I310" s="26" t="str">
        <x:v>common_1v</x:v>
      </x:c>
      <x:c r="J310" s="27" t="str">
        <x:v>data/raw/ptm45_lp_vds_1v_raw.txt</x:v>
      </x:c>
    </x:row>
    <x:row r="311">
      <x:c r="A311" s="25" t="str">
        <x:v>LP</x:v>
      </x:c>
      <x:c r="B311" s="35" t="n">
        <x:v>1</x:v>
      </x:c>
      <x:c r="C311" s="35" t="n">
        <x:v>0.1250000000000001</x:v>
      </x:c>
      <x:c r="D311" s="50" t="n">
        <x:v>5.683984980839916e-10</x:v>
      </x:c>
      <x:c r="E311" s="47" t="n">
        <x:f>LN(D311)/LN(10)</x:f>
        <x:v>-9.245347078307368</x:v>
      </x:c>
      <x:c r="F311" s="50" t="n">
        <x:v>0.0004019845680949</x:v>
      </x:c>
      <x:c r="G311" s="98" t="n">
        <x:f>D311/F311</x:f>
        <x:v>0.000001413980891798326</x:v>
      </x:c>
      <x:c r="H311" s="26" t="str">
        <x:f>IF(G311&lt;=1%,"YES","NO")</x:f>
        <x:v>YES</x:v>
      </x:c>
      <x:c r="I311" s="26" t="str">
        <x:v>common_1v</x:v>
      </x:c>
      <x:c r="J311" s="27" t="str">
        <x:v>data/raw/ptm45_lp_vds_1v_raw.txt</x:v>
      </x:c>
    </x:row>
    <x:row r="312">
      <x:c r="A312" s="25" t="str">
        <x:v>LP</x:v>
      </x:c>
      <x:c r="B312" s="35" t="n">
        <x:v>1</x:v>
      </x:c>
      <x:c r="C312" s="35" t="n">
        <x:v>0.1300000000000001</x:v>
      </x:c>
      <x:c r="D312" s="50" t="n">
        <x:v>6.48959140958066e-10</x:v>
      </x:c>
      <x:c r="E312" s="47" t="n">
        <x:f>LN(D312)/LN(10)</x:f>
        <x:v>-9.187782645903871</x:v>
      </x:c>
      <x:c r="F312" s="50" t="n">
        <x:v>0.0004019845680949</x:v>
      </x:c>
      <x:c r="G312" s="98" t="n">
        <x:f>D312/F312</x:f>
        <x:v>0.0000016143881941379913</x:v>
      </x:c>
      <x:c r="H312" s="26" t="str">
        <x:f>IF(G312&lt;=1%,"YES","NO")</x:f>
        <x:v>YES</x:v>
      </x:c>
      <x:c r="I312" s="26" t="str">
        <x:v>common_1v</x:v>
      </x:c>
      <x:c r="J312" s="27" t="str">
        <x:v>data/raw/ptm45_lp_vds_1v_raw.txt</x:v>
      </x:c>
    </x:row>
    <x:row r="313">
      <x:c r="A313" s="25" t="str">
        <x:v>LP</x:v>
      </x:c>
      <x:c r="B313" s="35" t="n">
        <x:v>1</x:v>
      </x:c>
      <x:c r="C313" s="35" t="n">
        <x:v>0.1350000000000001</x:v>
      </x:c>
      <x:c r="D313" s="50" t="n">
        <x:v>7.409169199265799e-10</x:v>
      </x:c>
      <x:c r="E313" s="47" t="n">
        <x:f>LN(D313)/LN(10)</x:f>
        <x:v>-9.130230487351692</x:v>
      </x:c>
      <x:c r="F313" s="50" t="n">
        <x:v>0.0004019845680949</x:v>
      </x:c>
      <x:c r="G313" s="98" t="n">
        <x:f>D313/F313</x:f>
        <x:v>0.0000018431476696679191</x:v>
      </x:c>
      <x:c r="H313" s="26" t="str">
        <x:f>IF(G313&lt;=1%,"YES","NO")</x:f>
        <x:v>YES</x:v>
      </x:c>
      <x:c r="I313" s="26" t="str">
        <x:v>common_1v</x:v>
      </x:c>
      <x:c r="J313" s="27" t="str">
        <x:v>data/raw/ptm45_lp_vds_1v_raw.txt</x:v>
      </x:c>
    </x:row>
    <x:row r="314">
      <x:c r="A314" s="25" t="str">
        <x:v>LP</x:v>
      </x:c>
      <x:c r="B314" s="35" t="n">
        <x:v>1</x:v>
      </x:c>
      <x:c r="C314" s="35" t="n">
        <x:v>0.1400000000000002</x:v>
      </x:c>
      <x:c r="D314" s="50" t="n">
        <x:v>8.458752874830023e-10</x:v>
      </x:c>
      <x:c r="E314" s="47" t="n">
        <x:f>LN(D314)/LN(10)</x:f>
        <x:v>-9.072693662907161</x:v>
      </x:c>
      <x:c r="F314" s="50" t="n">
        <x:v>0.0004019845680949</x:v>
      </x:c>
      <x:c r="G314" s="98" t="n">
        <x:f>D314/F314</x:f>
        <x:v>0.00000210424815930573</x:v>
      </x:c>
      <x:c r="H314" s="26" t="str">
        <x:f>IF(G314&lt;=1%,"YES","NO")</x:f>
        <x:v>YES</x:v>
      </x:c>
      <x:c r="I314" s="26" t="str">
        <x:v>common_1v</x:v>
      </x:c>
      <x:c r="J314" s="27" t="str">
        <x:v>data/raw/ptm45_lp_vds_1v_raw.txt</x:v>
      </x:c>
    </x:row>
    <x:row r="315">
      <x:c r="A315" s="25" t="str">
        <x:v>LP</x:v>
      </x:c>
      <x:c r="B315" s="35" t="n">
        <x:v>1</x:v>
      </x:c>
      <x:c r="C315" s="35" t="n">
        <x:v>0.1450000000000002</x:v>
      </x:c>
      <x:c r="D315" s="50" t="n">
        <x:v>9.656613603731478e-10</x:v>
      </x:c>
      <x:c r="E315" s="47" t="n">
        <x:f>LN(D315)/LN(10)</x:f>
        <x:v>-9.015175145950481</x:v>
      </x:c>
      <x:c r="F315" s="50" t="n">
        <x:v>0.0004019845680949</x:v>
      </x:c>
      <x:c r="G315" s="98" t="n">
        <x:f>D315/F315</x:f>
        <x:v>0.0000024022349040652123</x:v>
      </x:c>
      <x:c r="H315" s="26" t="str">
        <x:f>IF(G315&lt;=1%,"YES","NO")</x:f>
        <x:v>YES</x:v>
      </x:c>
      <x:c r="I315" s="26" t="str">
        <x:v>common_1v</x:v>
      </x:c>
      <x:c r="J315" s="27" t="str">
        <x:v>data/raw/ptm45_lp_vds_1v_raw.txt</x:v>
      </x:c>
    </x:row>
    <x:row r="316">
      <x:c r="A316" s="25" t="str">
        <x:v>LP</x:v>
      </x:c>
      <x:c r="B316" s="35" t="n">
        <x:v>1</x:v>
      </x:c>
      <x:c r="C316" s="35" t="n">
        <x:v>0.1500000000000002</x:v>
      </x:c>
      <x:c r="D316" s="50" t="n">
        <x:v>1.102356706418941e-9</x:v>
      </x:c>
      <x:c r="E316" s="47" t="n">
        <x:f>LN(D316)/LN(10)</x:f>
        <x:v>-8.957677851434784</x:v>
      </x:c>
      <x:c r="F316" s="50" t="n">
        <x:v>0.0004019845680949</x:v>
      </x:c>
      <x:c r="G316" s="98" t="n">
        <x:f>D316/F316</x:f>
        <x:v>0.000002742286132135048</x:v>
      </x:c>
      <x:c r="H316" s="26" t="str">
        <x:f>IF(G316&lt;=1%,"YES","NO")</x:f>
        <x:v>YES</x:v>
      </x:c>
      <x:c r="I316" s="26" t="str">
        <x:v>common_1v</x:v>
      </x:c>
      <x:c r="J316" s="27" t="str">
        <x:v>data/raw/ptm45_lp_vds_1v_raw.txt</x:v>
      </x:c>
    </x:row>
    <x:row r="317">
      <x:c r="A317" s="25" t="str">
        <x:v>LP</x:v>
      </x:c>
      <x:c r="B317" s="35" t="n">
        <x:v>1</x:v>
      </x:c>
      <x:c r="C317" s="35" t="n">
        <x:v>0.1550000000000002</x:v>
      </x:c>
      <x:c r="D317" s="50" t="n">
        <x:v>1.258332281556775e-9</x:v>
      </x:c>
      <x:c r="E317" s="47" t="n">
        <x:f>LN(D317)/LN(10)</x:f>
        <x:v>-8.900204661759181</x:v>
      </x:c>
      <x:c r="F317" s="50" t="n">
        <x:v>0.0004019845680949</x:v>
      </x:c>
      <x:c r="G317" s="98" t="n">
        <x:f>D317/F317</x:f>
        <x:v>0.000003130299970270773</x:v>
      </x:c>
      <x:c r="H317" s="26" t="str">
        <x:f>IF(G317&lt;=1%,"YES","NO")</x:f>
        <x:v>YES</x:v>
      </x:c>
      <x:c r="I317" s="26" t="str">
        <x:v>common_1v</x:v>
      </x:c>
      <x:c r="J317" s="27" t="str">
        <x:v>data/raw/ptm45_lp_vds_1v_raw.txt</x:v>
      </x:c>
    </x:row>
    <x:row r="318">
      <x:c r="A318" s="25" t="str">
        <x:v>LP</x:v>
      </x:c>
      <x:c r="B318" s="35" t="n">
        <x:v>1</x:v>
      </x:c>
      <x:c r="C318" s="35" t="n">
        <x:v>0.1600000000000002</x:v>
      </x:c>
      <x:c r="D318" s="50" t="n">
        <x:v>1.436288058139643e-9</x:v>
      </x:c>
      <x:c r="E318" s="47" t="n">
        <x:f>LN(D318)/LN(10)</x:f>
        <x:v>-8.84275845040388</x:v>
      </x:c>
      <x:c r="F318" s="50" t="n">
        <x:v>0.0004019845680949</x:v>
      </x:c>
      <x:c r="G318" s="98" t="n">
        <x:f>D318/F318</x:f>
        <x:v>0.000003572993025445111</x:v>
      </x:c>
      <x:c r="H318" s="26" t="str">
        <x:f>IF(G318&lt;=1%,"YES","NO")</x:f>
        <x:v>YES</x:v>
      </x:c>
      <x:c r="I318" s="26" t="str">
        <x:v>common_1v</x:v>
      </x:c>
      <x:c r="J318" s="27" t="str">
        <x:v>data/raw/ptm45_lp_vds_1v_raw.txt</x:v>
      </x:c>
    </x:row>
    <x:row r="319">
      <x:c r="A319" s="25" t="str">
        <x:v>LP</x:v>
      </x:c>
      <x:c r="B319" s="35" t="n">
        <x:v>1</x:v>
      </x:c>
      <x:c r="C319" s="35" t="n">
        <x:v>0.1650000000000002</x:v>
      </x:c>
      <x:c r="D319" s="50" t="n">
        <x:v>1.639297952254774e-9</x:v>
      </x:c>
      <x:c r="E319" s="47" t="n">
        <x:f>LN(D319)/LN(10)</x:f>
        <x:v>-8.785342103622982</x:v>
      </x:c>
      <x:c r="F319" s="50" t="n">
        <x:v>0.0004019845680949</x:v>
      </x:c>
      <x:c r="G319" s="98" t="n">
        <x:f>D319/F319</x:f>
        <x:v>0.000004078012148634946</x:v>
      </x:c>
      <x:c r="H319" s="26" t="str">
        <x:f>IF(G319&lt;=1%,"YES","NO")</x:f>
        <x:v>YES</x:v>
      </x:c>
      <x:c r="I319" s="26" t="str">
        <x:v>common_1v</x:v>
      </x:c>
      <x:c r="J319" s="27" t="str">
        <x:v>data/raw/ptm45_lp_vds_1v_raw.txt</x:v>
      </x:c>
    </x:row>
    <x:row r="320">
      <x:c r="A320" s="25" t="str">
        <x:v>LP</x:v>
      </x:c>
      <x:c r="B320" s="35" t="n">
        <x:v>1</x:v>
      </x:c>
      <x:c r="C320" s="35" t="n">
        <x:v>0.1700000000000002</x:v>
      </x:c>
      <x:c r="D320" s="50" t="n">
        <x:v>1.870860731940521e-9</x:v>
      </x:c>
      <x:c r="E320" s="47" t="n">
        <x:f>LN(D320)/LN(10)</x:f>
        <x:v>-8.727958540453432</x:v>
      </x:c>
      <x:c r="F320" s="50" t="n">
        <x:v>0.0004019845680949</x:v>
      </x:c>
      <x:c r="G320" s="98" t="n">
        <x:f>D320/F320</x:f>
        <x:v>0.000004654061077038288</x:v>
      </x:c>
      <x:c r="H320" s="26" t="str">
        <x:f>IF(G320&lt;=1%,"YES","NO")</x:f>
        <x:v>YES</x:v>
      </x:c>
      <x:c r="I320" s="26" t="str">
        <x:v>common_1v</x:v>
      </x:c>
      <x:c r="J320" s="27" t="str">
        <x:v>data/raw/ptm45_lp_vds_1v_raw.txt</x:v>
      </x:c>
    </x:row>
    <x:row r="321">
      <x:c r="A321" s="25" t="str">
        <x:v>LP</x:v>
      </x:c>
      <x:c r="B321" s="35" t="n">
        <x:v>1</x:v>
      </x:c>
      <x:c r="C321" s="35" t="n">
        <x:v>0.1750000000000002</x:v>
      </x:c>
      <x:c r="D321" s="50" t="n">
        <x:v>2.134957670422552e-9</x:v>
      </x:c>
      <x:c r="E321" s="47" t="n">
        <x:f>LN(D321)/LN(10)</x:f>
        <x:v>-8.670610731263851</x:v>
      </x:c>
      <x:c r="F321" s="50" t="n">
        <x:v>0.0004019845680949</x:v>
      </x:c>
      <x:c r="G321" s="98" t="n">
        <x:f>D321/F321</x:f>
        <x:v>0.000005311043855590332</x:v>
      </x:c>
      <x:c r="H321" s="26" t="str">
        <x:f>IF(G321&lt;=1%,"YES","NO")</x:f>
        <x:v>YES</x:v>
      </x:c>
      <x:c r="I321" s="26" t="str">
        <x:v>common_1v</x:v>
      </x:c>
      <x:c r="J321" s="27" t="str">
        <x:v>data/raw/ptm45_lp_vds_1v_raw.txt</x:v>
      </x:c>
    </x:row>
    <x:row r="322">
      <x:c r="A322" s="25" t="str">
        <x:v>LP</x:v>
      </x:c>
      <x:c r="B322" s="35" t="n">
        <x:v>1</x:v>
      </x:c>
      <x:c r="C322" s="35" t="n">
        <x:v>0.1800000000000002</x:v>
      </x:c>
      <x:c r="D322" s="50" t="n">
        <x:v>2.436117799521789e-9</x:v>
      </x:c>
      <x:c r="E322" s="47" t="n">
        <x:f>LN(D322)/LN(10)</x:f>
        <x:v>-8.613301715035327</x:v>
      </x:c>
      <x:c r="F322" s="50" t="n">
        <x:v>0.0004019845680949</x:v>
      </x:c>
      <x:c r="G322" s="98" t="n">
        <x:f>D322/F322</x:f>
        <x:v>0.000006060227165105187</x:v>
      </x:c>
      <x:c r="H322" s="26" t="str">
        <x:f>IF(G322&lt;=1%,"YES","NO")</x:f>
        <x:v>YES</x:v>
      </x:c>
      <x:c r="I322" s="26" t="str">
        <x:v>common_1v</x:v>
      </x:c>
      <x:c r="J322" s="27" t="str">
        <x:v>data/raw/ptm45_lp_vds_1v_raw.txt</x:v>
      </x:c>
    </x:row>
    <x:row r="323">
      <x:c r="A323" s="25" t="str">
        <x:v>LP</x:v>
      </x:c>
      <x:c r="B323" s="35" t="n">
        <x:v>1</x:v>
      </x:c>
      <x:c r="C323" s="35" t="n">
        <x:v>0.1850000000000002</x:v>
      </x:c>
      <x:c r="D323" s="50" t="n">
        <x:v>2.77949171892227e-9</x:v>
      </x:c>
      <x:c r="E323" s="47" t="n">
        <x:f>LN(D323)/LN(10)</x:f>
        <x:v>-8.556034615538612</x:v>
      </x:c>
      <x:c r="F323" s="50" t="n">
        <x:v>0.0004019845680949</x:v>
      </x:c>
      <x:c r="G323" s="98" t="n">
        <x:f>D323/F323</x:f>
        <x:v>0.000006914423934468279</x:v>
      </x:c>
      <x:c r="H323" s="26" t="str">
        <x:f>IF(G323&lt;=1%,"YES","NO")</x:f>
        <x:v>YES</x:v>
      </x:c>
      <x:c r="I323" s="26" t="str">
        <x:v>common_1v</x:v>
      </x:c>
      <x:c r="J323" s="27" t="str">
        <x:v>data/raw/ptm45_lp_vds_1v_raw.txt</x:v>
      </x:c>
    </x:row>
    <x:row r="324">
      <x:c r="A324" s="25" t="str">
        <x:v>LP</x:v>
      </x:c>
      <x:c r="B324" s="35" t="n">
        <x:v>1</x:v>
      </x:c>
      <x:c r="C324" s="35" t="n">
        <x:v>0.1900000000000002</x:v>
      </x:c>
      <x:c r="D324" s="50" t="n">
        <x:v>3.170935027767185e-9</x:v>
      </x:c>
      <x:c r="E324" s="47" t="n">
        <x:f>LN(D324)/LN(10)</x:f>
        <x:v>-8.49881265654474</x:v>
      </x:c>
      <x:c r="F324" s="50" t="n">
        <x:v>0.0004019845680949</x:v>
      </x:c>
      <x:c r="G324" s="98" t="n">
        <x:f>D324/F324</x:f>
        <x:v>0.000007888200889887382</x:v>
      </x:c>
      <x:c r="H324" s="26" t="str">
        <x:f>IF(G324&lt;=1%,"YES","NO")</x:f>
        <x:v>YES</x:v>
      </x:c>
      <x:c r="I324" s="26" t="str">
        <x:v>common_1v</x:v>
      </x:c>
      <x:c r="J324" s="27" t="str">
        <x:v>data/raw/ptm45_lp_vds_1v_raw.txt</x:v>
      </x:c>
    </x:row>
    <x:row r="325">
      <x:c r="A325" s="25" t="str">
        <x:v>LP</x:v>
      </x:c>
      <x:c r="B325" s="35" t="n">
        <x:v>1</x:v>
      </x:c>
      <x:c r="C325" s="35" t="n">
        <x:v>0.1950000000000002</x:v>
      </x:c>
      <x:c r="D325" s="50" t="n">
        <x:v>3.617102566781934e-9</x:v>
      </x:c>
      <x:c r="E325" s="47" t="n">
        <x:f>LN(D325)/LN(10)</x:f>
        <x:v>-8.441639176182845</x:v>
      </x:c>
      <x:c r="F325" s="50" t="n">
        <x:v>0.0004019845680949</x:v>
      </x:c>
      <x:c r="G325" s="98" t="n">
        <x:f>D325/F325</x:f>
        <x:v>0.000008998112997034287</x:v>
      </x:c>
      <x:c r="H325" s="26" t="str">
        <x:f>IF(G325&lt;=1%,"YES","NO")</x:f>
        <x:v>YES</x:v>
      </x:c>
      <x:c r="I325" s="26" t="str">
        <x:v>common_1v</x:v>
      </x:c>
      <x:c r="J325" s="27" t="str">
        <x:v>data/raw/ptm45_lp_vds_1v_raw.txt</x:v>
      </x:c>
    </x:row>
    <x:row r="326">
      <x:c r="A326" s="25" t="str">
        <x:v>LP</x:v>
      </x:c>
      <x:c r="B326" s="35" t="n">
        <x:v>1</x:v>
      </x:c>
      <x:c r="C326" s="35" t="n">
        <x:v>0.2000000000000002</x:v>
      </x:c>
      <x:c r="D326" s="50" t="n">
        <x:v>4.125554792534778e-9</x:v>
      </x:c>
      <x:c r="E326" s="47" t="n">
        <x:f>LN(D326)/LN(10)</x:f>
        <x:v>-8.384517640535861</x:v>
      </x:c>
      <x:c r="F326" s="50" t="n">
        <x:v>0.0004019845680949</x:v>
      </x:c>
      <x:c r="G326" s="98" t="n">
        <x:f>D326/F326</x:f>
        <x:v>0.000010262968083791771</x:v>
      </x:c>
      <x:c r="H326" s="26" t="str">
        <x:f>IF(G326&lt;=1%,"YES","NO")</x:f>
        <x:v>YES</x:v>
      </x:c>
      <x:c r="I326" s="26" t="str">
        <x:v>common_1v</x:v>
      </x:c>
      <x:c r="J326" s="27" t="str">
        <x:v>data/raw/ptm45_lp_vds_1v_raw.txt</x:v>
      </x:c>
    </x:row>
    <x:row r="327">
      <x:c r="A327" s="25" t="str">
        <x:v>LP</x:v>
      </x:c>
      <x:c r="B327" s="35" t="n">
        <x:v>1</x:v>
      </x:c>
      <x:c r="C327" s="35" t="n">
        <x:v>0.2050000000000002</x:v>
      </x:c>
      <x:c r="D327" s="50" t="n">
        <x:v>4.7048777512138814e-9</x:v>
      </x:c>
      <x:c r="E327" s="47" t="n">
        <x:f>LN(D327)/LN(10)</x:f>
        <x:v>-8.327451656543415</x:v>
      </x:c>
      <x:c r="F327" s="50" t="n">
        <x:v>0.0004019845680949</x:v>
      </x:c>
      <x:c r="G327" s="98" t="n">
        <x:f>D327/F327</x:f>
        <x:v>0.00001170412529394203</x:v>
      </x:c>
      <x:c r="H327" s="26" t="str">
        <x:f>IF(G327&lt;=1%,"YES","NO")</x:f>
        <x:v>YES</x:v>
      </x:c>
      <x:c r="I327" s="26" t="str">
        <x:v>common_1v</x:v>
      </x:c>
      <x:c r="J327" s="27" t="str">
        <x:v>data/raw/ptm45_lp_vds_1v_raw.txt</x:v>
      </x:c>
    </x:row>
    <x:row r="328">
      <x:c r="A328" s="25" t="str">
        <x:v>LP</x:v>
      </x:c>
      <x:c r="B328" s="35" t="n">
        <x:v>1</x:v>
      </x:c>
      <x:c r="C328" s="35" t="n">
        <x:v>0.2100000000000002</x:v>
      </x:c>
      <x:c r="D328" s="50" t="n">
        <x:v>5.3648182780588584e-9</x:v>
      </x:c>
      <x:c r="E328" s="47" t="n">
        <x:f>LN(D328)/LN(10)</x:f>
        <x:v>-8.270444984261479</x:v>
      </x:c>
      <x:c r="F328" s="50" t="n">
        <x:v>0.0004019845680949</x:v>
      </x:c>
      <x:c r="G328" s="98" t="n">
        <x:f>D328/F328</x:f>
        <x:v>0.000013345831417071561</x:v>
      </x:c>
      <x:c r="H328" s="26" t="str">
        <x:f>IF(G328&lt;=1%,"YES","NO")</x:f>
        <x:v>YES</x:v>
      </x:c>
      <x:c r="I328" s="26" t="str">
        <x:v>common_1v</x:v>
      </x:c>
      <x:c r="J328" s="27" t="str">
        <x:v>data/raw/ptm45_lp_vds_1v_raw.txt</x:v>
      </x:c>
    </x:row>
    <x:row r="329">
      <x:c r="A329" s="25" t="str">
        <x:v>LP</x:v>
      </x:c>
      <x:c r="B329" s="35" t="n">
        <x:v>1</x:v>
      </x:c>
      <x:c r="C329" s="35" t="n">
        <x:v>0.2150000000000002</x:v>
      </x:c>
      <x:c r="D329" s="50" t="n">
        <x:v>6.116436220906963e-9</x:v>
      </x:c>
      <x:c r="E329" s="47" t="n">
        <x:f>LN(D329)/LN(10)</x:f>
        <x:v>-8.213501548508745</x:v>
      </x:c>
      <x:c r="F329" s="50" t="n">
        <x:v>0.0004019845680949</x:v>
      </x:c>
      <x:c r="G329" s="98" t="n">
        <x:f>D329/F329</x:f>
        <x:v>0.000015215599568645636</x:v>
      </x:c>
      <x:c r="H329" s="26" t="str">
        <x:f>IF(G329&lt;=1%,"YES","NO")</x:f>
        <x:v>YES</x:v>
      </x:c>
      <x:c r="I329" s="26" t="str">
        <x:v>common_1v</x:v>
      </x:c>
      <x:c r="J329" s="27" t="str">
        <x:v>data/raw/ptm45_lp_vds_1v_raw.txt</x:v>
      </x:c>
    </x:row>
    <x:row r="330">
      <x:c r="A330" s="25" t="str">
        <x:v>LP</x:v>
      </x:c>
      <x:c r="B330" s="35" t="n">
        <x:v>1</x:v>
      </x:c>
      <x:c r="C330" s="35" t="n">
        <x:v>0.2200000000000002</x:v>
      </x:c>
      <x:c r="D330" s="50" t="n">
        <x:v>6.972275672665353e-9</x:v>
      </x:c>
      <x:c r="E330" s="47" t="n">
        <x:f>LN(D330)/LN(10)</x:f>
        <x:v>-8.15662544991108</x:v>
      </x:c>
      <x:c r="F330" s="50" t="n">
        <x:v>0.0004019845680949</x:v>
      </x:c>
      <x:c r="G330" s="98" t="n">
        <x:f>D330/F330</x:f>
        <x:v>0.000017344635157783836</x:v>
      </x:c>
      <x:c r="H330" s="26" t="str">
        <x:f>IF(G330&lt;=1%,"YES","NO")</x:f>
        <x:v>YES</x:v>
      </x:c>
      <x:c r="I330" s="26" t="str">
        <x:v>common_1v</x:v>
      </x:c>
      <x:c r="J330" s="27" t="str">
        <x:v>data/raw/ptm45_lp_vds_1v_raw.txt</x:v>
      </x:c>
    </x:row>
    <x:row r="331">
      <x:c r="A331" s="25" t="str">
        <x:v>LP</x:v>
      </x:c>
      <x:c r="B331" s="35" t="n">
        <x:v>1</x:v>
      </x:c>
      <x:c r="C331" s="35" t="n">
        <x:v>0.2250000000000002</x:v>
      </x:c>
      <x:c r="D331" s="50" t="n">
        <x:v>7.946557398246181e-9</x:v>
      </x:c>
      <x:c r="E331" s="47" t="n">
        <x:f>LN(D331)/LN(10)</x:f>
        <x:v>-8.099820975337494</x:v>
      </x:c>
      <x:c r="F331" s="50" t="n">
        <x:v>0.0004019845680949</x:v>
      </x:c>
      <x:c r="G331" s="98" t="n">
        <x:f>D331/F331</x:f>
        <x:v>0.000019768314579603883</x:v>
      </x:c>
      <x:c r="H331" s="26" t="str">
        <x:f>IF(G331&lt;=1%,"YES","NO")</x:f>
        <x:v>YES</x:v>
      </x:c>
      <x:c r="I331" s="26" t="str">
        <x:v>common_1v</x:v>
      </x:c>
      <x:c r="J331" s="27" t="str">
        <x:v>data/raw/ptm45_lp_vds_1v_raw.txt</x:v>
      </x:c>
    </x:row>
    <x:row r="332">
      <x:c r="A332" s="25" t="str">
        <x:v>LP</x:v>
      </x:c>
      <x:c r="B332" s="35" t="n">
        <x:v>1</x:v>
      </x:c>
      <x:c r="C332" s="35" t="n">
        <x:v>0.2300000000000002</x:v>
      </x:c>
      <x:c r="D332" s="50" t="n">
        <x:v>9.055394856811717e-9</x:v>
      </x:c>
      <x:c r="E332" s="47" t="n">
        <x:f>LN(D332)/LN(10)</x:f>
        <x:v>-8.043092607702691</x:v>
      </x:c>
      <x:c r="F332" s="50" t="n">
        <x:v>0.0004019845680949</x:v>
      </x:c>
      <x:c r="G332" s="98" t="n">
        <x:f>D332/F332</x:f>
        <x:v>0.000022526722604619815</x:v>
      </x:c>
      <x:c r="H332" s="26" t="str">
        <x:f>IF(G332&lt;=1%,"YES","NO")</x:f>
        <x:v>YES</x:v>
      </x:c>
      <x:c r="I332" s="26" t="str">
        <x:v>common_1v</x:v>
      </x:c>
      <x:c r="J332" s="27" t="str">
        <x:v>data/raw/ptm45_lp_vds_1v_raw.txt</x:v>
      </x:c>
    </x:row>
    <x:row r="333">
      <x:c r="A333" s="25" t="str">
        <x:v>LP</x:v>
      </x:c>
      <x:c r="B333" s="35" t="n">
        <x:v>1</x:v>
      </x:c>
      <x:c r="C333" s="35" t="n">
        <x:v>0.2350000000000002</x:v>
      </x:c>
      <x:c r="D333" s="50" t="n">
        <x:v>1.031703645006383e-8</x:v>
      </x:c>
      <x:c r="E333" s="47" t="n">
        <x:f>LN(D333)/LN(10)</x:f>
        <x:v>-7.986445035094301</x:v>
      </x:c>
      <x:c r="F333" s="50" t="n">
        <x:v>0.0004019845680949</x:v>
      </x:c>
      <x:c r="G333" s="98" t="n">
        <x:f>D333/F333</x:f>
        <x:v>0.00002566525500956096</x:v>
      </x:c>
      <x:c r="H333" s="26" t="str">
        <x:f>IF(G333&lt;=1%,"YES","NO")</x:f>
        <x:v>YES</x:v>
      </x:c>
      <x:c r="I333" s="26" t="str">
        <x:v>common_1v</x:v>
      </x:c>
      <x:c r="J333" s="27" t="str">
        <x:v>data/raw/ptm45_lp_vds_1v_raw.txt</x:v>
      </x:c>
    </x:row>
    <x:row r="334">
      <x:c r="A334" s="25" t="str">
        <x:v>LP</x:v>
      </x:c>
      <x:c r="B334" s="35" t="n">
        <x:v>1</x:v>
      </x:c>
      <x:c r="C334" s="35" t="n">
        <x:v>0.2400000000000002</x:v>
      </x:c>
      <x:c r="D334" s="50" t="n">
        <x:v>1.1752136871608331e-8</x:v>
      </x:c>
      <x:c r="E334" s="47" t="n">
        <x:f>LN(D334)/LN(10)</x:f>
        <x:v>-7.929883159164865</x:v>
      </x:c>
      <x:c r="F334" s="50" t="n">
        <x:v>0.0004019845680949</x:v>
      </x:c>
      <x:c r="G334" s="98" t="n">
        <x:f>D334/F334</x:f>
        <x:v>0.00002923529360170339</x:v>
      </x:c>
      <x:c r="H334" s="26" t="str">
        <x:f>IF(G334&lt;=1%,"YES","NO")</x:f>
        <x:v>YES</x:v>
      </x:c>
      <x:c r="I334" s="26" t="str">
        <x:v>common_1v</x:v>
      </x:c>
      <x:c r="J334" s="27" t="str">
        <x:v>data/raw/ptm45_lp_vds_1v_raw.txt</x:v>
      </x:c>
    </x:row>
    <x:row r="335">
      <x:c r="A335" s="25" t="str">
        <x:v>LP</x:v>
      </x:c>
      <x:c r="B335" s="35" t="n">
        <x:v>1</x:v>
      </x:c>
      <x:c r="C335" s="35" t="n">
        <x:v>0.2450000000000002</x:v>
      </x:c>
      <x:c r="D335" s="50" t="n">
        <x:v>1.3384060690676641e-8</x:v>
      </x:c>
      <x:c r="E335" s="47" t="n">
        <x:f>LN(D335)/LN(10)</x:f>
        <x:v>-7.873412102711665</x:v>
      </x:c>
      <x:c r="F335" s="50" t="n">
        <x:v>0.0004019845680949</x:v>
      </x:c>
      <x:c r="G335" s="98" t="n">
        <x:f>D335/F335</x:f>
        <x:v>0.00003329496143124815</x:v>
      </x:c>
      <x:c r="H335" s="26" t="str">
        <x:f>IF(G335&lt;=1%,"YES","NO")</x:f>
        <x:v>YES</x:v>
      </x:c>
      <x:c r="I335" s="26" t="str">
        <x:v>common_1v</x:v>
      </x:c>
      <x:c r="J335" s="27" t="str">
        <x:v>data/raw/ptm45_lp_vds_1v_raw.txt</x:v>
      </x:c>
    </x:row>
    <x:row r="336">
      <x:c r="A336" s="25" t="str">
        <x:v>LP</x:v>
      </x:c>
      <x:c r="B336" s="35" t="n">
        <x:v>1</x:v>
      </x:c>
      <x:c r="C336" s="35" t="n">
        <x:v>0.2500000000000002</x:v>
      </x:c>
      <x:c r="D336" s="50" t="n">
        <x:v>1.523922157501657e-8</x:v>
      </x:c>
      <x:c r="E336" s="47" t="n">
        <x:f>LN(D336)/LN(10)</x:f>
        <x:v>-7.817037216350026</x:v>
      </x:c>
      <x:c r="F336" s="50" t="n">
        <x:v>0.0004019845680949</x:v>
      </x:c>
      <x:c r="G336" s="98" t="n">
        <x:f>D336/F336</x:f>
        <x:v>0.00003790996666175234</x:v>
      </x:c>
      <x:c r="H336" s="26" t="str">
        <x:f>IF(G336&lt;=1%,"YES","NO")</x:f>
        <x:v>YES</x:v>
      </x:c>
      <x:c r="I336" s="26" t="str">
        <x:v>common_1v</x:v>
      </x:c>
      <x:c r="J336" s="27" t="str">
        <x:v>data/raw/ptm45_lp_vds_1v_raw.txt</x:v>
      </x:c>
    </x:row>
    <x:row r="337">
      <x:c r="A337" s="25" t="str">
        <x:v>LP</x:v>
      </x:c>
      <x:c r="B337" s="35" t="n">
        <x:v>1</x:v>
      </x:c>
      <x:c r="C337" s="35" t="n">
        <x:v>0.2550000000000002</x:v>
      </x:c>
      <x:c r="D337" s="50" t="n">
        <x:v>1.7347460841589792e-8</x:v>
      </x:c>
      <x:c r="E337" s="47" t="n">
        <x:f>LN(D337)/LN(10)</x:f>
        <x:v>-7.760764084169178</x:v>
      </x:c>
      <x:c r="F337" s="50" t="n">
        <x:v>0.0004019845680949</x:v>
      </x:c>
      <x:c r="G337" s="98" t="n">
        <x:f>D337/F337</x:f>
        <x:v>0.00004315454427468078</x:v>
      </x:c>
      <x:c r="H337" s="26" t="str">
        <x:f>IF(G337&lt;=1%,"YES","NO")</x:f>
        <x:v>YES</x:v>
      </x:c>
      <x:c r="I337" s="26" t="str">
        <x:v>common_1v</x:v>
      </x:c>
      <x:c r="J337" s="27" t="str">
        <x:v>data/raw/ptm45_lp_vds_1v_raw.txt</x:v>
      </x:c>
    </x:row>
    <x:row r="338">
      <x:c r="A338" s="25" t="str">
        <x:v>LP</x:v>
      </x:c>
      <x:c r="B338" s="35" t="n">
        <x:v>1</x:v>
      </x:c>
      <x:c r="C338" s="35" t="n">
        <x:v>0.2600000000000002</x:v>
      </x:c>
      <x:c r="D338" s="50" t="n">
        <x:v>1.974246931861928e-8</x:v>
      </x:c>
      <x:c r="E338" s="47" t="n">
        <x:f>LN(D338)/LN(10)</x:f>
        <x:v>-7.704598528242831</x:v>
      </x:c>
      <x:c r="F338" s="50" t="n">
        <x:v>0.0004019845680949</x:v>
      </x:c>
      <x:c r="G338" s="98" t="n">
        <x:f>D338/F338</x:f>
        <x:v>0.00004911250551777029</x:v>
      </x:c>
      <x:c r="H338" s="26" t="str">
        <x:f>IF(G338&lt;=1%,"YES","NO")</x:f>
        <x:v>YES</x:v>
      </x:c>
      <x:c r="I338" s="26" t="str">
        <x:v>common_1v</x:v>
      </x:c>
      <x:c r="J338" s="27" t="str">
        <x:v>data/raw/ptm45_lp_vds_1v_raw.txt</x:v>
      </x:c>
    </x:row>
    <x:row r="339">
      <x:c r="A339" s="25" t="str">
        <x:v>LP</x:v>
      </x:c>
      <x:c r="B339" s="35" t="n">
        <x:v>1</x:v>
      </x:c>
      <x:c r="C339" s="35" t="n">
        <x:v>0.2650000000000002</x:v>
      </x:c>
      <x:c r="D339" s="50" t="n">
        <x:v>2.2462256806987223e-8</x:v>
      </x:c>
      <x:c r="E339" s="47" t="n">
        <x:f>LN(D339)/LN(10)</x:f>
        <x:v>-7.648546611850926</x:v>
      </x:c>
      <x:c r="F339" s="50" t="n">
        <x:v>0.0004019845680949</x:v>
      </x:c>
      <x:c r="G339" s="98" t="n">
        <x:f>D339/F339</x:f>
        <x:v>0.00005587840576428388</x:v>
      </x:c>
      <x:c r="H339" s="26" t="str">
        <x:f>IF(G339&lt;=1%,"YES","NO")</x:f>
        <x:v>YES</x:v>
      </x:c>
      <x:c r="I339" s="26" t="str">
        <x:v>common_1v</x:v>
      </x:c>
      <x:c r="J339" s="27" t="str">
        <x:v>data/raw/ptm45_lp_vds_1v_raw.txt</x:v>
      </x:c>
    </x:row>
    <x:row r="340">
      <x:c r="A340" s="25" t="str">
        <x:v>LP</x:v>
      </x:c>
      <x:c r="B340" s="35" t="n">
        <x:v>1</x:v>
      </x:c>
      <x:c r="C340" s="35" t="n">
        <x:v>0.2700000000000002</x:v>
      </x:c>
      <x:c r="D340" s="50" t="n">
        <x:v>2.554967374128647e-8</x:v>
      </x:c>
      <x:c r="E340" s="47" t="n">
        <x:f>LN(D340)/LN(10)</x:f>
        <x:v>-7.592614641253871</x:v>
      </x:c>
      <x:c r="F340" s="50" t="n">
        <x:v>0.0004019845680949</x:v>
      </x:c>
      <x:c r="G340" s="98" t="n">
        <x:f>D340/F340</x:f>
        <x:v>0.0000635588422271343</x:v>
      </x:c>
      <x:c r="H340" s="26" t="str">
        <x:f>IF(G340&lt;=1%,"YES","NO")</x:f>
        <x:v>YES</x:v>
      </x:c>
      <x:c r="I340" s="26" t="str">
        <x:v>common_1v</x:v>
      </x:c>
      <x:c r="J340" s="27" t="str">
        <x:v>data/raw/ptm45_lp_vds_1v_raw.txt</x:v>
      </x:c>
    </x:row>
    <x:row r="341">
      <x:c r="A341" s="25" t="str">
        <x:v>LP</x:v>
      </x:c>
      <x:c r="B341" s="35" t="n">
        <x:v>1</x:v>
      </x:c>
      <x:c r="C341" s="35" t="n">
        <x:v>0.2750000000000002</x:v>
      </x:c>
      <x:c r="D341" s="50" t="n">
        <x:v>2.9052989969066852e-8</x:v>
      </x:c>
      <x:c r="E341" s="47" t="n">
        <x:f>LN(D341)/LN(10)</x:f>
        <x:v>-7.536809165846939</x:v>
      </x:c>
      <x:c r="F341" s="50" t="n">
        <x:v>0.0004019845680949</x:v>
      </x:c>
      <x:c r="G341" s="98" t="n">
        <x:f>D341/F341</x:f>
        <x:v>0.00007227389376352393</x:v>
      </x:c>
      <x:c r="H341" s="26" t="str">
        <x:f>IF(G341&lt;=1%,"YES","NO")</x:f>
        <x:v>YES</x:v>
      </x:c>
      <x:c r="I341" s="26" t="str">
        <x:v>common_1v</x:v>
      </x:c>
      <x:c r="J341" s="27" t="str">
        <x:v>data/raw/ptm45_lp_vds_1v_raw.txt</x:v>
      </x:c>
    </x:row>
    <x:row r="342">
      <x:c r="A342" s="25" t="str">
        <x:v>LP</x:v>
      </x:c>
      <x:c r="B342" s="35" t="n">
        <x:v>1</x:v>
      </x:c>
      <x:c r="C342" s="35" t="n">
        <x:v>0.2800000000000002</x:v>
      </x:c>
      <x:c r="D342" s="50" t="n">
        <x:v>3.3026535889044646e-8</x:v>
      </x:c>
      <x:c r="E342" s="47" t="n">
        <x:f>LN(D342)/LN(10)</x:f>
        <x:v>-7.4811369765105065</x:v>
      </x:c>
      <x:c r="F342" s="50" t="n">
        <x:v>0.0004019845680949</x:v>
      </x:c>
      <x:c r="G342" s="98" t="n">
        <x:f>D342/F342</x:f>
        <x:v>0.00008215871580733862</x:v>
      </x:c>
      <x:c r="H342" s="26" t="str">
        <x:f>IF(G342&lt;=1%,"YES","NO")</x:f>
        <x:v>YES</x:v>
      </x:c>
      <x:c r="I342" s="26" t="str">
        <x:v>common_1v</x:v>
      </x:c>
      <x:c r="J342" s="27" t="str">
        <x:v>data/raw/ptm45_lp_vds_1v_raw.txt</x:v>
      </x:c>
    </x:row>
    <x:row r="343">
      <x:c r="A343" s="25" t="str">
        <x:v>LP</x:v>
      </x:c>
      <x:c r="B343" s="35" t="n">
        <x:v>1</x:v>
      </x:c>
      <x:c r="C343" s="35" t="n">
        <x:v>0.2850000000000003</x:v>
      </x:c>
      <x:c r="D343" s="50" t="n">
        <x:v>3.753141151336801e-8</x:v>
      </x:c>
      <x:c r="E343" s="47" t="n">
        <x:f>LN(D343)/LN(10)</x:f>
        <x:v>-7.425605101962101</x:v>
      </x:c>
      <x:c r="F343" s="50" t="n">
        <x:v>0.0004019845680949</x:v>
      </x:c>
      <x:c r="G343" s="98" t="n">
        <x:f>D343/F343</x:f>
        <x:v>0.00009336530427334128</x:v>
      </x:c>
      <x:c r="H343" s="26" t="str">
        <x:f>IF(G343&lt;=1%,"YES","NO")</x:f>
        <x:v>YES</x:v>
      </x:c>
      <x:c r="I343" s="26" t="str">
        <x:v>common_1v</x:v>
      </x:c>
      <x:c r="J343" s="27" t="str">
        <x:v>data/raw/ptm45_lp_vds_1v_raw.txt</x:v>
      </x:c>
    </x:row>
    <x:row r="344">
      <x:c r="A344" s="25" t="str">
        <x:v>LP</x:v>
      </x:c>
      <x:c r="B344" s="35" t="n">
        <x:v>1</x:v>
      </x:c>
      <x:c r="C344" s="35" t="n">
        <x:v>0.2900000000000003</x:v>
      </x:c>
      <x:c r="D344" s="50" t="n">
        <x:v>4.263626934374696e-8</x:v>
      </x:c>
      <x:c r="E344" s="47" t="n">
        <x:f>LN(D344)/LN(10)</x:f>
        <x:v>-7.370220802909862</x:v>
      </x:c>
      <x:c r="F344" s="50" t="n">
        <x:v>0.0004019845680949</x:v>
      </x:c>
      <x:c r="G344" s="98" t="n">
        <x:f>D344/F344</x:f>
        <x:v>0.00010606444308499287</x:v>
      </x:c>
      <x:c r="H344" s="26" t="str">
        <x:f>IF(G344&lt;=1%,"YES","NO")</x:f>
        <x:v>YES</x:v>
      </x:c>
      <x:c r="I344" s="26" t="str">
        <x:v>common_1v</x:v>
      </x:c>
      <x:c r="J344" s="27" t="str">
        <x:v>data/raw/ptm45_lp_vds_1v_raw.txt</x:v>
      </x:c>
    </x:row>
    <x:row r="345">
      <x:c r="A345" s="25" t="str">
        <x:v>LP</x:v>
      </x:c>
      <x:c r="B345" s="35" t="n">
        <x:v>1</x:v>
      </x:c>
      <x:c r="C345" s="35" t="n">
        <x:v>0.2950000000000003</x:v>
      </x:c>
      <x:c r="D345" s="50" t="n">
        <x:v>4.841817727521244e-8</x:v>
      </x:c>
      <x:c r="E345" s="47" t="n">
        <x:f>LN(D345)/LN(10)</x:f>
        <x:v>-7.31499156380418</x:v>
      </x:c>
      <x:c r="F345" s="50" t="n">
        <x:v>0.0004019845680949</x:v>
      </x:c>
      <x:c r="G345" s="98" t="n">
        <x:f>D345/F345</x:f>
        <x:v>0.00012044785078361998</x:v>
      </x:c>
      <x:c r="H345" s="26" t="str">
        <x:f>IF(G345&lt;=1%,"YES","NO")</x:f>
        <x:v>YES</x:v>
      </x:c>
      <x:c r="I345" s="26" t="str">
        <x:v>common_1v</x:v>
      </x:c>
      <x:c r="J345" s="27" t="str">
        <x:v>data/raw/ptm45_lp_vds_1v_raw.txt</x:v>
      </x:c>
    </x:row>
    <x:row r="346">
      <x:c r="A346" s="25" t="str">
        <x:v>LP</x:v>
      </x:c>
      <x:c r="B346" s="35" t="n">
        <x:v>1</x:v>
      </x:c>
      <x:c r="C346" s="35" t="n">
        <x:v>0.3000000000000003</x:v>
      </x:c>
      <x:c r="D346" s="50" t="n">
        <x:v>5.4963568063869245e-8</x:v>
      </x:c>
      <x:c r="E346" s="47" t="n">
        <x:f>LN(D346)/LN(10)</x:f>
        <x:v>-7.2599250819865135</x:v>
      </x:c>
      <x:c r="F346" s="50" t="n">
        <x:v>0.0004019845680949</x:v>
      </x:c>
      <x:c r="G346" s="98" t="n">
        <x:f>D346/F346</x:f>
        <x:v>0.0001367305424791668</x:v>
      </x:c>
      <x:c r="H346" s="26" t="str">
        <x:f>IF(G346&lt;=1%,"YES","NO")</x:f>
        <x:v>YES</x:v>
      </x:c>
      <x:c r="I346" s="26" t="str">
        <x:v>common_1v</x:v>
      </x:c>
      <x:c r="J346" s="27" t="str">
        <x:v>data/raw/ptm45_lp_vds_1v_raw.txt</x:v>
      </x:c>
    </x:row>
    <x:row r="347">
      <x:c r="A347" s="25" t="str">
        <x:v>LP</x:v>
      </x:c>
      <x:c r="B347" s="35" t="n">
        <x:v>1</x:v>
      </x:c>
      <x:c r="C347" s="35" t="n">
        <x:v>0.3050000000000003</x:v>
      </x:c>
      <x:c r="D347" s="50" t="n">
        <x:v>6.236928221678175e-8</x:v>
      </x:c>
      <x:c r="E347" s="47" t="n">
        <x:f>LN(D347)/LN(10)</x:f>
        <x:v>-7.205029254042256</x:v>
      </x:c>
      <x:c r="F347" s="50" t="n">
        <x:v>0.0004019845680949</x:v>
      </x:c>
      <x:c r="G347" s="98" t="n">
        <x:f>D347/F347</x:f>
        <x:v>0.00015515342420323382</x:v>
      </x:c>
      <x:c r="H347" s="26" t="str">
        <x:f>IF(G347&lt;=1%,"YES","NO")</x:f>
        <x:v>YES</x:v>
      </x:c>
      <x:c r="I347" s="26" t="str">
        <x:v>common_1v</x:v>
      </x:c>
      <x:c r="J347" s="27" t="str">
        <x:v>data/raw/ptm45_lp_vds_1v_raw.txt</x:v>
      </x:c>
    </x:row>
    <x:row r="348">
      <x:c r="A348" s="25" t="str">
        <x:v>LP</x:v>
      </x:c>
      <x:c r="B348" s="35" t="n">
        <x:v>1</x:v>
      </x:c>
      <x:c r="C348" s="35" t="n">
        <x:v>0.3100000000000003</x:v>
      </x:c>
      <x:c r="D348" s="50" t="n">
        <x:v>7.074371148474389e-8</x:v>
      </x:c>
      <x:c r="E348" s="47" t="n">
        <x:f>LN(D348)/LN(10)</x:f>
        <x:v>-7.150312159179726</x:v>
      </x:c>
      <x:c r="F348" s="50" t="n">
        <x:v>0.0004019845680949</x:v>
      </x:c>
      <x:c r="G348" s="98" t="n">
        <x:f>D348/F348</x:f>
        <x:v>0.00017598613752765457</x:v>
      </x:c>
      <x:c r="H348" s="26" t="str">
        <x:f>IF(G348&lt;=1%,"YES","NO")</x:f>
        <x:v>YES</x:v>
      </x:c>
      <x:c r="I348" s="26" t="str">
        <x:v>common_1v</x:v>
      </x:c>
      <x:c r="J348" s="27" t="str">
        <x:v>data/raw/ptm45_lp_vds_1v_raw.txt</x:v>
      </x:c>
    </x:row>
    <x:row r="349">
      <x:c r="A349" s="25" t="str">
        <x:v>LP</x:v>
      </x:c>
      <x:c r="B349" s="35" t="n">
        <x:v>1</x:v>
      </x:c>
      <x:c r="C349" s="35" t="n">
        <x:v>0.3150000000000003</x:v>
      </x:c>
      <x:c r="D349" s="50" t="n">
        <x:v>8.020805046558592e-8</x:v>
      </x:c>
      <x:c r="E349" s="47" t="n">
        <x:f>LN(D349)/LN(10)</x:f>
        <x:v>-7.0957820394799915</x:v>
      </x:c>
      <x:c r="F349" s="50" t="n">
        <x:v>0.0004019845680949</x:v>
      </x:c>
      <x:c r="G349" s="98" t="n">
        <x:f>D349/F349</x:f>
        <x:v>0.00019953017312508004</x:v>
      </x:c>
      <x:c r="H349" s="26" t="str">
        <x:f>IF(G349&lt;=1%,"YES","NO")</x:f>
        <x:v>YES</x:v>
      </x:c>
      <x:c r="I349" s="26" t="str">
        <x:v>common_1v</x:v>
      </x:c>
      <x:c r="J349" s="27" t="str">
        <x:v>data/raw/ptm45_lp_vds_1v_raw.txt</x:v>
      </x:c>
    </x:row>
    <x:row r="350">
      <x:c r="A350" s="25" t="str">
        <x:v>LP</x:v>
      </x:c>
      <x:c r="B350" s="35" t="n">
        <x:v>1</x:v>
      </x:c>
      <x:c r="C350" s="35" t="n">
        <x:v>0.3200000000000003</x:v>
      </x:c>
      <x:c r="D350" s="50" t="n">
        <x:v>9.08976641617378e-8</x:v>
      </x:c>
      <x:c r="E350" s="47" t="n">
        <x:f>LN(D350)/LN(10)</x:f>
        <x:v>-7.0414472768957665</x:v>
      </x:c>
      <x:c r="F350" s="50" t="n">
        <x:v>0.0004019845680949</x:v>
      </x:c>
      <x:c r="G350" s="98" t="n">
        <x:f>D350/F350</x:f>
        <x:v>0.0002261222727840607</x:v>
      </x:c>
      <x:c r="H350" s="26" t="str">
        <x:f>IF(G350&lt;=1%,"YES","NO")</x:f>
        <x:v>YES</x:v>
      </x:c>
      <x:c r="I350" s="26" t="str">
        <x:v>common_1v</x:v>
      </x:c>
      <x:c r="J350" s="27" t="str">
        <x:v>data/raw/ptm45_lp_vds_1v_raw.txt</x:v>
      </x:c>
    </x:row>
    <x:row r="351">
      <x:c r="A351" s="25" t="str">
        <x:v>LP</x:v>
      </x:c>
      <x:c r="B351" s="35" t="n">
        <x:v>1</x:v>
      </x:c>
      <x:c r="C351" s="35" t="n">
        <x:v>0.3250000000000003</x:v>
      </x:c>
      <x:c r="D351" s="50" t="n">
        <x:v>1.029635796884623e-7</x:v>
      </x:c>
      <x:c r="E351" s="47" t="n">
        <x:f>LN(D351)/LN(10)</x:f>
        <x:v>-6.987316366920286</x:v>
      </x:c>
      <x:c r="F351" s="50" t="n">
        <x:v>0.0004019845680949</x:v>
      </x:c>
      <x:c r="G351" s="98" t="n">
        <x:f>D351/F351</x:f>
        <x:v>0.00025613814026849603</x:v>
      </x:c>
      <x:c r="H351" s="26" t="str">
        <x:f>IF(G351&lt;=1%,"YES","NO")</x:f>
        <x:v>YES</x:v>
      </x:c>
      <x:c r="I351" s="26" t="str">
        <x:v>common_1v</x:v>
      </x:c>
      <x:c r="J351" s="27" t="str">
        <x:v>data/raw/ptm45_lp_vds_1v_raw.txt</x:v>
      </x:c>
    </x:row>
    <x:row r="352">
      <x:c r="A352" s="25" t="str">
        <x:v>LP</x:v>
      </x:c>
      <x:c r="B352" s="35" t="n">
        <x:v>1</x:v>
      </x:c>
      <x:c r="C352" s="35" t="n">
        <x:v>0.3300000000000003</x:v>
      </x:c>
      <x:c r="D352" s="50" t="n">
        <x:v>1.165741107072096e-7</x:v>
      </x:c>
      <x:c r="E352" s="47" t="n">
        <x:f>LN(D352)/LN(10)</x:f>
        <x:v>-6.9333978889030625</x:v>
      </x:c>
      <x:c r="F352" s="50" t="n">
        <x:v>0.0004019845680949</x:v>
      </x:c>
      <x:c r="G352" s="98" t="n">
        <x:f>D352/F352</x:f>
        <x:v>0.0002899964823517527</x:v>
      </x:c>
      <x:c r="H352" s="26" t="str">
        <x:f>IF(G352&lt;=1%,"YES","NO")</x:f>
        <x:v>YES</x:v>
      </x:c>
      <x:c r="I352" s="26" t="str">
        <x:v>common_1v</x:v>
      </x:c>
      <x:c r="J352" s="27" t="str">
        <x:v>data/raw/ptm45_lp_vds_1v_raw.txt</x:v>
      </x:c>
    </x:row>
    <x:row r="353">
      <x:c r="A353" s="25" t="str">
        <x:v>LP</x:v>
      </x:c>
      <x:c r="B353" s="35" t="n">
        <x:v>1</x:v>
      </x:c>
      <x:c r="C353" s="35" t="n">
        <x:v>0.3350000000000003</x:v>
      </x:c>
      <x:c r="D353" s="50" t="n">
        <x:v>1.319166235729035e-7</x:v>
      </x:c>
      <x:c r="E353" s="47" t="n">
        <x:f>LN(D353)/LN(10)</x:f>
        <x:v>-6.879700473058066</x:v>
      </x:c>
      <x:c r="F353" s="50" t="n">
        <x:v>0.0004019845680949</x:v>
      </x:c>
      <x:c r="G353" s="98" t="n">
        <x:f>D353/F353</x:f>
        <x:v>0.0003281634023865334</x:v>
      </x:c>
      <x:c r="H353" s="26" t="str">
        <x:f>IF(G353&lt;=1%,"YES","NO")</x:f>
        <x:v>YES</x:v>
      </x:c>
      <x:c r="I353" s="26" t="str">
        <x:v>common_1v</x:v>
      </x:c>
      <x:c r="J353" s="27" t="str">
        <x:v>data/raw/ptm45_lp_vds_1v_raw.txt</x:v>
      </x:c>
    </x:row>
    <x:row r="354">
      <x:c r="A354" s="25" t="str">
        <x:v>LP</x:v>
      </x:c>
      <x:c r="B354" s="35" t="n">
        <x:v>1</x:v>
      </x:c>
      <x:c r="C354" s="35" t="n">
        <x:v>0.3400000000000003</x:v>
      </x:c>
      <x:c r="D354" s="50" t="n">
        <x:v>1.491994546466443e-7</x:v>
      </x:c>
      <x:c r="E354" s="47" t="n">
        <x:f>LN(D354)/LN(10)</x:f>
        <x:v>-6.826232764292209</x:v>
      </x:c>
      <x:c r="F354" s="50" t="n">
        <x:v>0.0004019845680949</x:v>
      </x:c>
      <x:c r="G354" s="98" t="n">
        <x:f>D354/F354</x:f>
        <x:v>0.00037115716992255655</x:v>
      </x:c>
      <x:c r="H354" s="26" t="str">
        <x:f>IF(G354&lt;=1%,"YES","NO")</x:f>
        <x:v>YES</x:v>
      </x:c>
      <x:c r="I354" s="26" t="str">
        <x:v>common_1v</x:v>
      </x:c>
      <x:c r="J354" s="27" t="str">
        <x:v>data/raw/ptm45_lp_vds_1v_raw.txt</x:v>
      </x:c>
    </x:row>
    <x:row r="355">
      <x:c r="A355" s="25" t="str">
        <x:v>LP</x:v>
      </x:c>
      <x:c r="B355" s="35" t="n">
        <x:v>1</x:v>
      </x:c>
      <x:c r="C355" s="35" t="n">
        <x:v>0.3450000000000003</x:v>
      </x:c>
      <x:c r="D355" s="50" t="n">
        <x:v>1.686539887478547e-7</x:v>
      </x:c>
      <x:c r="E355" s="47" t="n">
        <x:f>LN(D355)/LN(10)</x:f>
        <x:v>-6.773003383080186</x:v>
      </x:c>
      <x:c r="F355" s="50" t="n">
        <x:v>0.0004019845680949</x:v>
      </x:c>
      <x:c r="G355" s="98" t="n">
        <x:f>D355/F355</x:f>
        <x:v>0.0004195533911840096</x:v>
      </x:c>
      <x:c r="H355" s="26" t="str">
        <x:f>IF(G355&lt;=1%,"YES","NO")</x:f>
        <x:v>YES</x:v>
      </x:c>
      <x:c r="I355" s="26" t="str">
        <x:v>common_1v</x:v>
      </x:c>
      <x:c r="J355" s="27" t="str">
        <x:v>data/raw/ptm45_lp_vds_1v_raw.txt</x:v>
      </x:c>
    </x:row>
    <x:row r="356">
      <x:c r="A356" s="25" t="str">
        <x:v>LP</x:v>
      </x:c>
      <x:c r="B356" s="35" t="n">
        <x:v>1</x:v>
      </x:c>
      <x:c r="C356" s="35" t="n">
        <x:v>0.3500000000000003</x:v>
      </x:c>
      <x:c r="D356" s="50" t="n">
        <x:v>1.905369055394056e-7</x:v>
      </x:c>
      <x:c r="E356" s="47" t="n">
        <x:f>LN(D356)/LN(10)</x:f>
        <x:v>-6.720020892325489</x:v>
      </x:c>
      <x:c r="F356" s="50" t="n">
        <x:v>0.0004019845680949</x:v>
      </x:c>
      <x:c r="G356" s="98" t="n">
        <x:f>D356/F356</x:f>
        <x:v>0.00047399059730677</x:v>
      </x:c>
      <x:c r="H356" s="26" t="str">
        <x:f>IF(G356&lt;=1%,"YES","NO")</x:f>
        <x:v>YES</x:v>
      </x:c>
      <x:c r="I356" s="26" t="str">
        <x:v>common_1v</x:v>
      </x:c>
      <x:c r="J356" s="27" t="str">
        <x:v>data/raw/ptm45_lp_vds_1v_raw.txt</x:v>
      </x:c>
    </x:row>
    <x:row r="357">
      <x:c r="A357" s="25" t="str">
        <x:v>LP</x:v>
      </x:c>
      <x:c r="B357" s="35" t="n">
        <x:v>1</x:v>
      </x:c>
      <x:c r="C357" s="35" t="n">
        <x:v>0.3550000000000003</x:v>
      </x:c>
      <x:c r="D357" s="50" t="n">
        <x:v>2.15132598123149e-7</x:v>
      </x:c>
      <x:c r="E357" s="47" t="n">
        <x:f>LN(D357)/LN(10)</x:f>
        <x:v>-6.667293777839589</x:v>
      </x:c>
      <x:c r="F357" s="50" t="n">
        <x:v>0.0004019845680949</x:v>
      </x:c>
      <x:c r="G357" s="98" t="n">
        <x:f>D357/F357</x:f>
        <x:v>0.0005351762609761695</x:v>
      </x:c>
      <x:c r="H357" s="26" t="str">
        <x:f>IF(G357&lt;=1%,"YES","NO")</x:f>
        <x:v>YES</x:v>
      </x:c>
      <x:c r="I357" s="26" t="str">
        <x:v>common_1v</x:v>
      </x:c>
      <x:c r="J357" s="27" t="str">
        <x:v>data/raw/ptm45_lp_vds_1v_raw.txt</x:v>
      </x:c>
    </x:row>
    <x:row r="358">
      <x:c r="A358" s="25" t="str">
        <x:v>LP</x:v>
      </x:c>
      <x:c r="B358" s="35" t="n">
        <x:v>1</x:v>
      </x:c>
      <x:c r="C358" s="35" t="n">
        <x:v>0.3600000000000003</x:v>
      </x:c>
      <x:c r="D358" s="50" t="n">
        <x:v>2.427558290030328e-7</x:v>
      </x:c>
      <x:c r="E358" s="47" t="n">
        <x:f>LN(D358)/LN(10)</x:f>
        <x:v>-6.614830333104987</x:v>
      </x:c>
      <x:c r="F358" s="50" t="n">
        <x:v>0.0004019845680949</x:v>
      </x:c>
      <x:c r="G358" s="98" t="n">
        <x:f>D358/F358</x:f>
        <x:v>0.0006038934035540472</x:v>
      </x:c>
      <x:c r="H358" s="26" t="str">
        <x:f>IF(G358&lt;=1%,"YES","NO")</x:f>
        <x:v>YES</x:v>
      </x:c>
      <x:c r="I358" s="26" t="str">
        <x:v>common_1v</x:v>
      </x:c>
      <x:c r="J358" s="27" t="str">
        <x:v>data/raw/ptm45_lp_vds_1v_raw.txt</x:v>
      </x:c>
    </x:row>
    <x:row r="359">
      <x:c r="A359" s="25" t="str">
        <x:v>LP</x:v>
      </x:c>
      <x:c r="B359" s="35" t="n">
        <x:v>1</x:v>
      </x:c>
      <x:c r="C359" s="35" t="n">
        <x:v>0.3650000000000003</x:v>
      </x:c>
      <x:c r="D359" s="50" t="n">
        <x:v>2.737545560534216e-7</x:v>
      </x:c>
      <x:c r="E359" s="47" t="n">
        <x:f>LN(D359)/LN(10)</x:f>
        <x:v>-6.562638644197871</x:v>
      </x:c>
      <x:c r="F359" s="50" t="n">
        <x:v>0.0004019845680949</x:v>
      </x:c>
      <x:c r="G359" s="98" t="n">
        <x:f>D359/F359</x:f>
        <x:v>0.0006810076251205593</x:v>
      </x:c>
      <x:c r="H359" s="26" t="str">
        <x:f>IF(G359&lt;=1%,"YES","NO")</x:f>
        <x:v>YES</x:v>
      </x:c>
      <x:c r="I359" s="26" t="str">
        <x:v>common_1v</x:v>
      </x:c>
      <x:c r="J359" s="27" t="str">
        <x:v>data/raw/ptm45_lp_vds_1v_raw.txt</x:v>
      </x:c>
    </x:row>
    <x:row r="360">
      <x:c r="A360" s="25" t="str">
        <x:v>LP</x:v>
      </x:c>
      <x:c r="B360" s="35" t="n">
        <x:v>1</x:v>
      </x:c>
      <x:c r="C360" s="35" t="n">
        <x:v>0.3700000000000003</x:v>
      </x:c>
      <x:c r="D360" s="50" t="n">
        <x:v>3.085129870941359e-7</x:v>
      </x:c>
      <x:c r="E360" s="47" t="n">
        <x:f>LN(D360)/LN(10)</x:f>
        <x:v>-6.510726549281946</x:v>
      </x:c>
      <x:c r="F360" s="50" t="n">
        <x:v>0.0004019845680949</x:v>
      </x:c>
      <x:c r="G360" s="98" t="n">
        <x:f>D360/F360</x:f>
        <x:v>0.0007674747032112501</x:v>
      </x:c>
      <x:c r="H360" s="26" t="str">
        <x:f>IF(G360&lt;=1%,"YES","NO")</x:f>
        <x:v>YES</x:v>
      </x:c>
      <x:c r="I360" s="26" t="str">
        <x:v>common_1v</x:v>
      </x:c>
      <x:c r="J360" s="27" t="str">
        <x:v>data/raw/ptm45_lp_vds_1v_raw.txt</x:v>
      </x:c>
    </x:row>
    <x:row r="361">
      <x:c r="A361" s="25" t="str">
        <x:v>LP</x:v>
      </x:c>
      <x:c r="B361" s="35" t="n">
        <x:v>1</x:v>
      </x:c>
      <x:c r="C361" s="35" t="n">
        <x:v>0.3750000000000003</x:v>
      </x:c>
      <x:c r="D361" s="50" t="n">
        <x:v>3.474548724799429e-7</x:v>
      </x:c>
      <x:c r="E361" s="47" t="n">
        <x:f>LN(D361)/LN(10)</x:f>
        <x:v>-6.459101593679983</x:v>
      </x:c>
      <x:c r="F361" s="50" t="n">
        <x:v>0.0004019845680949</x:v>
      </x:c>
      <x:c r="G361" s="98" t="n">
        <x:f>D361/F361</x:f>
        <x:v>0.0008643487836526008</x:v>
      </x:c>
      <x:c r="H361" s="26" t="str">
        <x:f>IF(G361&lt;=1%,"YES","NO")</x:f>
        <x:v>YES</x:v>
      </x:c>
      <x:c r="I361" s="26" t="str">
        <x:v>common_1v</x:v>
      </x:c>
      <x:c r="J361" s="27" t="str">
        <x:v>data/raw/ptm45_lp_vds_1v_raw.txt</x:v>
      </x:c>
    </x:row>
    <x:row r="362">
      <x:c r="A362" s="25" t="str">
        <x:v>LP</x:v>
      </x:c>
      <x:c r="B362" s="35" t="n">
        <x:v>1</x:v>
      </x:c>
      <x:c r="C362" s="35" t="n">
        <x:v>0.3800000000000003</x:v>
      </x:c>
      <x:c r="D362" s="50" t="n">
        <x:v>3.91047048787814e-7</x:v>
      </x:c>
      <x:c r="E362" s="47" t="n">
        <x:f>LN(D362)/LN(10)</x:f>
        <x:v>-6.407770987361985</x:v>
      </x:c>
      <x:c r="F362" s="50" t="n">
        <x:v>0.0004019845680949</x:v>
      </x:c>
      <x:c r="G362" s="98" t="n">
        <x:f>D362/F362</x:f>
        <x:v>0.0009727911960428693</x:v>
      </x:c>
      <x:c r="H362" s="26" t="str">
        <x:f>IF(G362&lt;=1%,"YES","NO")</x:f>
        <x:v>YES</x:v>
      </x:c>
      <x:c r="I362" s="26" t="str">
        <x:v>common_1v</x:v>
      </x:c>
      <x:c r="J362" s="27" t="str">
        <x:v>data/raw/ptm45_lp_vds_1v_raw.txt</x:v>
      </x:c>
    </x:row>
    <x:row r="363">
      <x:c r="A363" s="25" t="str">
        <x:v>LP</x:v>
      </x:c>
      <x:c r="B363" s="35" t="n">
        <x:v>1</x:v>
      </x:c>
      <x:c r="C363" s="35" t="n">
        <x:v>0.3850000000000003</x:v>
      </x:c>
      <x:c r="D363" s="50" t="n">
        <x:v>4.398032494401846e-7</x:v>
      </x:c>
      <x:c r="E363" s="47" t="n">
        <x:f>LN(D363)/LN(10)</x:f>
        <x:v>-6.356741566224141</x:v>
      </x:c>
      <x:c r="F363" s="50" t="n">
        <x:v>0.0004019845680949</x:v>
      </x:c>
      <x:c r="G363" s="98" t="n">
        <x:f>D363/F363</x:f>
        <x:v>0.0010940799332783253</x:v>
      </x:c>
      <x:c r="H363" s="26" t="str">
        <x:f>IF(G363&lt;=1%,"YES","NO")</x:f>
        <x:v>YES</x:v>
      </x:c>
      <x:c r="I363" s="26" t="str">
        <x:v>common_1v</x:v>
      </x:c>
      <x:c r="J363" s="27" t="str">
        <x:v>data/raw/ptm45_lp_vds_1v_raw.txt</x:v>
      </x:c>
    </x:row>
    <x:row r="364">
      <x:c r="A364" s="25" t="str">
        <x:v>LP</x:v>
      </x:c>
      <x:c r="B364" s="35" t="n">
        <x:v>1</x:v>
      </x:c>
      <x:c r="C364" s="35" t="n">
        <x:v>0.3900000000000003</x:v>
      </x:c>
      <x:c r="D364" s="50" t="n">
        <x:v>4.942881983435589e-7</x:v>
      </x:c>
      <x:c r="E364" s="47" t="n">
        <x:f>LN(D364)/LN(10)</x:f>
        <x:v>-6.30601975865809</x:v>
      </x:c>
      <x:c r="F364" s="50" t="n">
        <x:v>0.0004019845680949</x:v>
      </x:c>
      <x:c r="G364" s="98" t="n">
        <x:f>D364/F364</x:f>
        <x:v>0.0012296198351247852</x:v>
      </x:c>
      <x:c r="H364" s="26" t="str">
        <x:f>IF(G364&lt;=1%,"YES","NO")</x:f>
        <x:v>YES</x:v>
      </x:c>
      <x:c r="I364" s="26" t="str">
        <x:v>common_1v</x:v>
      </x:c>
      <x:c r="J364" s="27" t="str">
        <x:v>data/raw/ptm45_lp_vds_1v_raw.txt</x:v>
      </x:c>
    </x:row>
    <x:row r="365">
      <x:c r="A365" s="25" t="str">
        <x:v>LP</x:v>
      </x:c>
      <x:c r="B365" s="35" t="n">
        <x:v>1</x:v>
      </x:c>
      <x:c r="C365" s="35" t="n">
        <x:v>0.3950000000000004</x:v>
      </x:c>
      <x:c r="D365" s="50" t="n">
        <x:v>5.551220023358563e-7</x:v>
      </x:c>
      <x:c r="E365" s="47" t="n">
        <x:f>LN(D365)/LN(10)</x:f>
        <x:v>-6.255611559006308</x:v>
      </x:c>
      <x:c r="F365" s="50" t="n">
        <x:v>0.0004019845680949</x:v>
      </x:c>
      <x:c r="G365" s="98" t="n">
        <x:f>D365/F365</x:f>
        <x:v>0.001380953515123008</x:v>
      </x:c>
      <x:c r="H365" s="26" t="str">
        <x:f>IF(G365&lt;=1%,"YES","NO")</x:f>
        <x:v>YES</x:v>
      </x:c>
      <x:c r="I365" s="26" t="str">
        <x:v>common_1v</x:v>
      </x:c>
      <x:c r="J365" s="27" t="str">
        <x:v>data/raw/ptm45_lp_vds_1v_raw.txt</x:v>
      </x:c>
    </x:row>
    <x:row r="366">
      <x:c r="A366" s="25" t="str">
        <x:v>LP</x:v>
      </x:c>
      <x:c r="B366" s="35" t="n">
        <x:v>1</x:v>
      </x:c>
      <x:c r="C366" s="35" t="n">
        <x:v>0.4000000000000004</x:v>
      </x:c>
      <x:c r="D366" s="50" t="n">
        <x:v>6.229848571863765e-7</x:v>
      </x:c>
      <x:c r="E366" s="47" t="n">
        <x:f>LN(D366)/LN(10)</x:f>
        <x:v>-6.205522509553226</x:v>
      </x:c>
      <x:c r="F366" s="50" t="n">
        <x:v>0.0004019845680949</x:v>
      </x:c>
      <x:c r="G366" s="98" t="n">
        <x:f>D366/F366</x:f>
        <x:v>0.0015497730675056737</x:v>
      </x:c>
      <x:c r="H366" s="26" t="str">
        <x:f>IF(G366&lt;=1%,"YES","NO")</x:f>
        <x:v>YES</x:v>
      </x:c>
      <x:c r="I366" s="26" t="str">
        <x:v>common_1v</x:v>
      </x:c>
      <x:c r="J366" s="27" t="str">
        <x:v>data/raw/ptm45_lp_vds_1v_raw.txt</x:v>
      </x:c>
    </x:row>
    <x:row r="367">
      <x:c r="A367" s="25" t="str">
        <x:v>LP</x:v>
      </x:c>
      <x:c r="B367" s="35" t="n">
        <x:v>1</x:v>
      </x:c>
      <x:c r="C367" s="35" t="n">
        <x:v>0.4050000000000004</x:v>
      </x:c>
      <x:c r="D367" s="50" t="n">
        <x:v>6.986220797940975e-7</x:v>
      </x:c>
      <x:c r="E367" s="47" t="n">
        <x:f>LN(D367)/LN(10)</x:f>
        <x:v>-6.155757692701799</x:v>
      </x:c>
      <x:c r="F367" s="50" t="n">
        <x:v>0.0004019845680949</x:v>
      </x:c>
      <x:c r="G367" s="98" t="n">
        <x:f>D367/F367</x:f>
        <x:v>0.0017379325855841504</x:v>
      </x:c>
      <x:c r="H367" s="26" t="str">
        <x:f>IF(G367&lt;=1%,"YES","NO")</x:f>
        <x:v>YES</x:v>
      </x:c>
      <x:c r="I367" s="26" t="str">
        <x:v>common_1v</x:v>
      </x:c>
      <x:c r="J367" s="27" t="str">
        <x:v>data/raw/ptm45_lp_vds_1v_raw.txt</x:v>
      </x:c>
    </x:row>
    <x:row r="368">
      <x:c r="A368" s="25" t="str">
        <x:v>LP</x:v>
      </x:c>
      <x:c r="B368" s="35" t="n">
        <x:v>1</x:v>
      </x:c>
      <x:c r="C368" s="35" t="n">
        <x:v>0.4100000000000004</x:v>
      </x:c>
      <x:c r="D368" s="50" t="n">
        <x:v>7.82849475753335e-7</x:v>
      </x:c>
      <x:c r="E368" s="47" t="n">
        <x:f>LN(D368)/LN(10)</x:f>
        <x:v>-6.1063217349204475</x:v>
      </x:c>
      <x:c r="F368" s="50" t="n">
        <x:v>0.0004019845680949</x:v>
      </x:c>
      <x:c r="G368" s="98" t="n">
        <x:f>D368/F368</x:f>
        <x:v>0.001947461514414456</x:v>
      </x:c>
      <x:c r="H368" s="26" t="str">
        <x:f>IF(G368&lt;=1%,"YES","NO")</x:f>
        <x:v>YES</x:v>
      </x:c>
      <x:c r="I368" s="26" t="str">
        <x:v>common_1v</x:v>
      </x:c>
      <x:c r="J368" s="27" t="str">
        <x:v>data/raw/ptm45_lp_vds_1v_raw.txt</x:v>
      </x:c>
    </x:row>
    <x:row r="369">
      <x:c r="A369" s="25" t="str">
        <x:v>LP</x:v>
      </x:c>
      <x:c r="B369" s="35" t="n">
        <x:v>1</x:v>
      </x:c>
      <x:c r="C369" s="35" t="n">
        <x:v>0.4150000000000004</x:v>
      </x:c>
      <x:c r="D369" s="50" t="n">
        <x:v>8.765590462403014e-7</x:v>
      </x:c>
      <x:c r="E369" s="47" t="n">
        <x:f>LN(D369)/LN(10)</x:f>
        <x:v>-6.057218823902609</x:v>
      </x:c>
      <x:c r="F369" s="50" t="n">
        <x:v>0.0004019845680949</x:v>
      </x:c>
      <x:c r="G369" s="98" t="n">
        <x:f>D369/F369</x:f>
        <x:v>0.0021805788475774634</x:v>
      </x:c>
      <x:c r="H369" s="26" t="str">
        <x:f>IF(G369&lt;=1%,"YES","NO")</x:f>
        <x:v>YES</x:v>
      </x:c>
      <x:c r="I369" s="26" t="str">
        <x:v>common_1v</x:v>
      </x:c>
      <x:c r="J369" s="27" t="str">
        <x:v>data/raw/ptm45_lp_vds_1v_raw.txt</x:v>
      </x:c>
    </x:row>
    <x:row r="370">
      <x:c r="A370" s="25" t="str">
        <x:v>LP</x:v>
      </x:c>
      <x:c r="B370" s="35" t="n">
        <x:v>1</x:v>
      </x:c>
      <x:c r="C370" s="35" t="n">
        <x:v>0.4200000000000004</x:v>
      </x:c>
      <x:c r="D370" s="50" t="n">
        <x:v>9.807250308368829e-7</x:v>
      </x:c>
      <x:c r="E370" s="47" t="n">
        <x:f>LN(D370)/LN(10)</x:f>
        <x:v>-6.008452740152595</x:v>
      </x:c>
      <x:c r="F370" s="50" t="n">
        <x:v>0.0004019845680949</x:v>
      </x:c>
      <x:c r="G370" s="98" t="n">
        <x:f>D370/F370</x:f>
        <x:v>0.0024397081596559066</x:v>
      </x:c>
      <x:c r="H370" s="26" t="str">
        <x:f>IF(G370&lt;=1%,"YES","NO")</x:f>
        <x:v>YES</x:v>
      </x:c>
      <x:c r="I370" s="26" t="str">
        <x:v>common_1v</x:v>
      </x:c>
      <x:c r="J370" s="27" t="str">
        <x:v>data/raw/ptm45_lp_vds_1v_raw.txt</x:v>
      </x:c>
    </x:row>
    <x:row r="371">
      <x:c r="A371" s="25" t="str">
        <x:v>LP</x:v>
      </x:c>
      <x:c r="B371" s="35" t="n">
        <x:v>1</x:v>
      </x:c>
      <x:c r="C371" s="35" t="n">
        <x:v>0.4250000000000004</x:v>
      </x:c>
      <x:c r="D371" s="50" t="n">
        <x:v>0.000001096410273070978</x:v>
      </x:c>
      <x:c r="E371" s="47" t="n">
        <x:f>LN(D371)/LN(10)</x:f>
        <x:v>-5.960026903890349</x:v>
      </x:c>
      <x:c r="F371" s="50" t="n">
        <x:v>0.0004019845680949</x:v>
      </x:c>
      <x:c r="G371" s="98" t="n">
        <x:f>D371/F371</x:f>
        <x:v>0.002727493441519723</x:v>
      </x:c>
      <x:c r="H371" s="26" t="str">
        <x:f>IF(G371&lt;=1%,"YES","NO")</x:f>
        <x:v>YES</x:v>
      </x:c>
      <x:c r="I371" s="26" t="str">
        <x:v>common_1v</x:v>
      </x:c>
      <x:c r="J371" s="27" t="str">
        <x:v>data/raw/ptm45_lp_vds_1v_raw.txt</x:v>
      </x:c>
    </x:row>
    <x:row r="372">
      <x:c r="A372" s="25" t="str">
        <x:v>LP</x:v>
      </x:c>
      <x:c r="B372" s="35" t="n">
        <x:v>1</x:v>
      </x:c>
      <x:c r="C372" s="35" t="n">
        <x:v>0.4300000000000004</x:v>
      </x:c>
      <x:c r="D372" s="50" t="n">
        <x:v>0.000001224772882773201</x:v>
      </x:c>
      <x:c r="E372" s="47" t="n">
        <x:f>LN(D372)/LN(10)</x:f>
        <x:v>-5.911944437750957</x:v>
      </x:c>
      <x:c r="F372" s="50" t="n">
        <x:v>0.0004019845680949</x:v>
      </x:c>
      <x:c r="G372" s="98" t="n">
        <x:f>D372/F372</x:f>
        <x:v>0.0030468156739889033</x:v>
      </x:c>
      <x:c r="H372" s="26" t="str">
        <x:f>IF(G372&lt;=1%,"YES","NO")</x:f>
        <x:v>YES</x:v>
      </x:c>
      <x:c r="I372" s="26" t="str">
        <x:v>common_1v</x:v>
      </x:c>
      <x:c r="J372" s="27" t="str">
        <x:v>data/raw/ptm45_lp_vds_1v_raw.txt</x:v>
      </x:c>
    </x:row>
    <x:row r="373">
      <x:c r="A373" s="25" t="str">
        <x:v>LP</x:v>
      </x:c>
      <x:c r="B373" s="35" t="n">
        <x:v>1</x:v>
      </x:c>
      <x:c r="C373" s="35" t="n">
        <x:v>0.4350000000000004</x:v>
      </x:c>
      <x:c r="D373" s="50" t="n">
        <x:v>0.000001367073153552329</x:v>
      </x:c>
      <x:c r="E373" s="47" t="n">
        <x:f>LN(D373)/LN(10)</x:f>
        <x:v>-5.864208245246322</x:v>
      </x:c>
      <x:c r="F373" s="50" t="n">
        <x:v>0.0004019845680949</x:v>
      </x:c>
      <x:c r="G373" s="98" t="n">
        <x:f>D373/F373</x:f>
        <x:v>0.0034008100361444527</x:v>
      </x:c>
      <x:c r="H373" s="26" t="str">
        <x:f>IF(G373&lt;=1%,"YES","NO")</x:f>
        <x:v>YES</x:v>
      </x:c>
      <x:c r="I373" s="26" t="str">
        <x:v>common_1v</x:v>
      </x:c>
      <x:c r="J373" s="27" t="str">
        <x:v>data/raw/ptm45_lp_vds_1v_raw.txt</x:v>
      </x:c>
    </x:row>
    <x:row r="374">
      <x:c r="A374" s="25" t="str">
        <x:v>LP</x:v>
      </x:c>
      <x:c r="B374" s="35" t="n">
        <x:v>1</x:v>
      </x:c>
      <x:c r="C374" s="35" t="n">
        <x:v>0.4400000000000004</x:v>
      </x:c>
      <x:c r="D374" s="50" t="n">
        <x:v>0.000001524680674616621</x:v>
      </x:c>
      <x:c r="E374" s="47" t="n">
        <x:f>LN(D374)/LN(10)</x:f>
        <x:v>-5.816821104365359</x:v>
      </x:c>
      <x:c r="F374" s="50" t="n">
        <x:v>0.0004019845680949</x:v>
      </x:c>
      <x:c r="G374" s="98" t="n">
        <x:f>D374/F374</x:f>
        <x:v>0.0037928835971053404</x:v>
      </x:c>
      <x:c r="H374" s="26" t="str">
        <x:f>IF(G374&lt;=1%,"YES","NO")</x:f>
        <x:v>YES</x:v>
      </x:c>
      <x:c r="I374" s="26" t="str">
        <x:v>common_1v</x:v>
      </x:c>
      <x:c r="J374" s="27" t="str">
        <x:v>data/raw/ptm45_lp_vds_1v_raw.txt</x:v>
      </x:c>
    </x:row>
    <x:row r="375">
      <x:c r="A375" s="25" t="str">
        <x:v>LP</x:v>
      </x:c>
      <x:c r="B375" s="35" t="n">
        <x:v>1</x:v>
      </x:c>
      <x:c r="C375" s="35" t="n">
        <x:v>0.4450000000000004</x:v>
      </x:c>
      <x:c r="D375" s="50" t="n">
        <x:v>0.000001699081553814694</x:v>
      </x:c>
      <x:c r="E375" s="47" t="n">
        <x:f>LN(D375)/LN(10)</x:f>
        <x:v>-5.769785775032268</x:v>
      </x:c>
      <x:c r="F375" s="50" t="n">
        <x:v>0.0004019845680949</x:v>
      </x:c>
      <x:c r="G375" s="98" t="n">
        <x:f>D375/F375</x:f>
        <x:v>0.00422673328448165</x:v>
      </x:c>
      <x:c r="H375" s="26" t="str">
        <x:f>IF(G375&lt;=1%,"YES","NO")</x:f>
        <x:v>YES</x:v>
      </x:c>
      <x:c r="I375" s="26" t="str">
        <x:v>common_1v</x:v>
      </x:c>
      <x:c r="J375" s="27" t="str">
        <x:v>data/raw/ptm45_lp_vds_1v_raw.txt</x:v>
      </x:c>
    </x:row>
    <x:row r="376">
      <x:c r="A376" s="25" t="str">
        <x:v>LP</x:v>
      </x:c>
      <x:c r="B376" s="35" t="n">
        <x:v>1</x:v>
      </x:c>
      <x:c r="C376" s="35" t="n">
        <x:v>0.4500000000000004</x:v>
      </x:c>
      <x:c r="D376" s="50" t="n">
        <x:v>0.000001891885643347979</x:v>
      </x:c>
      <x:c r="E376" s="47" t="n">
        <x:f>LN(D376)/LN(10)</x:f>
        <x:v>-5.723105118443695</x:v>
      </x:c>
      <x:c r="F376" s="50" t="n">
        <x:v>0.0004019845680949</x:v>
      </x:c>
      <x:c r="G376" s="98" t="n">
        <x:f>D376/F376</x:f>
        <x:v>0.0047063638594736935</x:v>
      </x:c>
      <x:c r="H376" s="26" t="str">
        <x:f>IF(G376&lt;=1%,"YES","NO")</x:f>
        <x:v>YES</x:v>
      </x:c>
      <x:c r="I376" s="26" t="str">
        <x:v>common_1v</x:v>
      </x:c>
      <x:c r="J376" s="27" t="str">
        <x:v>data/raw/ptm45_lp_vds_1v_raw.txt</x:v>
      </x:c>
    </x:row>
    <x:row r="377">
      <x:c r="A377" s="25" t="str">
        <x:v>LP</x:v>
      </x:c>
      <x:c r="B377" s="35" t="n">
        <x:v>1</x:v>
      </x:c>
      <x:c r="C377" s="35" t="n">
        <x:v>0.4550000000000004</x:v>
      </x:c>
      <x:c r="D377" s="50" t="n">
        <x:v>0.000002104833631576693</x:v>
      </x:c>
      <x:c r="E377" s="47" t="n">
        <x:f>LN(D377)/LN(10)</x:f>
        <x:v>-5.676782225597246</x:v>
      </x:c>
      <x:c r="F377" s="50" t="n">
        <x:v>0.0004019845680949</x:v>
      </x:c>
      <x:c r="G377" s="98" t="n">
        <x:f>D377/F377</x:f>
        <x:v>0.005236105558857639</x:v>
      </x:c>
      <x:c r="H377" s="26" t="str">
        <x:f>IF(G377&lt;=1%,"YES","NO")</x:f>
        <x:v>YES</x:v>
      </x:c>
      <x:c r="I377" s="26" t="str">
        <x:v>common_1v</x:v>
      </x:c>
      <x:c r="J377" s="27" t="str">
        <x:v>data/raw/ptm45_lp_vds_1v_raw.txt</x:v>
      </x:c>
    </x:row>
    <x:row r="378">
      <x:c r="A378" s="25" t="str">
        <x:v>LP</x:v>
      </x:c>
      <x:c r="B378" s="35" t="n">
        <x:v>1</x:v>
      </x:c>
      <x:c r="C378" s="35" t="n">
        <x:v>0.4600000000000004</x:v>
      </x:c>
      <x:c r="D378" s="50" t="n">
        <x:v>0.000002339803834458113</x:v>
      </x:c>
      <x:c r="E378" s="47" t="n">
        <x:f>LN(D378)/LN(10)</x:f>
        <x:v>-5.630820551642648</x:v>
      </x:c>
      <x:c r="F378" s="50" t="n">
        <x:v>0.0004019845680949</x:v>
      </x:c>
      <x:c r="G378" s="98" t="n">
        <x:f>D378/F378</x:f>
        <x:v>0.005820630989759127</x:v>
      </x:c>
      <x:c r="H378" s="26" t="str">
        <x:f>IF(G378&lt;=1%,"YES","NO")</x:f>
        <x:v>YES</x:v>
      </x:c>
      <x:c r="I378" s="26" t="str">
        <x:v>common_1v</x:v>
      </x:c>
      <x:c r="J378" s="27" t="str">
        <x:v>data/raw/ptm45_lp_vds_1v_raw.txt</x:v>
      </x:c>
    </x:row>
    <x:row r="379">
      <x:c r="A379" s="25" t="str">
        <x:v>LP</x:v>
      </x:c>
      <x:c r="B379" s="35" t="n">
        <x:v>1</x:v>
      </x:c>
      <x:c r="C379" s="35" t="n">
        <x:v>0.4650000000000004</x:v>
      </x:c>
      <x:c r="D379" s="50" t="n">
        <x:v>0.000002598818489486496</x:v>
      </x:c>
      <x:c r="E379" s="47" t="n">
        <x:f>LN(D379)/LN(10)</x:f>
        <x:v>-5.585224052075441</x:v>
      </x:c>
      <x:c r="F379" s="50" t="n">
        <x:v>0.0004019845680949</x:v>
      </x:c>
      <x:c r="G379" s="98" t="n">
        <x:f>D379/F379</x:f>
        <x:v>0.006464970786821275</x:v>
      </x:c>
      <x:c r="H379" s="26" t="str">
        <x:f>IF(G379&lt;=1%,"YES","NO")</x:f>
        <x:v>YES</x:v>
      </x:c>
      <x:c r="I379" s="26" t="str">
        <x:v>common_1v</x:v>
      </x:c>
      <x:c r="J379" s="27" t="str">
        <x:v>data/raw/ptm45_lp_vds_1v_raw.txt</x:v>
      </x:c>
    </x:row>
    <x:row r="380">
      <x:c r="A380" s="25" t="str">
        <x:v>LP</x:v>
      </x:c>
      <x:c r="B380" s="35" t="n">
        <x:v>1</x:v>
      </x:c>
      <x:c r="C380" s="35" t="n">
        <x:v>0.4700000000000004</x:v>
      </x:c>
      <x:c r="D380" s="50" t="n">
        <x:v>0.000002884049324936066</x:v>
      </x:c>
      <x:c r="E380" s="47" t="n">
        <x:f>LN(D380)/LN(10)</x:f>
        <x:v>-5.53999731629506</x:v>
      </x:c>
      <x:c r="F380" s="50" t="n">
        <x:v>0.0004019845680949</x:v>
      </x:c>
      <x:c r="G380" s="98" t="n">
        <x:f>D380/F380</x:f>
        <x:v>0.007174527466574794</x:v>
      </x:c>
      <x:c r="H380" s="26" t="str">
        <x:f>IF(G380&lt;=1%,"YES","NO")</x:f>
        <x:v>YES</x:v>
      </x:c>
      <x:c r="I380" s="26" t="str">
        <x:v>common_1v</x:v>
      </x:c>
      <x:c r="J380" s="27" t="str">
        <x:v>data/raw/ptm45_lp_vds_1v_raw.txt</x:v>
      </x:c>
    </x:row>
    <x:row r="381">
      <x:c r="A381" s="25" t="str">
        <x:v>LP</x:v>
      </x:c>
      <x:c r="B381" s="35" t="n">
        <x:v>1</x:v>
      </x:c>
      <x:c r="C381" s="35" t="n">
        <x:v>0.4750000000000004</x:v>
      </x:c>
      <x:c r="D381" s="50" t="n">
        <x:v>0.000003197822149427569</x:v>
      </x:c>
      <x:c r="E381" s="47" t="n">
        <x:f>LN(D381)/LN(10)</x:f>
        <x:v>-5.495145693707373</x:v>
      </x:c>
      <x:c r="F381" s="50" t="n">
        <x:v>0.0004019845680949</x:v>
      </x:c>
      <x:c r="G381" s="98" t="n">
        <x:f>D381/F381</x:f>
        <x:v>0.007955086844708505</x:v>
      </x:c>
      <x:c r="H381" s="26" t="str">
        <x:f>IF(G381&lt;=1%,"YES","NO")</x:f>
        <x:v>YES</x:v>
      </x:c>
      <x:c r="I381" s="26" t="str">
        <x:v>common_1v</x:v>
      </x:c>
      <x:c r="J381" s="27" t="str">
        <x:v>data/raw/ptm45_lp_vds_1v_raw.txt</x:v>
      </x:c>
    </x:row>
    <x:row r="382">
      <x:c r="A382" s="25" t="str">
        <x:v>LP</x:v>
      </x:c>
      <x:c r="B382" s="35" t="n">
        <x:v>1</x:v>
      </x:c>
      <x:c r="C382" s="35" t="n">
        <x:v>0.4800000000000004</x:v>
      </x:c>
      <x:c r="D382" s="50" t="n">
        <x:v>0.000003542620183286753</x:v>
      </x:c>
      <x:c r="E382" s="47" t="n">
        <x:f>LN(D382)/LN(10)</x:f>
        <x:v>-5.450675407402905</x:v>
      </x:c>
      <x:c r="F382" s="50" t="n">
        <x:v>0.0004019845680949</x:v>
      </x:c>
      <x:c r="G382" s="98" t="n">
        <x:f>D382/F382</x:f>
        <x:v>0.00881282632334885</x:v>
      </x:c>
      <x:c r="H382" s="26" t="str">
        <x:f>IF(G382&lt;=1%,"YES","NO")</x:f>
        <x:v>YES</x:v>
      </x:c>
      <x:c r="I382" s="26" t="str">
        <x:v>common_1v</x:v>
      </x:c>
      <x:c r="J382" s="27" t="str">
        <x:v>data/raw/ptm45_lp_vds_1v_raw.txt</x:v>
      </x:c>
    </x:row>
    <x:row r="383">
      <x:c r="A383" s="25" t="str">
        <x:v>LP</x:v>
      </x:c>
      <x:c r="B383" s="35" t="n">
        <x:v>1</x:v>
      </x:c>
      <x:c r="C383" s="35" t="n">
        <x:v>0.4850000000000004</x:v>
      </x:c>
      <x:c r="D383" s="50" t="n">
        <x:v>0.000003921085835950356</x:v>
      </x:c>
      <x:c r="E383" s="47" t="n">
        <x:f>LN(D383)/LN(10)</x:f>
        <x:v>-5.406593650515003</x:v>
      </x:c>
      <x:c r="F383" s="50" t="n">
        <x:v>0.0004019845680949</x:v>
      </x:c>
      <x:c r="G383" s="98" t="n">
        <x:f>D383/F383</x:f>
        <x:v>0.009754319312637571</x:v>
      </x:c>
      <x:c r="H383" s="26" t="str">
        <x:f>IF(G383&lt;=1%,"YES","NO")</x:f>
        <x:v>YES</x:v>
      </x:c>
      <x:c r="I383" s="26" t="str">
        <x:v>common_1v</x:v>
      </x:c>
      <x:c r="J383" s="27" t="str">
        <x:v>data/raw/ptm45_lp_vds_1v_raw.txt</x:v>
      </x:c>
    </x:row>
    <x:row r="384">
      <x:c r="A384" s="25" t="str">
        <x:v>LP</x:v>
      </x:c>
      <x:c r="B384" s="35" t="n">
        <x:v>1</x:v>
      </x:c>
      <x:c r="C384" s="35" t="n">
        <x:v>0.4900000000000004</x:v>
      </x:c>
      <x:c r="D384" s="50" t="n">
        <x:v>0.000004336020624975936</x:v>
      </x:c>
      <x:c r="E384" s="47" t="n">
        <x:f>LN(D384)/LN(10)</x:f>
        <x:v>-5.3629086606735585</x:v>
      </x:c>
      <x:c r="F384" s="50" t="n">
        <x:v>0.0004019845680949</x:v>
      </x:c>
      <x:c r="G384" s="98" t="n">
        <x:f>D384/F384</x:f>
        <x:v>0.010786535029255884</x:v>
      </x:c>
      <x:c r="H384" s="26" t="str">
        <x:f>IF(G384&lt;=1%,"YES","NO")</x:f>
        <x:v>NO</x:v>
      </x:c>
      <x:c r="I384" s="26" t="str">
        <x:v>common_1v</x:v>
      </x:c>
      <x:c r="J384" s="27" t="str">
        <x:v>data/raw/ptm45_lp_vds_1v_raw.txt</x:v>
      </x:c>
    </x:row>
    <x:row r="385">
      <x:c r="A385" s="25" t="str">
        <x:v>LP</x:v>
      </x:c>
      <x:c r="B385" s="35" t="n">
        <x:v>1</x:v>
      </x:c>
      <x:c r="C385" s="35" t="n">
        <x:v>0.4950000000000004</x:v>
      </x:c>
      <x:c r="D385" s="50" t="n">
        <x:v>0.000004790382934131968</x:v>
      </x:c>
      <x:c r="E385" s="47" t="n">
        <x:f>LN(D385)/LN(10)</x:f>
        <x:v>-5.319629768520057</x:v>
      </x:c>
      <x:c r="F385" s="50" t="n">
        <x:v>0.0004019845680949</x:v>
      </x:c>
      <x:c r="G385" s="98" t="n">
        <x:f>D385/F385</x:f>
        <x:v>0.011916832919320079</x:v>
      </x:c>
      <x:c r="H385" s="26" t="str">
        <x:f>IF(G385&lt;=1%,"YES","NO")</x:f>
        <x:v>NO</x:v>
      </x:c>
      <x:c r="I385" s="26" t="str">
        <x:v>common_1v</x:v>
      </x:c>
      <x:c r="J385" s="27" t="str">
        <x:v>data/raw/ptm45_lp_vds_1v_raw.txt</x:v>
      </x:c>
    </x:row>
    <x:row r="386">
      <x:c r="A386" s="25" t="str">
        <x:v>LP</x:v>
      </x:c>
      <x:c r="B386" s="35" t="n">
        <x:v>1</x:v>
      </x:c>
      <x:c r="C386" s="35" t="n">
        <x:v>0.5000000000000004</x:v>
      </x:c>
      <x:c r="D386" s="50" t="n">
        <x:v>0.000005287283322437928</x:v>
      </x:c>
      <x:c r="E386" s="47" t="n">
        <x:f>LN(D386)/LN(10)</x:f>
        <x:v>-5.276767417025453</x:v>
      </x:c>
      <x:c r="F386" s="50" t="n">
        <x:v>0.0004019845680949</x:v>
      </x:c>
      <x:c r="G386" s="98" t="n">
        <x:f>D386/F386</x:f>
        <x:v>0.01315295098887904</x:v>
      </x:c>
      <x:c r="H386" s="26" t="str">
        <x:f>IF(G386&lt;=1%,"YES","NO")</x:f>
        <x:v>NO</x:v>
      </x:c>
      <x:c r="I386" s="26" t="str">
        <x:v>common_1v</x:v>
      </x:c>
      <x:c r="J386" s="27" t="str">
        <x:v>data/raw/ptm45_lp_vds_1v_raw.txt</x:v>
      </x:c>
    </x:row>
    <x:row r="387">
      <x:c r="A387" s="25" t="str">
        <x:v>LP</x:v>
      </x:c>
      <x:c r="B387" s="35" t="n">
        <x:v>1</x:v>
      </x:c>
      <x:c r="C387" s="35" t="n">
        <x:v>0.5050000000000004</x:v>
      </x:c>
      <x:c r="D387" s="50" t="n">
        <x:v>0.000005829977124361596</x:v>
      </x:c>
      <x:c r="E387" s="47" t="n">
        <x:f>LN(D387)/LN(10)</x:f>
        <x:v>-5.234333149320405</x:v>
      </x:c>
      <x:c r="F387" s="50" t="n">
        <x:v>0.0004019845680949</x:v>
      </x:c>
      <x:c r="G387" s="98" t="n">
        <x:f>D387/F387</x:f>
        <x:v>0.014502987395738194</x:v>
      </x:c>
      <x:c r="H387" s="26" t="str">
        <x:f>IF(G387&lt;=1%,"YES","NO")</x:f>
        <x:v>NO</x:v>
      </x:c>
      <x:c r="I387" s="26" t="str">
        <x:v>common_1v</x:v>
      </x:c>
      <x:c r="J387" s="27" t="str">
        <x:v>data/raw/ptm45_lp_vds_1v_raw.txt</x:v>
      </x:c>
    </x:row>
    <x:row r="388">
      <x:c r="A388" s="25" t="str">
        <x:v>LP</x:v>
      </x:c>
      <x:c r="B388" s="35" t="n">
        <x:v>1</x:v>
      </x:c>
      <x:c r="C388" s="35" t="n">
        <x:v>0.5100000000000005</x:v>
      </x:c>
      <x:c r="D388" s="50" t="n">
        <x:v>0.000006421854124527282</x:v>
      </x:c>
      <x:c r="E388" s="47" t="n">
        <x:f>LN(D388)/LN(10)</x:f>
        <x:v>-5.1923395638633165</x:v>
      </x:c>
      <x:c r="F388" s="50" t="n">
        <x:v>0.0004019845680949</x:v>
      </x:c>
      <x:c r="G388" s="98" t="n">
        <x:f>D388/F388</x:f>
        <x:v>0.015975374763668088</x:v>
      </x:c>
      <x:c r="H388" s="26" t="str">
        <x:f>IF(G388&lt;=1%,"YES","NO")</x:f>
        <x:v>NO</x:v>
      </x:c>
      <x:c r="I388" s="26" t="str">
        <x:v>common_1v</x:v>
      </x:c>
      <x:c r="J388" s="27" t="str">
        <x:v>data/raw/ptm45_lp_vds_1v_raw.txt</x:v>
      </x:c>
    </x:row>
    <x:row r="389">
      <x:c r="A389" s="25" t="str">
        <x:v>LP</x:v>
      </x:c>
      <x:c r="B389" s="35" t="n">
        <x:v>1</x:v>
      </x:c>
      <x:c r="C389" s="35" t="n">
        <x:v>0.5150000000000005</x:v>
      </x:c>
      <x:c r="D389" s="50" t="n">
        <x:v>0.000007066425148395598</x:v>
      </x:c>
      <x:c r="E389" s="47" t="n">
        <x:f>LN(D389)/LN(10)</x:f>
        <x:v>-5.1508002369765045</x:v>
      </x:c>
      <x:c r="F389" s="50" t="n">
        <x:v>0.0004019845680949</x:v>
      </x:c>
      <x:c r="G389" s="98" t="n">
        <x:f>D389/F389</x:f>
        <x:v>0.01757884682460588</x:v>
      </x:c>
      <x:c r="H389" s="26" t="str">
        <x:f>IF(G389&lt;=1%,"YES","NO")</x:f>
        <x:v>NO</x:v>
      </x:c>
      <x:c r="I389" s="26" t="str">
        <x:v>common_1v</x:v>
      </x:c>
      <x:c r="J389" s="27" t="str">
        <x:v>data/raw/ptm45_lp_vds_1v_raw.txt</x:v>
      </x:c>
    </x:row>
    <x:row r="390">
      <x:c r="A390" s="25" t="str">
        <x:v>LP</x:v>
      </x:c>
      <x:c r="B390" s="35" t="n">
        <x:v>1</x:v>
      </x:c>
      <x:c r="C390" s="35" t="n">
        <x:v>0.5200000000000005</x:v>
      </x:c>
      <x:c r="D390" s="50" t="n">
        <x:v>0.000007767305482719421</x:v>
      </x:c>
      <x:c r="E390" s="47" t="n">
        <x:f>LN(D390)/LN(10)</x:f>
        <x:v>-5.109729614009823</x:v>
      </x:c>
      <x:c r="F390" s="50" t="n">
        <x:v>0.0004019845680949</x:v>
      </x:c>
      <x:c r="G390" s="98" t="n">
        <x:f>D390/F390</x:f>
        <x:v>0.019322397174425177</x:v>
      </x:c>
      <x:c r="H390" s="26" t="str">
        <x:f>IF(G390&lt;=1%,"YES","NO")</x:f>
        <x:v>NO</x:v>
      </x:c>
      <x:c r="I390" s="26" t="str">
        <x:v>common_1v</x:v>
      </x:c>
      <x:c r="J390" s="27" t="str">
        <x:v>data/raw/ptm45_lp_vds_1v_raw.txt</x:v>
      </x:c>
    </x:row>
    <x:row r="391">
      <x:c r="A391" s="25" t="str">
        <x:v>LP</x:v>
      </x:c>
      <x:c r="B391" s="35" t="n">
        <x:v>1</x:v>
      </x:c>
      <x:c r="C391" s="35" t="n">
        <x:v>0.5250000000000005</x:v>
      </x:c>
      <x:c r="D391" s="50" t="n">
        <x:v>0.000008528195124520029</x:v>
      </x:c>
      <x:c r="E391" s="47" t="n">
        <x:f>LN(D391)/LN(10)</x:f>
        <x:v>-5.069142871575842</x:v>
      </x:c>
      <x:c r="F391" s="50" t="n">
        <x:v>0.0004019845680949</x:v>
      </x:c>
      <x:c r="G391" s="98" t="n">
        <x:f>D391/F391</x:f>
        <x:v>0.02121523013914978</x:v>
      </x:c>
      <x:c r="H391" s="26" t="str">
        <x:f>IF(G391&lt;=1%,"YES","NO")</x:f>
        <x:v>NO</x:v>
      </x:c>
      <x:c r="I391" s="26" t="str">
        <x:v>common_1v</x:v>
      </x:c>
      <x:c r="J391" s="27" t="str">
        <x:v>data/raw/ptm45_lp_vds_1v_raw.txt</x:v>
      </x:c>
    </x:row>
    <x:row r="392">
      <x:c r="A392" s="25" t="str">
        <x:v>LP</x:v>
      </x:c>
      <x:c r="B392" s="35" t="n">
        <x:v>1</x:v>
      </x:c>
      <x:c r="C392" s="35" t="n">
        <x:v>0.5300000000000005</x:v>
      </x:c>
      <x:c r="D392" s="50" t="n">
        <x:v>0.000009352855952248095</x:v>
      </x:c>
      <x:c r="E392" s="47" t="n">
        <x:f>LN(D392)/LN(10)</x:f>
        <x:v>-5.029055754377502</x:v>
      </x:c>
      <x:c r="F392" s="50" t="n">
        <x:v>0.0004019845680949</x:v>
      </x:c>
      <x:c r="G392" s="98" t="n">
        <x:f>D392/F392</x:f>
        <x:v>0.023266703984616856</x:v>
      </x:c>
      <x:c r="H392" s="26" t="str">
        <x:f>IF(G392&lt;=1%,"YES","NO")</x:f>
        <x:v>NO</x:v>
      </x:c>
      <x:c r="I392" s="26" t="str">
        <x:v>common_1v</x:v>
      </x:c>
      <x:c r="J392" s="27" t="str">
        <x:v>data/raw/ptm45_lp_vds_1v_raw.txt</x:v>
      </x:c>
    </x:row>
    <x:row r="393">
      <x:c r="A393" s="25" t="str">
        <x:v>LP</x:v>
      </x:c>
      <x:c r="B393" s="35" t="n">
        <x:v>1</x:v>
      </x:c>
      <x:c r="C393" s="35" t="n">
        <x:v>0.5350000000000005</x:v>
      </x:c>
      <x:c r="D393" s="50" t="n">
        <x:v>0.00001024508601424879</x:v>
      </x:c>
      <x:c r="E393" s="47" t="n">
        <x:f>LN(D393)/LN(10)</x:f>
        <x:v>-4.989484391059095</x:v>
      </x:c>
      <x:c r="F393" s="50" t="n">
        <x:v>0.0004019845680949</x:v>
      </x:c>
      <x:c r="G393" s="98" t="n">
        <x:f>D393/F393</x:f>
        <x:v>0.025486266954979582</x:v>
      </x:c>
      <x:c r="H393" s="26" t="str">
        <x:f>IF(G393&lt;=1%,"YES","NO")</x:f>
        <x:v>NO</x:v>
      </x:c>
      <x:c r="I393" s="26" t="str">
        <x:v>common_1v</x:v>
      </x:c>
      <x:c r="J393" s="27" t="str">
        <x:v>data/raw/ptm45_lp_vds_1v_raw.txt</x:v>
      </x:c>
    </x:row>
    <x:row r="394">
      <x:c r="A394" s="25" t="str">
        <x:v>LP</x:v>
      </x:c>
      <x:c r="B394" s="35" t="n">
        <x:v>1</x:v>
      </x:c>
      <x:c r="C394" s="35" t="n">
        <x:v>0.5400000000000005</x:v>
      </x:c>
      <x:c r="D394" s="50" t="n">
        <x:v>0.00001120869123336195</x:v>
      </x:c>
      <x:c r="E394" s="47" t="n">
        <x:f>LN(D394)/LN(10)</x:f>
        <x:v>-4.95044509421246</x:v>
      </x:c>
      <x:c r="F394" s="50" t="n">
        <x:v>0.0004019845680949</x:v>
      </x:c>
      <x:c r="G394" s="98" t="n">
        <x:f>D394/F394</x:f>
        <x:v>0.02788338688343831</x:v>
      </x:c>
      <x:c r="H394" s="26" t="str">
        <x:f>IF(G394&lt;=1%,"YES","NO")</x:f>
        <x:v>NO</x:v>
      </x:c>
      <x:c r="I394" s="26" t="str">
        <x:v>common_1v</x:v>
      </x:c>
      <x:c r="J394" s="27" t="str">
        <x:v>data/raw/ptm45_lp_vds_1v_raw.txt</x:v>
      </x:c>
    </x:row>
    <x:row r="395">
      <x:c r="A395" s="25" t="str">
        <x:v>LP</x:v>
      </x:c>
      <x:c r="B395" s="35" t="n">
        <x:v>1</x:v>
      </x:c>
      <x:c r="C395" s="35" t="n">
        <x:v>0.5450000000000005</x:v>
      </x:c>
      <x:c r="D395" s="50" t="n">
        <x:v>0.00001224745492774779</x:v>
      </x:c>
      <x:c r="E395" s="47" t="n">
        <x:f>LN(D395)/LN(10)</x:f>
        <x:v>-4.911954150129761</x:v>
      </x:c>
      <x:c r="F395" s="50" t="n">
        <x:v>0.0004019845680949</x:v>
      </x:c>
      <x:c r="G395" s="98" t="n">
        <x:f>D395/F395</x:f>
        <x:v>0.03046747537048842</x:v>
      </x:c>
      <x:c r="H395" s="26" t="str">
        <x:f>IF(G395&lt;=1%,"YES","NO")</x:f>
        <x:v>NO</x:v>
      </x:c>
      <x:c r="I395" s="26" t="str">
        <x:v>common_1v</x:v>
      </x:c>
      <x:c r="J395" s="27" t="str">
        <x:v>data/raw/ptm45_lp_vds_1v_raw.txt</x:v>
      </x:c>
    </x:row>
    <x:row r="396">
      <x:c r="A396" s="25" t="str">
        <x:v>LP</x:v>
      </x:c>
      <x:c r="B396" s="35" t="n">
        <x:v>1</x:v>
      </x:c>
      <x:c r="C396" s="35" t="n">
        <x:v>0.5500000000000005</x:v>
      </x:c>
      <x:c r="D396" s="50" t="n">
        <x:v>0.00001336510564176209</x:v>
      </x:c>
      <x:c r="E396" s="47" t="n">
        <x:f>LN(D396)/LN(10)</x:f>
        <x:v>-4.874027604101382</x:v>
      </x:c>
      <x:c r="F396" s="50" t="n">
        <x:v>0.0004019845680949</x:v>
      </x:c>
      <x:c r="G396" s="98" t="n">
        <x:f>D396/F396</x:f>
        <x:v>0.03324780775814975</x:v>
      </x:c>
      <x:c r="H396" s="26" t="str">
        <x:f>IF(G396&lt;=1%,"YES","NO")</x:f>
        <x:v>NO</x:v>
      </x:c>
      <x:c r="I396" s="26" t="str">
        <x:v>common_1v</x:v>
      </x:c>
      <x:c r="J396" s="27" t="str">
        <x:v>data/raw/ptm45_lp_vds_1v_raw.txt</x:v>
      </x:c>
    </x:row>
    <x:row r="397">
      <x:c r="A397" s="25" t="str">
        <x:v>LP</x:v>
      </x:c>
      <x:c r="B397" s="35" t="n">
        <x:v>1</x:v>
      </x:c>
      <x:c r="C397" s="35" t="n">
        <x:v>0.5550000000000005</x:v>
      </x:c>
      <x:c r="D397" s="50" t="n">
        <x:v>0.00001456528386198085</x:v>
      </x:c>
      <x:c r="E397" s="47" t="n">
        <x:f>LN(D397)/LN(10)</x:f>
        <x:v>-4.836681047013615</x:v>
      </x:c>
      <x:c r="F397" s="50" t="n">
        <x:v>0.0004019845680949</x:v>
      </x:c>
      <x:c r="G397" s="98" t="n">
        <x:f>D397/F397</x:f>
        <x:v>0.03623344033082956</x:v>
      </x:c>
      <x:c r="H397" s="26" t="str">
        <x:f>IF(G397&lt;=1%,"YES","NO")</x:f>
        <x:v>NO</x:v>
      </x:c>
      <x:c r="I397" s="26" t="str">
        <x:v>common_1v</x:v>
      </x:c>
      <x:c r="J397" s="27" t="str">
        <x:v>data/raw/ptm45_lp_vds_1v_raw.txt</x:v>
      </x:c>
    </x:row>
    <x:row r="398">
      <x:c r="A398" s="25" t="str">
        <x:v>LP</x:v>
      </x:c>
      <x:c r="B398" s="35" t="n">
        <x:v>1</x:v>
      </x:c>
      <x:c r="C398" s="35" t="n">
        <x:v>0.5600000000000005</x:v>
      </x:c>
      <x:c r="D398" s="50" t="n">
        <x:v>0.00001585150825770279</x:v>
      </x:c>
      <x:c r="E398" s="47" t="n">
        <x:f>LN(D398)/LN(10)</x:f>
        <x:v>-4.799929408724845</x:v>
      </x:c>
      <x:c r="F398" s="50" t="n">
        <x:v>0.0004019845680949</x:v>
      </x:c>
      <x:c r="G398" s="98" t="n">
        <x:f>D398/F398</x:f>
        <x:v>0.039433126333249156</x:v>
      </x:c>
      <x:c r="H398" s="26" t="str">
        <x:f>IF(G398&lt;=1%,"YES","NO")</x:f>
        <x:v>NO</x:v>
      </x:c>
      <x:c r="I398" s="26" t="str">
        <x:v>common_1v</x:v>
      </x:c>
      <x:c r="J398" s="27" t="str">
        <x:v>data/raw/ptm45_lp_vds_1v_raw.txt</x:v>
      </x:c>
    </x:row>
    <x:row r="399">
      <x:c r="A399" s="25" t="str">
        <x:v>LP</x:v>
      </x:c>
      <x:c r="B399" s="35" t="n">
        <x:v>1</x:v>
      </x:c>
      <x:c r="C399" s="35" t="n">
        <x:v>0.5650000000000005</x:v>
      </x:c>
      <x:c r="D399" s="50" t="n">
        <x:v>0.00001722714212860912</x:v>
      </x:c>
      <x:c r="E399" s="47" t="n">
        <x:f>LN(D399)/LN(10)</x:f>
        <x:v>-4.763786763220536</x:v>
      </x:c>
      <x:c r="F399" s="50" t="n">
        <x:v>0.0004019845680949</x:v>
      </x:c>
      <x:c r="G399" s="98" t="n">
        <x:f>D399/F399</x:f>
        <x:v>0.042855232503706854</x:v>
      </x:c>
      <x:c r="H399" s="26" t="str">
        <x:f>IF(G399&lt;=1%,"YES","NO")</x:f>
        <x:v>NO</x:v>
      </x:c>
      <x:c r="I399" s="26" t="str">
        <x:v>common_1v</x:v>
      </x:c>
      <x:c r="J399" s="27" t="str">
        <x:v>data/raw/ptm45_lp_vds_1v_raw.txt</x:v>
      </x:c>
    </x:row>
    <x:row r="400">
      <x:c r="A400" s="25" t="str">
        <x:v>LP</x:v>
      </x:c>
      <x:c r="B400" s="35" t="n">
        <x:v>1</x:v>
      </x:c>
      <x:c r="C400" s="35" t="n">
        <x:v>0.5700000000000005</x:v>
      </x:c>
      <x:c r="D400" s="50" t="n">
        <x:v>0.00001869536076189657</x:v>
      </x:c>
      <x:c r="E400" s="47" t="n">
        <x:f>LN(D400)/LN(10)</x:f>
        <x:v>-4.728266149905896</x:v>
      </x:c>
      <x:c r="F400" s="50" t="n">
        <x:v>0.0004019845680949</x:v>
      </x:c>
      <x:c r="G400" s="98" t="n">
        <x:f>D400/F400</x:f>
        <x:v>0.0465076578697991</x:v>
      </x:c>
      <x:c r="H400" s="26" t="str">
        <x:f>IF(G400&lt;=1%,"YES","NO")</x:f>
        <x:v>NO</x:v>
      </x:c>
      <x:c r="I400" s="26" t="str">
        <x:v>common_1v</x:v>
      </x:c>
      <x:c r="J400" s="27" t="str">
        <x:v>data/raw/ptm45_lp_vds_1v_raw.txt</x:v>
      </x:c>
    </x:row>
    <x:row r="401">
      <x:c r="A401" s="25" t="str">
        <x:v>LP</x:v>
      </x:c>
      <x:c r="B401" s="35" t="n">
        <x:v>1</x:v>
      </x:c>
      <x:c r="C401" s="35" t="n">
        <x:v>0.5750000000000005</x:v>
      </x:c>
      <x:c r="D401" s="50" t="n">
        <x:v>0.00002025912039554523</x:v>
      </x:c>
      <x:c r="E401" s="47" t="n">
        <x:f>LN(D401)/LN(10)</x:f>
        <x:v>-4.693379414634859</x:v>
      </x:c>
      <x:c r="F401" s="50" t="n">
        <x:v>0.0004019845680949</x:v>
      </x:c>
      <x:c r="G401" s="98" t="n">
        <x:f>D401/F401</x:f>
        <x:v>0.05039775653965523</x:v>
      </x:c>
      <x:c r="H401" s="26" t="str">
        <x:f>IF(G401&lt;=1%,"YES","NO")</x:f>
        <x:v>NO</x:v>
      </x:c>
      <x:c r="I401" s="26" t="str">
        <x:v>common_1v</x:v>
      </x:c>
      <x:c r="J401" s="27" t="str">
        <x:v>data/raw/ptm45_lp_vds_1v_raw.txt</x:v>
      </x:c>
    </x:row>
    <x:row r="402">
      <x:c r="A402" s="25" t="str">
        <x:v>LP</x:v>
      </x:c>
      <x:c r="B402" s="35" t="n">
        <x:v>1</x:v>
      </x:c>
      <x:c r="C402" s="35" t="n">
        <x:v>0.5800000000000005</x:v>
      </x:c>
      <x:c r="D402" s="50" t="n">
        <x:v>0.00002192112945321904</x:v>
      </x:c>
      <x:c r="E402" s="47" t="n">
        <x:f>LN(D402)/LN(10)</x:f>
        <x:v>-4.659137073241324</x:v>
      </x:c>
      <x:c r="F402" s="50" t="n">
        <x:v>0.0004019845680949</x:v>
      </x:c>
      <x:c r="G402" s="98" t="n">
        <x:f>D402/F402</x:f>
        <x:v>0.054532266144216586</x:v>
      </x:c>
      <x:c r="H402" s="26" t="str">
        <x:f>IF(G402&lt;=1%,"YES","NO")</x:f>
        <x:v>NO</x:v>
      </x:c>
      <x:c r="I402" s="26" t="str">
        <x:v>common_1v</x:v>
      </x:c>
      <x:c r="J402" s="27" t="str">
        <x:v>data/raw/ptm45_lp_vds_1v_raw.txt</x:v>
      </x:c>
    </x:row>
    <x:row r="403">
      <x:c r="A403" s="25" t="str">
        <x:v>LP</x:v>
      </x:c>
      <x:c r="B403" s="35" t="n">
        <x:v>1</x:v>
      </x:c>
      <x:c r="C403" s="35" t="n">
        <x:v>0.5850000000000005</x:v>
      </x:c>
      <x:c r="D403" s="50" t="n">
        <x:v>0.00002368382266081207</x:v>
      </x:c>
      <x:c r="E403" s="47" t="n">
        <x:f>LN(D403)/LN(10)</x:f>
        <x:v>-4.625548199478193</x:v>
      </x:c>
      <x:c r="F403" s="50" t="n">
        <x:v>0.0004019845680949</x:v>
      </x:c>
      <x:c r="G403" s="98" t="n">
        <x:f>D403/F403</x:f>
        <x:v>0.05891724344806397</x:v>
      </x:c>
      <x:c r="H403" s="26" t="str">
        <x:f>IF(G403&lt;=1%,"YES","NO")</x:f>
        <x:v>NO</x:v>
      </x:c>
      <x:c r="I403" s="26" t="str">
        <x:v>common_1v</x:v>
      </x:c>
      <x:c r="J403" s="27" t="str">
        <x:v>data/raw/ptm45_lp_vds_1v_raw.txt</x:v>
      </x:c>
    </x:row>
    <x:row r="404">
      <x:c r="A404" s="25" t="str">
        <x:v>LP</x:v>
      </x:c>
      <x:c r="B404" s="35" t="n">
        <x:v>1</x:v>
      </x:c>
      <x:c r="C404" s="35" t="n">
        <x:v>0.5900000000000005</x:v>
      </x:c>
      <x:c r="D404" s="50" t="n">
        <x:v>0.00002554933857736896</x:v>
      </x:c>
      <x:c r="E404" s="47" t="n">
        <x:f>LN(D404)/LN(10)</x:f>
        <x:v>-4.592620338422303</x:v>
      </x:c>
      <x:c r="F404" s="50" t="n">
        <x:v>0.0004019845680949</x:v>
      </x:c>
      <x:c r="G404" s="98" t="n">
        <x:f>D404/F404</x:f>
        <x:v>0.06355800845403922</x:v>
      </x:c>
      <x:c r="H404" s="26" t="str">
        <x:f>IF(G404&lt;=1%,"YES","NO")</x:f>
        <x:v>NO</x:v>
      </x:c>
      <x:c r="I404" s="26" t="str">
        <x:v>common_1v</x:v>
      </x:c>
      <x:c r="J404" s="27" t="str">
        <x:v>data/raw/ptm45_lp_vds_1v_raw.txt</x:v>
      </x:c>
    </x:row>
    <x:row r="405">
      <x:c r="A405" s="25" t="str">
        <x:v>LP</x:v>
      </x:c>
      <x:c r="B405" s="35" t="n">
        <x:v>1</x:v>
      </x:c>
      <x:c r="C405" s="35" t="n">
        <x:v>0.5950000000000005</x:v>
      </x:c>
      <x:c r="D405" s="50" t="n">
        <x:v>0.00002751950097767965</x:v>
      </x:c>
      <x:c r="E405" s="47" t="n">
        <x:f>LN(D405)/LN(10)</x:f>
        <x:v>-4.56035944560386</x:v>
      </x:c>
      <x:c r="F405" s="50" t="n">
        <x:v>0.0004019845680949</x:v>
      </x:c>
      <x:c r="G405" s="98" t="n">
        <x:f>D405/F405</x:f>
        <x:v>0.06845909808951393</x:v>
      </x:c>
      <x:c r="H405" s="26" t="str">
        <x:f>IF(G405&lt;=1%,"YES","NO")</x:f>
        <x:v>NO</x:v>
      </x:c>
      <x:c r="I405" s="26" t="str">
        <x:v>common_1v</x:v>
      </x:c>
      <x:c r="J405" s="27" t="str">
        <x:v>data/raw/ptm45_lp_vds_1v_raw.txt</x:v>
      </x:c>
    </x:row>
    <x:row r="406">
      <x:c r="A406" s="28" t="str">
        <x:v>LP</x:v>
      </x:c>
      <x:c r="B406" s="36" t="n">
        <x:v>1</x:v>
      </x:c>
      <x:c r="C406" s="36" t="n">
        <x:v>0.6000000000000005</x:v>
      </x:c>
      <x:c r="D406" s="51" t="n">
        <x:v>0.00002959580441483823</x:v>
      </x:c>
      <x:c r="E406" s="48" t="n">
        <x:f>LN(D406)/LN(10)</x:f>
        <x:v>-4.528769851394859</x:v>
      </x:c>
      <x:c r="F406" s="51" t="n">
        <x:v>0.0004019845680949</x:v>
      </x:c>
      <x:c r="G406" s="99" t="n">
        <x:f>D406/F406</x:f>
        <x:v>0.07362423029097796</x:v>
      </x:c>
      <x:c r="H406" s="29" t="str">
        <x:f>IF(G406&lt;=1%,"YES","NO")</x:f>
        <x:v>NO</x:v>
      </x:c>
      <x:c r="I406" s="29" t="str">
        <x:v>common_1v</x:v>
      </x:c>
      <x:c r="J406" s="30" t="str">
        <x:v>data/raw/ptm45_lp_vds_1v_raw.txt</x:v>
      </x:c>
    </x:row>
    <x:row r="407">
      <x:c r="A407" t="str">
        <x:v>LP</x:v>
      </x:c>
      <x:c r="B407" t="n">
        <x:v>1</x:v>
      </x:c>
      <x:c r="C407" t="n">
        <x:v>0.6050000000000005</x:v>
      </x:c>
      <x:c r="D407" t="n">
        <x:v>0.00003177940417358866</x:v>
      </x:c>
      <x:c r="E407" t="n">
        <x:f>LN(D407)/LN(10)</x:f>
        <x:v>-4.497854249562509</x:v>
      </x:c>
      <x:c r="F407" t="n">
        <x:v>0.0004019845680949</x:v>
      </x:c>
      <x:c r="G407" t="n">
        <x:f>D407/F407</x:f>
        <x:v>0.0790562790114028</x:v>
      </x:c>
      <x:c r="H407" t="str">
        <x:f>IF(G407&lt;=1%,"YES","NO")</x:f>
        <x:v>NO</x:v>
      </x:c>
      <x:c r="I407" t="str">
        <x:v>common_1v</x:v>
      </x:c>
      <x:c r="J407" t="str">
        <x:v>data/raw/ptm45_lp_vds_1v_raw.txt</x:v>
      </x:c>
    </x:row>
    <x:row r="408">
      <x:c r="A408" t="str">
        <x:v>LP</x:v>
      </x:c>
      <x:c r="B408" t="n">
        <x:v>1</x:v>
      </x:c>
      <x:c r="C408" t="n">
        <x:v>0.6100000000000005</x:v>
      </x:c>
      <x:c r="D408" t="n">
        <x:v>0.00003407111070470726</x:v>
      </x:c>
      <x:c r="E408" t="n">
        <x:f>LN(D408)/LN(10)</x:f>
        <x:v>-4.46761370837334</x:v>
      </x:c>
      <x:c r="F408" t="n">
        <x:v>0.0004019845680949</x:v>
      </x:c>
      <x:c r="G408" t="n">
        <x:f>D408/F408</x:f>
        <x:v>0.08475726037489031</x:v>
      </x:c>
      <x:c r="H408" t="str">
        <x:f>IF(G408&lt;=1%,"YES","NO")</x:f>
        <x:v>NO</x:v>
      </x:c>
      <x:c r="I408" t="str">
        <x:v>common_1v</x:v>
      </x:c>
      <x:c r="J408" t="str">
        <x:v>data/raw/ptm45_lp_vds_1v_raw.txt</x:v>
      </x:c>
    </x:row>
    <x:row r="409">
      <x:c r="A409" t="str">
        <x:v>LP</x:v>
      </x:c>
      <x:c r="B409" t="n">
        <x:v>1</x:v>
      </x:c>
      <x:c r="C409" t="n">
        <x:v>0.6150000000000005</x:v>
      </x:c>
      <x:c r="D409" t="n">
        <x:v>0.00003647138851222661</x:v>
      </x:c>
      <x:c r="E409" t="n">
        <x:f>LN(D409)/LN(10)</x:f>
        <x:v>-4.438047702227239</x:v>
      </x:c>
      <x:c r="F409" t="n">
        <x:v>0.0004019845680949</x:v>
      </x:c>
      <x:c r="G409" t="n">
        <x:f>D409/F409</x:f>
        <x:v>0.09072832990846677</x:v>
      </x:c>
      <x:c r="H409" t="str">
        <x:f>IF(G409&lt;=1%,"YES","NO")</x:f>
        <x:v>NO</x:v>
      </x:c>
      <x:c r="I409" t="str">
        <x:v>common_1v</x:v>
      </x:c>
      <x:c r="J409" t="str">
        <x:v>data/raw/ptm45_lp_vds_1v_raw.txt</x:v>
      </x:c>
    </x:row>
    <x:row r="410">
      <x:c r="A410" t="str">
        <x:v>LP</x:v>
      </x:c>
      <x:c r="B410" t="n">
        <x:v>1</x:v>
      </x:c>
      <x:c r="C410" t="n">
        <x:v>0.6200000000000006</x:v>
      </x:c>
      <x:c r="D410" t="n">
        <x:v>0.00003898035935380108</x:v>
      </x:c>
      <x:c r="E410" t="n">
        <x:f>LN(D410)/LN(10)</x:f>
        <x:v>-4.40915416150743</x:v>
      </x:c>
      <x:c r="F410" t="n">
        <x:v>0.0004019845680949</x:v>
      </x:c>
      <x:c r="G410" t="n">
        <x:f>D410/F410</x:f>
        <x:v>0.09696979050349676</x:v>
      </x:c>
      <x:c r="H410" t="str">
        <x:f>IF(G410&lt;=1%,"YES","NO")</x:f>
        <x:v>NO</x:v>
      </x:c>
      <x:c r="I410" t="str">
        <x:v>common_1v</x:v>
      </x:c>
      <x:c r="J410" t="str">
        <x:v>data/raw/ptm45_lp_vds_1v_raw.txt</x:v>
      </x:c>
    </x:row>
    <x:row r="411">
      <x:c r="A411" t="str">
        <x:v>LP</x:v>
      </x:c>
      <x:c r="B411" t="n">
        <x:v>1</x:v>
      </x:c>
      <x:c r="C411" t="n">
        <x:v>0.6250000000000006</x:v>
      </x:c>
      <x:c r="D411" t="n">
        <x:v>0.00004159780951409044</x:v>
      </x:c>
      <x:c r="E411" t="n">
        <x:f>LN(D411)/LN(10)</x:f>
        <x:v>-4.380929538147062</x:v>
      </x:c>
      <x:c r="F411" t="n">
        <x:v>0.0004019845680949</x:v>
      </x:c>
      <x:c r="G411" t="n">
        <x:f>D411/F411</x:f>
        <x:v>0.1034811105093718</x:v>
      </x:c>
      <x:c r="H411" t="str">
        <x:f>IF(G411&lt;=1%,"YES","NO")</x:f>
        <x:v>NO</x:v>
      </x:c>
      <x:c r="I411" t="str">
        <x:v>common_1v</x:v>
      </x:c>
      <x:c r="J411" t="str">
        <x:v>data/raw/ptm45_lp_vds_1v_raw.txt</x:v>
      </x:c>
    </x:row>
    <x:row r="412">
      <x:c r="A412" t="str">
        <x:v>LP</x:v>
      </x:c>
      <x:c r="B412" t="n">
        <x:v>1</x:v>
      </x:c>
      <x:c r="C412" t="n">
        <x:v>0.6300000000000006</x:v>
      </x:c>
      <x:c r="D412" t="n">
        <x:v>0.00004432320082488004</x:v>
      </x:c>
      <x:c r="E412" t="n">
        <x:f>LN(D412)/LN(10)</x:f>
        <x:v>-4.353368884326822</x:v>
      </x:c>
      <x:c r="F412" t="n">
        <x:v>0.0004019845680949</x:v>
      </x:c>
      <x:c r="G412" t="n">
        <x:f>D412/F412</x:f>
        <x:v>0.11026095114779699</x:v>
      </x:c>
      <x:c r="H412" t="str">
        <x:f>IF(G412&lt;=1%,"YES","NO")</x:f>
        <x:v>NO</x:v>
      </x:c>
      <x:c r="I412" t="str">
        <x:v>common_1v</x:v>
      </x:c>
      <x:c r="J412" t="str">
        <x:v>data/raw/ptm45_lp_vds_1v_raw.txt</x:v>
      </x:c>
    </x:row>
    <x:row r="413">
      <x:c r="A413" t="str">
        <x:v>LP</x:v>
      </x:c>
      <x:c r="B413" t="n">
        <x:v>1</x:v>
      </x:c>
      <x:c r="C413" t="n">
        <x:v>0.6350000000000006</x:v>
      </x:c>
      <x:c r="D413" t="n">
        <x:v>0.00004715568503611357</x:v>
      </x:c>
      <x:c r="E413" t="n">
        <x:f>LN(D413)/LN(10)</x:f>
        <x:v>-4.326465941718193</x:v>
      </x:c>
      <x:c r="F413" t="n">
        <x:v>0.0004019845680949</x:v>
      </x:c>
      <x:c r="G413" t="n">
        <x:f>D413/F413</x:f>
        <x:v>0.11730720226300109</x:v>
      </x:c>
      <x:c r="H413" t="str">
        <x:f>IF(G413&lt;=1%,"YES","NO")</x:f>
        <x:v>NO</x:v>
      </x:c>
      <x:c r="I413" t="str">
        <x:v>common_1v</x:v>
      </x:c>
      <x:c r="J413" t="str">
        <x:v>data/raw/ptm45_lp_vds_1v_raw.txt</x:v>
      </x:c>
    </x:row>
    <x:row r="414">
      <x:c r="A414" t="str">
        <x:v>LP</x:v>
      </x:c>
      <x:c r="B414" t="n">
        <x:v>1</x:v>
      </x:c>
      <x:c r="C414" t="n">
        <x:v>0.6400000000000006</x:v>
      </x:c>
      <x:c r="D414" t="n">
        <x:v>0.0000500941210902771</x:v>
      </x:c>
      <x:c r="E414" t="n">
        <x:f>LN(D414)/LN(10)</x:f>
        <x:v>-4.300213238760766</x:v>
      </x:c>
      <x:c r="F414" t="n">
        <x:v>0.0004019845680949</x:v>
      </x:c>
      <x:c r="G414" t="n">
        <x:f>D414/F414</x:f>
        <x:v>0.12461702529449077</x:v>
      </x:c>
      <x:c r="H414" t="str">
        <x:f>IF(G414&lt;=1%,"YES","NO")</x:f>
        <x:v>NO</x:v>
      </x:c>
      <x:c r="I414" t="str">
        <x:v>common_1v</x:v>
      </x:c>
      <x:c r="J414" t="str">
        <x:v>data/raw/ptm45_lp_vds_1v_raw.txt</x:v>
      </x:c>
    </x:row>
    <x:row r="415">
      <x:c r="A415" t="str">
        <x:v>LP</x:v>
      </x:c>
      <x:c r="B415" t="n">
        <x:v>1</x:v>
      </x:c>
      <x:c r="C415" t="n">
        <x:v>0.6450000000000006</x:v>
      </x:c>
      <x:c r="D415" t="n">
        <x:v>0.00005308508338191492</x:v>
      </x:c>
      <x:c r="E415" t="n">
        <x:f>LN(D415)/LN(10)</x:f>
        <x:v>-4.275027496150317</x:v>
      </x:c>
      <x:c r="F415" t="n">
        <x:v>0.0004019845680949</x:v>
      </x:c>
      <x:c r="G415" t="n">
        <x:f>D415/F415</x:f>
        <x:v>0.13205751562428802</x:v>
      </x:c>
      <x:c r="H415" t="str">
        <x:f>IF(G415&lt;=1%,"YES","NO")</x:f>
        <x:v>NO</x:v>
      </x:c>
      <x:c r="I415" t="str">
        <x:v>common_1v</x:v>
      </x:c>
      <x:c r="J415" t="str">
        <x:v>data/raw/ptm45_lp_vds_1v_raw.txt</x:v>
      </x:c>
    </x:row>
    <x:row r="416">
      <x:c r="A416" t="str">
        <x:v>LP</x:v>
      </x:c>
      <x:c r="B416" t="n">
        <x:v>1</x:v>
      </x:c>
      <x:c r="C416" t="n">
        <x:v>0.6500000000000006</x:v>
      </x:c>
      <x:c r="D416" t="n">
        <x:v>0.00005623180198962222</x:v>
      </x:c>
      <x:c r="E416" t="n">
        <x:f>LN(D416)/LN(10)</x:f>
        <x:v>-4.250017998980196</x:v>
      </x:c>
      <x:c r="F416" t="n">
        <x:v>0.0004019845680949</x:v>
      </x:c>
      <x:c r="G416" t="n">
        <x:f>D416/F416</x:f>
        <x:v>0.1398854743507146</x:v>
      </x:c>
      <x:c r="H416" t="str">
        <x:f>IF(G416&lt;=1%,"YES","NO")</x:f>
        <x:v>NO</x:v>
      </x:c>
      <x:c r="I416" t="str">
        <x:v>common_1v</x:v>
      </x:c>
      <x:c r="J416" t="str">
        <x:v>data/raw/ptm45_lp_vds_1v_raw.txt</x:v>
      </x:c>
    </x:row>
    <x:row r="417">
      <x:c r="A417" t="str">
        <x:v>LP</x:v>
      </x:c>
      <x:c r="B417" t="n">
        <x:v>1</x:v>
      </x:c>
      <x:c r="C417" t="n">
        <x:v>0.6550000000000006</x:v>
      </x:c>
      <x:c r="D417" t="n">
        <x:v>0.00005947960879957343</x:v>
      </x:c>
      <x:c r="E417" t="n">
        <x:f>LN(D417)/LN(10)</x:f>
        <x:v>-4.22563189651769</x:v>
      </x:c>
      <x:c r="F417" t="n">
        <x:v>0.0004019845680949</x:v>
      </x:c>
      <x:c r="G417" t="n">
        <x:f>D417/F417</x:f>
        <x:v>0.14796490592029782</x:v>
      </x:c>
      <x:c r="H417" t="str">
        <x:f>IF(G417&lt;=1%,"YES","NO")</x:f>
        <x:v>NO</x:v>
      </x:c>
      <x:c r="I417" t="str">
        <x:v>common_1v</x:v>
      </x:c>
      <x:c r="J417" t="str">
        <x:v>data/raw/ptm45_lp_vds_1v_raw.txt</x:v>
      </x:c>
    </x:row>
    <x:row r="418">
      <x:c r="A418" t="str">
        <x:v>LP</x:v>
      </x:c>
      <x:c r="B418" t="n">
        <x:v>1</x:v>
      </x:c>
      <x:c r="C418" t="n">
        <x:v>0.6600000000000006</x:v>
      </x:c>
      <x:c r="D418" t="n">
        <x:v>0.00006282639315113668</x:v>
      </x:c>
      <x:c r="E418" t="n">
        <x:f>LN(D418)/LN(10)</x:f>
        <x:v>-4.201857872315285</x:v>
      </x:c>
      <x:c r="F418" t="n">
        <x:v>0.0004019845680949</x:v>
      </x:c>
      <x:c r="G418" t="n">
        <x:f>D418/F418</x:f>
        <x:v>0.15629055973189676</x:v>
      </x:c>
      <x:c r="H418" t="str">
        <x:f>IF(G418&lt;=1%,"YES","NO")</x:f>
        <x:v>NO</x:v>
      </x:c>
      <x:c r="I418" t="str">
        <x:v>common_1v</x:v>
      </x:c>
      <x:c r="J418" t="str">
        <x:v>data/raw/ptm45_lp_vds_1v_raw.txt</x:v>
      </x:c>
    </x:row>
    <x:row r="419">
      <x:c r="A419" t="str">
        <x:v>LP</x:v>
      </x:c>
      <x:c r="B419" t="n">
        <x:v>1</x:v>
      </x:c>
      <x:c r="C419" t="n">
        <x:v>0.6650000000000006</x:v>
      </x:c>
      <x:c r="D419" t="n">
        <x:v>0.00006626986424818673</x:v>
      </x:c>
      <x:c r="E419" t="n">
        <x:f>LN(D419)/LN(10)</x:f>
        <x:v>-4.178683919047106</x:v>
      </x:c>
      <x:c r="F419" t="n">
        <x:v>0.0004019845680949</x:v>
      </x:c>
      <x:c r="G419" t="n">
        <x:f>D419/F419</x:f>
        <x:v>0.16485673706892606</x:v>
      </x:c>
      <x:c r="H419" t="str">
        <x:f>IF(G419&lt;=1%,"YES","NO")</x:f>
        <x:v>NO</x:v>
      </x:c>
      <x:c r="I419" t="str">
        <x:v>common_1v</x:v>
      </x:c>
      <x:c r="J419" t="str">
        <x:v>data/raw/ptm45_lp_vds_1v_raw.txt</x:v>
      </x:c>
    </x:row>
    <x:row r="420">
      <x:c r="A420" t="str">
        <x:v>LP</x:v>
      </x:c>
      <x:c r="B420" t="n">
        <x:v>1</x:v>
      </x:c>
      <x:c r="C420" t="n">
        <x:v>0.6700000000000006</x:v>
      </x:c>
      <x:c r="D420" t="n">
        <x:v>0.00006980757591291327</x:v>
      </x:c>
      <x:c r="E420" t="n">
        <x:f>LN(D420)/LN(10)</x:f>
        <x:v>-4.1560974427259385</x:v>
      </x:c>
      <x:c r="F420" t="n">
        <x:v>0.0004019845680949</x:v>
      </x:c>
      <x:c r="G420" t="n">
        <x:f>D420/F420</x:f>
        <x:v>0.17365735267835752</x:v>
      </x:c>
      <x:c r="H420" t="str">
        <x:f>IF(G420&lt;=1%,"YES","NO")</x:f>
        <x:v>NO</x:v>
      </x:c>
      <x:c r="I420" t="str">
        <x:v>common_1v</x:v>
      </x:c>
      <x:c r="J420" t="str">
        <x:v>data/raw/ptm45_lp_vds_1v_raw.txt</x:v>
      </x:c>
    </x:row>
    <x:row r="421">
      <x:c r="A421" t="str">
        <x:v>LP</x:v>
      </x:c>
      <x:c r="B421" t="n">
        <x:v>1</x:v>
      </x:c>
      <x:c r="C421" t="n">
        <x:v>0.6750000000000006</x:v>
      </x:c>
      <x:c r="D421" t="n">
        <x:v>0.0000734369510080869</x:v>
      </x:c>
      <x:c r="E421" t="n">
        <x:f>LN(D421)/LN(10)</x:f>
        <x:v>-4.134085362687143</x:v>
      </x:c>
      <x:c r="F421" t="n">
        <x:v>0.0004019845680949</x:v>
      </x:c>
      <x:c r="G421" t="n">
        <x:f>D421/F421</x:f>
        <x:v>0.18268599552495757</x:v>
      </x:c>
      <x:c r="H421" t="str">
        <x:f>IF(G421&lt;=1%,"YES","NO")</x:f>
        <x:v>NO</x:v>
      </x:c>
      <x:c r="I421" t="str">
        <x:v>common_1v</x:v>
      </x:c>
      <x:c r="J421" t="str">
        <x:v>data/raw/ptm45_lp_vds_1v_raw.txt</x:v>
      </x:c>
    </x:row>
    <x:row r="422">
      <x:c r="A422" t="str">
        <x:v>LP</x:v>
      </x:c>
      <x:c r="B422" t="n">
        <x:v>1</x:v>
      </x:c>
      <x:c r="C422" t="n">
        <x:v>0.6800000000000006</x:v>
      </x:c>
      <x:c r="D422" t="n">
        <x:v>0.00007715530521942579</x:v>
      </x:c>
      <x:c r="E422" t="n">
        <x:f>LN(D422)/LN(10)</x:f>
        <x:v>-4.11263420636937</x:v>
      </x:c>
      <x:c r="F422" t="n">
        <x:v>0.0004019845680949</x:v>
      </x:c>
      <x:c r="G422" t="n">
        <x:f>D422/F422</x:f>
        <x:v>0.19193598795367453</x:v>
      </x:c>
      <x:c r="H422" t="str">
        <x:f>IF(G422&lt;=1%,"YES","NO")</x:f>
        <x:v>NO</x:v>
      </x:c>
      <x:c r="I422" t="str">
        <x:v>common_1v</x:v>
      </x:c>
      <x:c r="J422" t="str">
        <x:v>data/raw/ptm45_lp_vds_1v_raw.txt</x:v>
      </x:c>
    </x:row>
    <x:row r="423">
      <x:c r="A423" t="str">
        <x:v>LP</x:v>
      </x:c>
      <x:c r="B423" t="n">
        <x:v>1</x:v>
      </x:c>
      <x:c r="C423" t="n">
        <x:v>0.6850000000000006</x:v>
      </x:c>
      <x:c r="D423" t="n">
        <x:v>0.00008095986979910509</x:v>
      </x:c>
      <x:c r="E423" t="n">
        <x:f>LN(D423)/LN(10)</x:f>
        <x:v>-4.09173019894271</x:v>
      </x:c>
      <x:c r="F423" t="n">
        <x:v>0.0004019845680949</x:v>
      </x:c>
      <x:c r="G423" t="n">
        <x:f>D423/F423</x:f>
        <x:v>0.20140044226770465</x:v>
      </x:c>
      <x:c r="H423" t="str">
        <x:f>IF(G423&lt;=1%,"YES","NO")</x:f>
        <x:v>NO</x:v>
      </x:c>
      <x:c r="I423" t="str">
        <x:v>common_1v</x:v>
      </x:c>
      <x:c r="J423" t="str">
        <x:v>data/raw/ptm45_lp_vds_1v_raw.txt</x:v>
      </x:c>
    </x:row>
    <x:row r="424">
      <x:c r="A424" t="str">
        <x:v>LP</x:v>
      </x:c>
      <x:c r="B424" t="n">
        <x:v>1</x:v>
      </x:c>
      <x:c r="C424" t="n">
        <x:v>0.6900000000000006</x:v>
      </x:c>
      <x:c r="D424" t="n">
        <x:v>0.00008484781329460702</x:v>
      </x:c>
      <x:c r="E424" t="n">
        <x:f>LN(D424)/LN(10)</x:f>
        <x:v>-4.071359345878104</x:v>
      </x:c>
      <x:c r="F424" t="n">
        <x:v>0.0004019845680949</x:v>
      </x:c>
      <x:c r="G424" t="n">
        <x:f>D424/F424</x:f>
        <x:v>0.2110723147824328</x:v>
      </x:c>
      <x:c r="H424" t="str">
        <x:f>IF(G424&lt;=1%,"YES","NO")</x:f>
        <x:v>NO</x:v>
      </x:c>
      <x:c r="I424" t="str">
        <x:v>common_1v</x:v>
      </x:c>
      <x:c r="J424" t="str">
        <x:v>data/raw/ptm45_lp_vds_1v_raw.txt</x:v>
      </x:c>
    </x:row>
    <x:row r="425">
      <x:c r="A425" t="str">
        <x:v>LP</x:v>
      </x:c>
      <x:c r="B425" t="n">
        <x:v>1</x:v>
      </x:c>
      <x:c r="C425" t="n">
        <x:v>0.6950000000000006</x:v>
      </x:c>
      <x:c r="D425" t="n">
        <x:v>0.00008881626180850439</x:v>
      </x:c>
      <x:c r="E425" t="n">
        <x:f>LN(D425)/LN(10)</x:f>
        <x:v>-4.0515075098169655</x:v>
      </x:c>
      <x:c r="F425" t="n">
        <x:v>0.0004019845680949</x:v>
      </x:c>
      <x:c r="G425" t="n">
        <x:f>D425/F425</x:f>
        <x:v>0.22094445622483885</x:v>
      </x:c>
      <x:c r="H425" t="str">
        <x:f>IF(G425&lt;=1%,"YES","NO")</x:f>
        <x:v>NO</x:v>
      </x:c>
      <x:c r="I425" t="str">
        <x:v>common_1v</x:v>
      </x:c>
      <x:c r="J425" t="str">
        <x:v>data/raw/ptm45_lp_vds_1v_raw.txt</x:v>
      </x:c>
    </x:row>
    <x:row r="426">
      <x:c r="A426" t="str">
        <x:v>LP</x:v>
      </x:c>
      <x:c r="B426" t="n">
        <x:v>1</x:v>
      </x:c>
      <x:c r="C426" t="n">
        <x:v>0.7000000000000006</x:v>
      </x:c>
      <x:c r="D426" t="n">
        <x:v>0.00009286231782099648</x:v>
      </x:c>
      <x:c r="E426" t="n">
        <x:f>LN(D426)/LN(10)</x:f>
        <x:v>-4.032160480649316</x:v>
      </x:c>
      <x:c r="F426" t="n">
        <x:v>0.0004019845680949</x:v>
      </x:c>
      <x:c r="G426" t="n">
        <x:f>D426/F426</x:f>
        <x:v>0.2310096585575237</x:v>
      </x:c>
      <x:c r="H426" t="str">
        <x:f>IF(G426&lt;=1%,"YES","NO")</x:f>
        <x:v>NO</x:v>
      </x:c>
      <x:c r="I426" t="str">
        <x:v>common_1v</x:v>
      </x:c>
      <x:c r="J426" t="str">
        <x:v>data/raw/ptm45_lp_vds_1v_raw.txt</x:v>
      </x:c>
    </x:row>
    <x:row r="427">
      <x:c r="A427" t="str">
        <x:v>LP</x:v>
      </x:c>
      <x:c r="B427" t="n">
        <x:v>1</x:v>
      </x:c>
      <x:c r="C427" t="n">
        <x:v>0.7050000000000006</x:v>
      </x:c>
      <x:c r="D427" t="n">
        <x:v>0.00009698307744163202</x:v>
      </x:c>
      <x:c r="E427" t="n">
        <x:f>LN(D427)/LN(10)</x:f>
        <x:v>-4.013304039083002</x:v>
      </x:c>
      <x:c r="F427" t="n">
        <x:v>0.0004019845680949</x:v>
      </x:c>
      <x:c r="G427" t="n">
        <x:f>D427/F427</x:f>
        <x:v>0.2412606978950903</x:v>
      </x:c>
      <x:c r="H427" t="str">
        <x:f>IF(G427&lt;=1%,"YES","NO")</x:f>
        <x:v>NO</x:v>
      </x:c>
      <x:c r="I427" t="str">
        <x:v>common_1v</x:v>
      </x:c>
      <x:c r="J427" t="str">
        <x:v>data/raw/ptm45_lp_vds_1v_raw.txt</x:v>
      </x:c>
    </x:row>
    <x:row r="428">
      <x:c r="A428" t="str">
        <x:v>LP</x:v>
      </x:c>
      <x:c r="B428" t="n">
        <x:v>1</x:v>
      </x:c>
      <x:c r="C428" t="n">
        <x:v>0.7100000000000006</x:v>
      </x:c>
      <x:c r="D428" t="n">
        <x:v>0.0001011756460477</x:v>
      </x:c>
      <x:c r="E428" t="n">
        <x:f>LN(D428)/LN(10)</x:f>
        <x:v>-3.9949240137804245</x:v>
      </x:c>
      <x:c r="F428" t="n">
        <x:v>0.0004019845680949</x:v>
      </x:c>
      <x:c r="G428" t="n">
        <x:f>D428/F428</x:f>
        <x:v>0.251690373407107</x:v>
      </x:c>
      <x:c r="H428" t="str">
        <x:f>IF(G428&lt;=1%,"YES","NO")</x:f>
        <x:v>NO</x:v>
      </x:c>
      <x:c r="I428" t="str">
        <x:v>common_1v</x:v>
      </x:c>
      <x:c r="J428" t="str">
        <x:v>data/raw/ptm45_lp_vds_1v_raw.txt</x:v>
      </x:c>
    </x:row>
    <x:row r="429">
      <x:c r="A429" t="str">
        <x:v>LP</x:v>
      </x:c>
      <x:c r="B429" t="n">
        <x:v>1</x:v>
      </x:c>
      <x:c r="C429" t="n">
        <x:v>0.7150000000000006</x:v>
      </x:c>
      <x:c r="D429" t="n">
        <x:v>0.0001054371522973</x:v>
      </x:c>
      <x:c r="E429" t="n">
        <x:f>LN(D429)/LN(10)</x:f>
        <x:v>-3.977006332248072</x:v>
      </x:c>
      <x:c r="F429" t="n">
        <x:v>0.0004019845680949</x:v>
      </x:c>
      <x:c r="G429" t="n">
        <x:f>D429/F429</x:f>
        <x:v>0.2622915421778294</x:v>
      </x:c>
      <x:c r="H429" t="str">
        <x:f>IF(G429&lt;=1%,"YES","NO")</x:f>
        <x:v>NO</x:v>
      </x:c>
      <x:c r="I429" t="str">
        <x:v>common_1v</x:v>
      </x:c>
      <x:c r="J429" t="str">
        <x:v>data/raw/ptm45_lp_vds_1v_raw.txt</x:v>
      </x:c>
    </x:row>
    <x:row r="430">
      <x:c r="A430" t="str">
        <x:v>LP</x:v>
      </x:c>
      <x:c r="B430" t="n">
        <x:v>1</x:v>
      </x:c>
      <x:c r="C430" t="n">
        <x:v>0.7200000000000006</x:v>
      </x:c>
      <x:c r="D430" t="n">
        <x:v>0.000109764760532</x:v>
      </x:c>
      <x:c r="E430" t="n">
        <x:f>LN(D430)/LN(10)</x:f>
        <x:v>-3.9595370657413285</x:v>
      </x:c>
      <x:c r="F430" t="n">
        <x:v>0.0004019845680949</x:v>
      </x:c>
      <x:c r="G430" t="n">
        <x:f>D430/F430</x:f>
        <x:v>0.27305715005976766</x:v>
      </x:c>
      <x:c r="H430" t="str">
        <x:f>IF(G430&lt;=1%,"YES","NO")</x:f>
        <x:v>NO</x:v>
      </x:c>
      <x:c r="I430" t="str">
        <x:v>common_1v</x:v>
      </x:c>
      <x:c r="J430" t="str">
        <x:v>data/raw/ptm45_lp_vds_1v_raw.txt</x:v>
      </x:c>
    </x:row>
    <x:row r="431">
      <x:c r="A431" t="str">
        <x:v>LP</x:v>
      </x:c>
      <x:c r="B431" t="n">
        <x:v>1</x:v>
      </x:c>
      <x:c r="C431" t="n">
        <x:v>0.7250000000000006</x:v>
      </x:c>
      <x:c r="D431" t="n">
        <x:v>0.000114155681614</x:v>
      </x:c>
      <x:c r="E431" t="n">
        <x:f>LN(D431)/LN(10)</x:f>
        <x:v>-3.9425024684733248</x:v>
      </x:c>
      <x:c r="F431" t="n">
        <x:v>0.0004019845680949</x:v>
      </x:c>
      <x:c r="G431" t="n">
        <x:f>D431/F431</x:f>
        <x:v>0.28398025863283954</x:v>
      </x:c>
      <x:c r="H431" t="str">
        <x:f>IF(G431&lt;=1%,"YES","NO")</x:f>
        <x:v>NO</x:v>
      </x:c>
      <x:c r="I431" t="str">
        <x:v>common_1v</x:v>
      </x:c>
      <x:c r="J431" t="str">
        <x:v>data/raw/ptm45_lp_vds_1v_raw.txt</x:v>
      </x:c>
    </x:row>
    <x:row r="432">
      <x:c r="A432" t="str">
        <x:v>LP</x:v>
      </x:c>
      <x:c r="B432" t="n">
        <x:v>1</x:v>
      </x:c>
      <x:c r="C432" t="n">
        <x:v>0.7300000000000006</x:v>
      </x:c>
      <x:c r="D432" t="n">
        <x:v>0.0001186071822557</x:v>
      </x:c>
      <x:c r="E432" t="n">
        <x:f>LN(D432)/LN(10)</x:f>
        <x:v>-3.925889011481248</x:v>
      </x:c>
      <x:c r="F432" t="n">
        <x:v>0.0004019845680949</x:v>
      </x:c>
      <x:c r="G432" t="n">
        <x:f>D432/F432</x:f>
        <x:v>0.29505406841314213</x:v>
      </x:c>
      <x:c r="H432" t="str">
        <x:f>IF(G432&lt;=1%,"YES","NO")</x:f>
        <x:v>NO</x:v>
      </x:c>
      <x:c r="I432" t="str">
        <x:v>common_1v</x:v>
      </x:c>
      <x:c r="J432" t="str">
        <x:v>data/raw/ptm45_lp_vds_1v_raw.txt</x:v>
      </x:c>
    </x:row>
    <x:row r="433">
      <x:c r="A433" t="str">
        <x:v>LP</x:v>
      </x:c>
      <x:c r="B433" t="n">
        <x:v>1</x:v>
      </x:c>
      <x:c r="C433" t="n">
        <x:v>0.7350000000000007</x:v>
      </x:c>
      <x:c r="D433" t="n">
        <x:v>0.0001231165929203</x:v>
      </x:c>
      <x:c r="E433" t="n">
        <x:f>LN(D433)/LN(10)</x:f>
        <x:v>-3.909683411503307</x:v>
      </x:c>
      <x:c r="F433" t="n">
        <x:v>0.0004019845680949</x:v>
      </x:c>
      <x:c r="G433" t="n">
        <x:f>D433/F433</x:f>
        <x:v>0.3062719385069399</x:v>
      </x:c>
      <x:c r="H433" t="str">
        <x:f>IF(G433&lt;=1%,"YES","NO")</x:f>
        <x:v>NO</x:v>
      </x:c>
      <x:c r="I433" t="str">
        <x:v>common_1v</x:v>
      </x:c>
      <x:c r="J433" t="str">
        <x:v>data/raw/ptm45_lp_vds_1v_raw.txt</x:v>
      </x:c>
    </x:row>
    <x:row r="434">
      <x:c r="A434" t="str">
        <x:v>LP</x:v>
      </x:c>
      <x:c r="B434" t="n">
        <x:v>1</x:v>
      </x:c>
      <x:c r="C434" t="n">
        <x:v>0.7400000000000007</x:v>
      </x:c>
      <x:c r="D434" t="n">
        <x:v>0.0001276813143819</x:v>
      </x:c>
      <x:c r="E434" t="n">
        <x:f>LN(D434)/LN(10)</x:f>
        <x:v>-3.8938726552393654</x:v>
      </x:c>
      <x:c r="F434" t="n">
        <x:v>0.0004019845680949</x:v>
      </x:c>
      <x:c r="G434" t="n">
        <x:f>D434/F434</x:f>
        <x:v>0.31762740292994823</x:v>
      </x:c>
      <x:c r="H434" t="str">
        <x:f>IF(G434&lt;=1%,"YES","NO")</x:f>
        <x:v>NO</x:v>
      </x:c>
      <x:c r="I434" t="str">
        <x:v>common_1v</x:v>
      </x:c>
      <x:c r="J434" t="str">
        <x:v>data/raw/ptm45_lp_vds_1v_raw.txt</x:v>
      </x:c>
    </x:row>
    <x:row r="435">
      <x:c r="A435" t="str">
        <x:v>LP</x:v>
      </x:c>
      <x:c r="B435" t="n">
        <x:v>1</x:v>
      </x:c>
      <x:c r="C435" t="n">
        <x:v>0.7450000000000007</x:v>
      </x:c>
      <x:c r="D435" t="n">
        <x:v>0.0001322988230402</x:v>
      </x:c>
      <x:c r="E435" t="n">
        <x:f>LN(D435)/LN(10)</x:f>
        <x:v>-3.8784440193757654</x:v>
      </x:c>
      <x:c r="F435" t="n">
        <x:v>0.0004019845680949</x:v>
      </x:c>
      <x:c r="G435" t="n">
        <x:f>D435/F435</x:f>
        <x:v>0.32911418382848734</x:v>
      </x:c>
      <x:c r="H435" t="str">
        <x:f>IF(G435&lt;=1%,"YES","NO")</x:f>
        <x:v>NO</x:v>
      </x:c>
      <x:c r="I435" t="str">
        <x:v>common_1v</x:v>
      </x:c>
      <x:c r="J435" t="str">
        <x:v>data/raw/ptm45_lp_vds_1v_raw.txt</x:v>
      </x:c>
    </x:row>
    <x:row r="436">
      <x:c r="A436" t="str">
        <x:v>LP</x:v>
      </x:c>
      <x:c r="B436" t="n">
        <x:v>1</x:v>
      </x:c>
      <x:c r="C436" t="n">
        <x:v>0.7500000000000007</x:v>
      </x:c>
      <x:c r="D436" t="n">
        <x:v>0.0001369666750898</x:v>
      </x:c>
      <x:c r="E436" t="n">
        <x:f>LN(D436)/LN(10)</x:f>
        <x:v>-3.8633850867496853</x:v>
      </x:c>
      <x:c r="F436" t="n">
        <x:v>0.0004019845680949</x:v>
      </x:c>
      <x:c r="G436" t="n">
        <x:f>D436/F436</x:f>
        <x:v>0.3407262018512738</x:v>
      </x:c>
      <x:c r="H436" t="str">
        <x:f>IF(G436&lt;=1%,"YES","NO")</x:f>
        <x:v>NO</x:v>
      </x:c>
      <x:c r="I436" t="str">
        <x:v>common_1v</x:v>
      </x:c>
      <x:c r="J436" t="str">
        <x:v>data/raw/ptm45_lp_vds_1v_raw.txt</x:v>
      </x:c>
    </x:row>
    <x:row r="437">
      <x:c r="A437" t="str">
        <x:v>LP</x:v>
      </x:c>
      <x:c r="B437" t="n">
        <x:v>1</x:v>
      </x:c>
      <x:c r="C437" t="n">
        <x:v>0.7550000000000007</x:v>
      </x:c>
      <x:c r="D437" t="n">
        <x:v>0.0001416825096493</x:v>
      </x:c>
      <x:c r="E437" t="n">
        <x:f>LN(D437)/LN(10)</x:f>
        <x:v>-3.848683759008909</x:v>
      </x:c>
      <x:c r="F437" t="n">
        <x:v>0.0004019845680949</x:v>
      </x:c>
      <x:c r="G437" t="n">
        <x:f>D437/F437</x:f>
        <x:v>0.35245758393354987</x:v>
      </x:c>
      <x:c r="H437" t="str">
        <x:f>IF(G437&lt;=1%,"YES","NO")</x:f>
        <x:v>NO</x:v>
      </x:c>
      <x:c r="I437" t="str">
        <x:v>common_1v</x:v>
      </x:c>
      <x:c r="J437" t="str">
        <x:v>data/raw/ptm45_lp_vds_1v_raw.txt</x:v>
      </x:c>
    </x:row>
    <x:row r="438">
      <x:c r="A438" t="str">
        <x:v>LP</x:v>
      </x:c>
      <x:c r="B438" t="n">
        <x:v>1</x:v>
      </x:c>
      <x:c r="C438" t="n">
        <x:v>0.7600000000000007</x:v>
      </x:c>
      <x:c r="D438" t="n">
        <x:v>0.0001464440509488</x:v>
      </x:c>
      <x:c r="E438" t="n">
        <x:f>LN(D438)/LN(10)</x:f>
        <x:v>-3.8343282661304605</x:v>
      </x:c>
      <x:c r="F438" t="n">
        <x:v>0.0004019845680949</x:v>
      </x:c>
      <x:c r="G438" t="n">
        <x:f>D438/F438</x:f>
        <x:v>0.364302668738835</x:v>
      </x:c>
      <x:c r="H438" t="str">
        <x:f>IF(G438&lt;=1%,"YES","NO")</x:f>
        <x:v>NO</x:v>
      </x:c>
      <x:c r="I438" t="str">
        <x:v>common_1v</x:v>
      </x:c>
      <x:c r="J438" t="str">
        <x:v>data/raw/ptm45_lp_vds_1v_raw.txt</x:v>
      </x:c>
    </x:row>
    <x:row r="439">
      <x:c r="A439" t="str">
        <x:v>LP</x:v>
      </x:c>
      <x:c r="B439" t="n">
        <x:v>1</x:v>
      </x:c>
      <x:c r="C439" t="n">
        <x:v>0.7650000000000007</x:v>
      </x:c>
      <x:c r="D439" t="n">
        <x:v>0.0001512491096791</x:v>
      </x:c>
      <x:c r="E439" t="n">
        <x:f>LN(D439)/LN(10)</x:f>
        <x:v>-3.8203071731223828</x:v>
      </x:c>
      <x:c r="F439" t="n">
        <x:v>0.0004019845680949</x:v>
      </x:c>
      <x:c r="G439" t="n">
        <x:f>D439/F439</x:f>
        <x:v>0.3762560100152733</x:v>
      </x:c>
      <x:c r="H439" t="str">
        <x:f>IF(G439&lt;=1%,"YES","NO")</x:f>
        <x:v>NO</x:v>
      </x:c>
      <x:c r="I439" t="str">
        <x:v>common_1v</x:v>
      </x:c>
      <x:c r="J439" t="str">
        <x:v>data/raw/ptm45_lp_vds_1v_raw.txt</x:v>
      </x:c>
    </x:row>
    <x:row r="440">
      <x:c r="A440" t="str">
        <x:v>LP</x:v>
      </x:c>
      <x:c r="B440" t="n">
        <x:v>1</x:v>
      </x:c>
      <x:c r="C440" t="n">
        <x:v>0.7700000000000007</x:v>
      </x:c>
      <x:c r="D440" t="n">
        <x:v>0.000156095583597</x:v>
      </x:c>
      <x:c r="E440" t="n">
        <x:f>LN(D440)/LN(10)</x:f>
        <x:v>-3.806609384231533</x:v>
      </x:c>
      <x:c r="F440" t="n">
        <x:v>0.0004019845680949</x:v>
      </x:c>
      <x:c r="G440" t="n">
        <x:f>D440/F440</x:f>
        <x:v>0.38831237810141295</x:v>
      </x:c>
      <x:c r="H440" t="str">
        <x:f>IF(G440&lt;=1%,"YES","NO")</x:f>
        <x:v>NO</x:v>
      </x:c>
      <x:c r="I440" t="str">
        <x:v>common_1v</x:v>
      </x:c>
      <x:c r="J440" t="str">
        <x:v>data/raw/ptm45_lp_vds_1v_raw.txt</x:v>
      </x:c>
    </x:row>
    <x:row r="441">
      <x:c r="A441" t="str">
        <x:v>LP</x:v>
      </x:c>
      <x:c r="B441" t="n">
        <x:v>1</x:v>
      </x:c>
      <x:c r="C441" t="n">
        <x:v>0.7750000000000007</x:v>
      </x:c>
      <x:c r="D441" t="n">
        <x:v>0.0001609814574803</x:v>
      </x:c>
      <x:c r="E441" t="n">
        <x:f>LN(D441)/LN(10)</x:f>
        <x:v>-3.7932241449479807</x:v>
      </x:c>
      <x:c r="F441" t="n">
        <x:v>0.0004019845680949</x:v>
      </x:c>
      <x:c r="G441" t="n">
        <x:f>D441/F441</x:f>
        <x:v>0.40046675981426155</x:v>
      </x:c>
      <x:c r="H441" t="str">
        <x:f>IF(G441&lt;=1%,"YES","NO")</x:f>
        <x:v>NO</x:v>
      </x:c>
      <x:c r="I441" t="str">
        <x:v>common_1v</x:v>
      </x:c>
      <x:c r="J441" t="str">
        <x:v>data/raw/ptm45_lp_vds_1v_raw.txt</x:v>
      </x:c>
    </x:row>
    <x:row r="442">
      <x:c r="A442" t="str">
        <x:v>LP</x:v>
      </x:c>
      <x:c r="B442" t="n">
        <x:v>1</x:v>
      </x:c>
      <x:c r="C442" t="n">
        <x:v>0.7800000000000007</x:v>
      </x:c>
      <x:c r="D442" t="n">
        <x:v>0.0001659048025183</x:v>
      </x:c>
      <x:c r="E442" t="n">
        <x:f>LN(D442)/LN(10)</x:f>
        <x:v>-3.78014104208288</x:v>
      </x:c>
      <x:c r="F442" t="n">
        <x:v>0.0004019845680949</x:v>
      </x:c>
      <x:c r="G442" t="n">
        <x:f>D442/F442</x:f>
        <x:v>0.4127143569330587</x:v>
      </x:c>
      <x:c r="H442" t="str">
        <x:f>IF(G442&lt;=1%,"YES","NO")</x:f>
        <x:v>NO</x:v>
      </x:c>
      <x:c r="I442" t="str">
        <x:v>common_1v</x:v>
      </x:c>
      <x:c r="J442" t="str">
        <x:v>data/raw/ptm45_lp_vds_1v_raw.txt</x:v>
      </x:c>
    </x:row>
    <x:row r="443">
      <x:c r="A443" t="str">
        <x:v>LP</x:v>
      </x:c>
      <x:c r="B443" t="n">
        <x:v>1</x:v>
      </x:c>
      <x:c r="C443" t="n">
        <x:v>0.7850000000000007</x:v>
      </x:c>
      <x:c r="D443" t="n">
        <x:v>0.0001708637752182</x:v>
      </x:c>
      <x:c r="E443" t="n">
        <x:f>LN(D443)/LN(10)</x:f>
        <x:v>-3.7673500021734587</x:v>
      </x:c>
      <x:c r="F443" t="n">
        <x:v>0.0004019845680949</x:v>
      </x:c>
      <x:c r="G443" t="n">
        <x:f>D443/F443</x:f>
        <x:v>0.42505058347877356</x:v>
      </x:c>
      <x:c r="H443" t="str">
        <x:f>IF(G443&lt;=1%,"YES","NO")</x:f>
        <x:v>NO</x:v>
      </x:c>
      <x:c r="I443" t="str">
        <x:v>common_1v</x:v>
      </x:c>
      <x:c r="J443" t="str">
        <x:v>data/raw/ptm45_lp_vds_1v_raw.txt</x:v>
      </x:c>
    </x:row>
    <x:row r="444">
      <x:c r="A444" t="str">
        <x:v>LP</x:v>
      </x:c>
      <x:c r="B444" t="n">
        <x:v>1</x:v>
      </x:c>
      <x:c r="C444" t="n">
        <x:v>0.7900000000000007</x:v>
      </x:c>
      <x:c r="D444" t="n">
        <x:v>0.000175856615903</x:v>
      </x:c>
      <x:c r="E444" t="n">
        <x:f>LN(D444)/LN(10)</x:f>
        <x:v>-3.754841288443895</x:v>
      </x:c>
      <x:c r="F444" t="n">
        <x:v>0.0004019845680949</x:v>
      </x:c>
      <x:c r="G444" t="n">
        <x:f>D444/F444</x:f>
        <x:v>0.4374710619773941</x:v>
      </x:c>
      <x:c r="H444" t="str">
        <x:f>IF(G444&lt;=1%,"YES","NO")</x:f>
        <x:v>NO</x:v>
      </x:c>
      <x:c r="I444" t="str">
        <x:v>common_1v</x:v>
      </x:c>
      <x:c r="J444" t="str">
        <x:v>data/raw/ptm45_lp_vds_1v_raw.txt</x:v>
      </x:c>
    </x:row>
    <x:row r="445">
      <x:c r="A445" t="str">
        <x:v>LP</x:v>
      </x:c>
      <x:c r="B445" t="n">
        <x:v>1</x:v>
      </x:c>
      <x:c r="C445" t="n">
        <x:v>0.7950000000000007</x:v>
      </x:c>
      <x:c r="D445" t="n">
        <x:v>0.0001808816468683</x:v>
      </x:c>
      <x:c r="E445" t="n">
        <x:f>LN(D445)/LN(10)</x:f>
        <x:v>-3.742605496535324</x:v>
      </x:c>
      <x:c r="F445" t="n">
        <x:v>0.0004019845680949</x:v>
      </x:c>
      <x:c r="G445" t="n">
        <x:f>D445/F445</x:f>
        <x:v>0.44997161887467707</x:v>
      </x:c>
      <x:c r="H445" t="str">
        <x:f>IF(G445&lt;=1%,"YES","NO")</x:f>
        <x:v>NO</x:v>
      </x:c>
      <x:c r="I445" t="str">
        <x:v>common_1v</x:v>
      </x:c>
      <x:c r="J445" t="str">
        <x:v>data/raw/ptm45_lp_vds_1v_raw.txt</x:v>
      </x:c>
    </x:row>
    <x:row r="446">
      <x:c r="A446" t="str">
        <x:v>LP</x:v>
      </x:c>
      <x:c r="B446" t="n">
        <x:v>1</x:v>
      </x:c>
      <x:c r="C446" t="n">
        <x:v>0.8000000000000007</x:v>
      </x:c>
      <x:c r="D446" t="n">
        <x:v>0.0001859372702595</x:v>
      </x:c>
      <x:c r="E446" t="n">
        <x:f>LN(D446)/LN(10)</x:f>
        <x:v>-3.7306335491968987</x:v>
      </x:c>
      <x:c r="F446" t="n">
        <x:v>0.0004019845680949</x:v>
      </x:c>
      <x:c r="G446" t="n">
        <x:f>D446/F446</x:f>
        <x:v>0.46254827925534736</x:v>
      </x:c>
      <x:c r="H446" t="str">
        <x:f>IF(G446&lt;=1%,"YES","NO")</x:f>
        <x:v>NO</x:v>
      </x:c>
      <x:c r="I446" t="str">
        <x:v>common_1v</x:v>
      </x:c>
      <x:c r="J446" t="str">
        <x:v>data/raw/ptm45_lp_vds_1v_raw.txt</x:v>
      </x:c>
    </x:row>
    <x:row r="447">
      <x:c r="A447" t="str">
        <x:v>LP</x:v>
      </x:c>
      <x:c r="B447" t="n">
        <x:v>1</x:v>
      </x:c>
      <x:c r="C447" t="n">
        <x:v>0.8050000000000007</x:v>
      </x:c>
      <x:c r="D447" t="n">
        <x:v>0.0001910219657264</x:v>
      </x:c>
      <x:c r="E447" t="n">
        <x:f>LN(D447)/LN(10)</x:f>
        <x:v>-3.718916690106912</x:v>
      </x:c>
      <x:c r="F447" t="n">
        <x:v>0.0004019845680949</x:v>
      </x:c>
      <x:c r="G447" t="n">
        <x:f>D447/F447</x:f>
        <x:v>0.4751972610085465</x:v>
      </x:c>
      <x:c r="H447" t="str">
        <x:f>IF(G447&lt;=1%,"YES","NO")</x:f>
        <x:v>NO</x:v>
      </x:c>
      <x:c r="I447" t="str">
        <x:v>common_1v</x:v>
      </x:c>
      <x:c r="J447" t="str">
        <x:v>data/raw/ptm45_lp_vds_1v_raw.txt</x:v>
      </x:c>
    </x:row>
    <x:row r="448">
      <x:c r="A448" t="str">
        <x:v>LP</x:v>
      </x:c>
      <x:c r="B448" t="n">
        <x:v>1</x:v>
      </x:c>
      <x:c r="C448" t="n">
        <x:v>0.8100000000000007</x:v>
      </x:c>
      <x:c r="D448" t="n">
        <x:v>0.0001961342879036</x:v>
      </x:c>
      <x:c r="E448" t="n">
        <x:f>LN(D448)/LN(10)</x:f>
        <x:v>-3.7074464769816884</x:v>
      </x:c>
      <x:c r="F448" t="n">
        <x:v>0.0004019845680949</x:v>
      </x:c>
      <x:c r="G448" t="n">
        <x:f>D448/F448</x:f>
        <x:v>0.4879149685599296</x:v>
      </x:c>
      <x:c r="H448" t="str">
        <x:f>IF(G448&lt;=1%,"YES","NO")</x:f>
        <x:v>NO</x:v>
      </x:c>
      <x:c r="I448" t="str">
        <x:v>common_1v</x:v>
      </x:c>
      <x:c r="J448" t="str">
        <x:v>data/raw/ptm45_lp_vds_1v_raw.txt</x:v>
      </x:c>
    </x:row>
    <x:row r="449">
      <x:c r="A449" t="str">
        <x:v>LP</x:v>
      </x:c>
      <x:c r="B449" t="n">
        <x:v>1</x:v>
      </x:c>
      <x:c r="C449" t="n">
        <x:v>0.8150000000000007</x:v>
      </x:c>
      <x:c r="D449" t="n">
        <x:v>0.0002012728637616</x:v>
      </x:c>
      <x:c r="E449" t="n">
        <x:f>LN(D449)/LN(10)</x:f>
        <x:v>-3.696214774107939</x:v>
      </x:c>
      <x:c r="F449" t="n">
        <x:v>0.0004019845680949</x:v>
      </x:c>
      <x:c r="G449" t="n">
        <x:f>D449/F449</x:f>
        <x:v>0.5006979862821097</x:v>
      </x:c>
      <x:c r="H449" t="str">
        <x:f>IF(G449&lt;=1%,"YES","NO")</x:f>
        <x:v>NO</x:v>
      </x:c>
      <x:c r="I449" t="str">
        <x:v>common_1v</x:v>
      </x:c>
      <x:c r="J449" t="str">
        <x:v>data/raw/ptm45_lp_vds_1v_raw.txt</x:v>
      </x:c>
    </x:row>
    <x:row r="450">
      <x:c r="A450" t="str">
        <x:v>LP</x:v>
      </x:c>
      <x:c r="B450" t="n">
        <x:v>1</x:v>
      </x:c>
      <x:c r="C450" t="n">
        <x:v>0.8200000000000007</x:v>
      </x:c>
      <x:c r="D450" t="n">
        <x:v>0.0002064363898671</x:v>
      </x:c>
      <x:c r="E450" t="n">
        <x:f>LN(D450)/LN(10)</x:f>
        <x:v>-3.6852137444214357</x:v>
      </x:c>
      <x:c r="F450" t="n">
        <x:v>0.0004019845680949</x:v>
      </x:c>
      <x:c r="G450" t="n">
        <x:f>D450/F450</x:f>
        <x:v>0.5135430716792212</x:v>
      </x:c>
      <x:c r="H450" t="str">
        <x:f>IF(G450&lt;=1%,"YES","NO")</x:f>
        <x:v>NO</x:v>
      </x:c>
      <x:c r="I450" t="str">
        <x:v>common_1v</x:v>
      </x:c>
      <x:c r="J450" t="str">
        <x:v>data/raw/ptm45_lp_vds_1v_raw.txt</x:v>
      </x:c>
    </x:row>
    <x:row r="451">
      <x:c r="A451" t="str">
        <x:v>LP</x:v>
      </x:c>
      <x:c r="B451" t="n">
        <x:v>1</x:v>
      </x:c>
      <x:c r="C451" t="n">
        <x:v>0.8250000000000007</x:v>
      </x:c>
      <x:c r="D451" t="n">
        <x:v>0.0002116236295863</x:v>
      </x:c>
      <x:c r="E451" t="n">
        <x:f>LN(D451)/LN(10)</x:f>
        <x:v>-3.6744358412399354</x:v>
      </x:c>
      <x:c r="F451" t="n">
        <x:v>0.0004019845680949</x:v>
      </x:c>
      <x:c r="G451" t="n">
        <x:f>D451/F451</x:f>
        <x:v>0.5264471484296884</x:v>
      </x:c>
      <x:c r="H451" t="str">
        <x:f>IF(G451&lt;=1%,"YES","NO")</x:f>
        <x:v>NO</x:v>
      </x:c>
      <x:c r="I451" t="str">
        <x:v>common_1v</x:v>
      </x:c>
      <x:c r="J451" t="str">
        <x:v>data/raw/ptm45_lp_vds_1v_raw.txt</x:v>
      </x:c>
    </x:row>
    <x:row r="452">
      <x:c r="A452" t="str">
        <x:v>LP</x:v>
      </x:c>
      <x:c r="B452" t="n">
        <x:v>1</x:v>
      </x:c>
      <x:c r="C452" t="n">
        <x:v>0.8300000000000007</x:v>
      </x:c>
      <x:c r="D452" t="n">
        <x:v>0.0002168334102612</x:v>
      </x:c>
      <x:c r="E452" t="n">
        <x:f>LN(D452)/LN(10)</x:f>
        <x:v>-3.663873799743615</x:v>
      </x:c>
      <x:c r="F452" t="n">
        <x:v>0.0004019845680949</x:v>
      </x:c>
      <x:c r="G452" t="n">
        <x:f>D452/F452</x:f>
        <x:v>0.5394072993618259</x:v>
      </x:c>
      <x:c r="H452" t="str">
        <x:f>IF(G452&lt;=1%,"YES","NO")</x:f>
        <x:v>NO</x:v>
      </x:c>
      <x:c r="I452" t="str">
        <x:v>common_1v</x:v>
      </x:c>
      <x:c r="J452" t="str">
        <x:v>data/raw/ptm45_lp_vds_1v_raw.txt</x:v>
      </x:c>
    </x:row>
    <x:row r="453">
      <x:c r="A453" t="str">
        <x:v>LP</x:v>
      </x:c>
      <x:c r="B453" t="n">
        <x:v>1</x:v>
      </x:c>
      <x:c r="C453" t="n">
        <x:v>0.8350000000000007</x:v>
      </x:c>
      <x:c r="D453" t="n">
        <x:v>0.0002220646203827</x:v>
      </x:c>
      <x:c r="E453" t="n">
        <x:f>LN(D453)/LN(10)</x:f>
        <x:v>-3.6535206282885344</x:v>
      </x:c>
      <x:c r="F453" t="n">
        <x:v>0.0004019845680949</x:v>
      </x:c>
      <x:c r="G453" t="n">
        <x:f>D453/F453</x:f>
        <x:v>0.5524207594214793</x:v>
      </x:c>
      <x:c r="H453" t="str">
        <x:f>IF(G453&lt;=1%,"YES","NO")</x:f>
        <x:v>NO</x:v>
      </x:c>
      <x:c r="I453" t="str">
        <x:v>common_1v</x:v>
      </x:c>
      <x:c r="J453" t="str">
        <x:v>data/raw/ptm45_lp_vds_1v_raw.txt</x:v>
      </x:c>
    </x:row>
    <x:row r="454">
      <x:c r="A454" t="str">
        <x:v>LP</x:v>
      </x:c>
      <x:c r="B454" t="n">
        <x:v>1</x:v>
      </x:c>
      <x:c r="C454" t="n">
        <x:v>0.8400000000000007</x:v>
      </x:c>
      <x:c r="D454" t="n">
        <x:v>0.0002273162067833</x:v>
      </x:c>
      <x:c r="E454" t="n">
        <x:f>LN(D454)/LN(10)</x:f>
        <x:v>-3.6433695996219675</x:v>
      </x:c>
      <x:c r="F454" t="n">
        <x:v>0.0004019845680949</x:v>
      </x:c>
      <x:c r="G454" t="n">
        <x:f>D454/F454</x:f>
        <x:v>0.5654849086884238</x:v>
      </x:c>
      <x:c r="H454" t="str">
        <x:f>IF(G454&lt;=1%,"YES","NO")</x:f>
        <x:v>NO</x:v>
      </x:c>
      <x:c r="I454" t="str">
        <x:v>common_1v</x:v>
      </x:c>
      <x:c r="J454" t="str">
        <x:v>data/raw/ptm45_lp_vds_1v_raw.txt</x:v>
      </x:c>
    </x:row>
    <x:row r="455">
      <x:c r="A455" t="str">
        <x:v>LP</x:v>
      </x:c>
      <x:c r="B455" t="n">
        <x:v>1</x:v>
      </x:c>
      <x:c r="C455" t="n">
        <x:v>0.8450000000000008</x:v>
      </x:c>
      <x:c r="D455" t="n">
        <x:v>0.0002325871718663</x:v>
      </x:c>
      <x:c r="E455" t="n">
        <x:f>LN(D455)/LN(10)</x:f>
        <x:v>-3.6334142420637745</x:v>
      </x:c>
      <x:c r="F455" t="n">
        <x:v>0.0004019845680949</x:v>
      </x:c>
      <x:c r="G455" t="n">
        <x:f>D455/F455</x:f>
        <x:v>0.5785972654835624</x:v>
      </x:c>
      <x:c r="H455" t="str">
        <x:f>IF(G455&lt;=1%,"YES","NO")</x:f>
        <x:v>NO</x:v>
      </x:c>
      <x:c r="I455" t="str">
        <x:v>common_1v</x:v>
      </x:c>
      <x:c r="J455" t="str">
        <x:v>data/raw/ptm45_lp_vds_1v_raw.txt</x:v>
      </x:c>
    </x:row>
    <x:row r="456">
      <x:c r="A456" t="str">
        <x:v>LP</x:v>
      </x:c>
      <x:c r="B456" t="n">
        <x:v>1</x:v>
      </x:c>
      <x:c r="C456" t="n">
        <x:v>0.8500000000000008</x:v>
      </x:c>
      <x:c r="D456" t="n">
        <x:v>0.0002378765708869</x:v>
      </x:c>
      <x:c r="E456" t="n">
        <x:f>LN(D456)/LN(10)</x:f>
        <x:v>-3.6236483307059326</x:v>
      </x:c>
      <x:c r="F456" t="n">
        <x:v>0.0004019845680949</x:v>
      </x:c>
      <x:c r="G456" t="n">
        <x:f>D456/F456</x:f>
        <x:v>0.591755479605233</x:v>
      </x:c>
      <x:c r="H456" t="str">
        <x:f>IF(G456&lt;=1%,"YES","NO")</x:f>
        <x:v>NO</x:v>
      </x:c>
      <x:c r="I456" t="str">
        <x:v>common_1v</x:v>
      </x:c>
      <x:c r="J456" t="str">
        <x:v>data/raw/ptm45_lp_vds_1v_raw.txt</x:v>
      </x:c>
    </x:row>
    <x:row r="457">
      <x:c r="A457" t="str">
        <x:v>LP</x:v>
      </x:c>
      <x:c r="B457" t="n">
        <x:v>1</x:v>
      </x:c>
      <x:c r="C457" t="n">
        <x:v>0.8550000000000008</x:v>
      </x:c>
      <x:c r="D457" t="n">
        <x:v>0.0002431835092969</x:v>
      </x:c>
      <x:c r="E457" t="n">
        <x:f>LN(D457)/LN(10)</x:f>
        <x:v>-3.614065878676364</x:v>
      </x:c>
      <x:c r="F457" t="n">
        <x:v>0.0004019845680949</x:v>
      </x:c>
      <x:c r="G457" t="n">
        <x:f>D457/F457</x:f>
        <x:v>0.6049573257237316</x:v>
      </x:c>
      <x:c r="H457" t="str">
        <x:f>IF(G457&lt;=1%,"YES","NO")</x:f>
        <x:v>NO</x:v>
      </x:c>
      <x:c r="I457" t="str">
        <x:v>common_1v</x:v>
      </x:c>
      <x:c r="J457" t="str">
        <x:v>data/raw/ptm45_lp_vds_1v_raw.txt</x:v>
      </x:c>
    </x:row>
    <x:row r="458">
      <x:c r="A458" t="str">
        <x:v>LP</x:v>
      </x:c>
      <x:c r="B458" t="n">
        <x:v>1</x:v>
      </x:c>
      <x:c r="C458" t="n">
        <x:v>0.8600000000000008</x:v>
      </x:c>
      <x:c r="D458" t="n">
        <x:v>0.0002485071401636</x:v>
      </x:c>
      <x:c r="E458" t="n">
        <x:f>LN(D458)/LN(10)</x:f>
        <x:v>-3.604661128503677</x:v>
      </x:c>
      <x:c r="F458" t="n">
        <x:v>0.0004019845680949</x:v>
      </x:c>
      <x:c r="G458" t="n">
        <x:f>D458/F458</x:f>
        <x:v>0.6182006969604186</x:v>
      </x:c>
      <x:c r="H458" t="str">
        <x:f>IF(G458&lt;=1%,"YES","NO")</x:f>
        <x:v>NO</x:v>
      </x:c>
      <x:c r="I458" t="str">
        <x:v>common_1v</x:v>
      </x:c>
      <x:c r="J458" t="str">
        <x:v>data/raw/ptm45_lp_vds_1v_raw.txt</x:v>
      </x:c>
    </x:row>
    <x:row r="459">
      <x:c r="A459" t="str">
        <x:v>LP</x:v>
      </x:c>
      <x:c r="B459" t="n">
        <x:v>1</x:v>
      </x:c>
      <x:c r="C459" t="n">
        <x:v>0.8650000000000008</x:v>
      </x:c>
      <x:c r="D459" t="n">
        <x:v>0.0002538466616689</x:v>
      </x:c>
      <x:c r="E459" t="n">
        <x:f>LN(D459)/LN(10)</x:f>
        <x:v>-3.5954285436176927</x:v>
      </x:c>
      <x:c r="F459" t="n">
        <x:v>0.0004019845680949</x:v>
      </x:c>
      <x:c r="G459" t="n">
        <x:f>D459/F459</x:f>
        <x:v>0.6314835986663354</x:v>
      </x:c>
      <x:c r="H459" t="str">
        <x:f>IF(G459&lt;=1%,"YES","NO")</x:f>
        <x:v>NO</x:v>
      </x:c>
      <x:c r="I459" t="str">
        <x:v>common_1v</x:v>
      </x:c>
      <x:c r="J459" t="str">
        <x:v>data/raw/ptm45_lp_vds_1v_raw.txt</x:v>
      </x:c>
    </x:row>
    <x:row r="460">
      <x:c r="A460" t="str">
        <x:v>LP</x:v>
      </x:c>
      <x:c r="B460" t="n">
        <x:v>1</x:v>
      </x:c>
      <x:c r="C460" t="n">
        <x:v>0.8700000000000008</x:v>
      </x:c>
      <x:c r="D460" t="n">
        <x:v>0.0002592013146963</x:v>
      </x:c>
      <x:c r="E460" t="n">
        <x:f>LN(D460)/LN(10)</x:f>
        <x:v>-3.5863628000086183</x:v>
      </x:c>
      <x:c r="F460" t="n">
        <x:v>0.0004019845680949</x:v>
      </x:c>
      <x:c r="G460" t="n">
        <x:f>D460/F460</x:f>
        <x:v>0.6448041424194874</x:v>
      </x:c>
      <x:c r="H460" t="str">
        <x:f>IF(G460&lt;=1%,"YES","NO")</x:f>
        <x:v>NO</x:v>
      </x:c>
      <x:c r="I460" t="str">
        <x:v>common_1v</x:v>
      </x:c>
      <x:c r="J460" t="str">
        <x:v>data/raw/ptm45_lp_vds_1v_raw.txt</x:v>
      </x:c>
    </x:row>
    <x:row r="461">
      <x:c r="A461" t="str">
        <x:v>LP</x:v>
      </x:c>
      <x:c r="B461" t="n">
        <x:v>1</x:v>
      </x:c>
      <x:c r="C461" t="n">
        <x:v>0.8750000000000008</x:v>
      </x:c>
      <x:c r="D461" t="n">
        <x:v>0.0002645703805086</x:v>
      </x:c>
      <x:c r="E461" t="n">
        <x:f>LN(D461)/LN(10)</x:f>
        <x:v>-3.5774587780687908</x:v>
      </x:c>
      <x:c r="F461" t="n">
        <x:v>0.0004019845680949</x:v>
      </x:c>
      <x:c r="G461" t="n">
        <x:f>D461/F461</x:f>
        <x:v>0.6581605402477554</x:v>
      </x:c>
      <x:c r="H461" t="str">
        <x:f>IF(G461&lt;=1%,"YES","NO")</x:f>
        <x:v>NO</x:v>
      </x:c>
      <x:c r="I461" t="str">
        <x:v>common_1v</x:v>
      </x:c>
      <x:c r="J461" t="str">
        <x:v>data/raw/ptm45_lp_vds_1v_raw.txt</x:v>
      </x:c>
    </x:row>
    <x:row r="462">
      <x:c r="A462" t="str">
        <x:v>LP</x:v>
      </x:c>
      <x:c r="B462" t="n">
        <x:v>1</x:v>
      </x:c>
      <x:c r="C462" t="n">
        <x:v>0.8800000000000008</x:v>
      </x:c>
      <x:c r="D462" t="n">
        <x:v>0.0002699531785189</x:v>
      </x:c>
      <x:c r="E462" t="n">
        <x:f>LN(D462)/LN(10)</x:f>
        <x:v>-3.5687115546343304</x:v>
      </x:c>
      <x:c r="F462" t="n">
        <x:v>0.0004019845680949</x:v>
      </x:c>
      <x:c r="G462" t="n">
        <x:f>D462/F462</x:f>
        <x:v>0.6715510990839076</x:v>
      </x:c>
      <x:c r="H462" t="str">
        <x:f>IF(G462&lt;=1%,"YES","NO")</x:f>
        <x:v>NO</x:v>
      </x:c>
      <x:c r="I462" t="str">
        <x:v>common_1v</x:v>
      </x:c>
      <x:c r="J462" t="str">
        <x:v>data/raw/ptm45_lp_vds_1v_raw.txt</x:v>
      </x:c>
    </x:row>
    <x:row r="463">
      <x:c r="A463" t="str">
        <x:v>LP</x:v>
      </x:c>
      <x:c r="B463" t="n">
        <x:v>1</x:v>
      </x:c>
      <x:c r="C463" t="n">
        <x:v>0.8850000000000008</x:v>
      </x:c>
      <x:c r="D463" t="n">
        <x:v>0.0002753490641575</x:v>
      </x:c>
      <x:c r="E463" t="n">
        <x:f>LN(D463)/LN(10)</x:f>
        <x:v>-3.5601163952383525</x:v>
      </x:c>
      <x:c r="F463" t="n">
        <x:v>0.0004019845680949</x:v>
      </x:c>
      <x:c r="G463" t="n">
        <x:f>D463/F463</x:f>
        <x:v>0.6849742154591764</x:v>
      </x:c>
      <x:c r="H463" t="str">
        <x:f>IF(G463&lt;=1%,"YES","NO")</x:f>
        <x:v>NO</x:v>
      </x:c>
      <x:c r="I463" t="str">
        <x:v>common_1v</x:v>
      </x:c>
      <x:c r="J463" t="str">
        <x:v>data/raw/ptm45_lp_vds_1v_raw.txt</x:v>
      </x:c>
    </x:row>
    <x:row r="464">
      <x:c r="A464" t="str">
        <x:v>LP</x:v>
      </x:c>
      <x:c r="B464" t="n">
        <x:v>1</x:v>
      </x:c>
      <x:c r="C464" t="n">
        <x:v>0.8900000000000008</x:v>
      </x:c>
      <x:c r="D464" t="n">
        <x:v>0.0002807574268345</x:v>
      </x:c>
      <x:c r="E464" t="n">
        <x:f>LN(D464)/LN(10)</x:f>
        <x:v>-3.551668746587145</x:v>
      </x:c>
      <x:c r="F464" t="n">
        <x:v>0.0004019845680949</x:v>
      </x:c>
      <x:c r="G464" t="n">
        <x:f>D464/F464</x:f>
        <x:v>0.6984283704349048</x:v>
      </x:c>
      <x:c r="H464" t="str">
        <x:f>IF(G464&lt;=1%,"YES","NO")</x:f>
        <x:v>NO</x:v>
      </x:c>
      <x:c r="I464" t="str">
        <x:v>common_1v</x:v>
      </x:c>
      <x:c r="J464" t="str">
        <x:v>data/raw/ptm45_lp_vds_1v_raw.txt</x:v>
      </x:c>
    </x:row>
    <x:row r="465">
      <x:c r="A465" t="str">
        <x:v>LP</x:v>
      </x:c>
      <x:c r="B465" t="n">
        <x:v>1</x:v>
      </x:c>
      <x:c r="C465" t="n">
        <x:v>0.8950000000000008</x:v>
      </x:c>
      <x:c r="D465" t="n">
        <x:v>0.000286177687998</x:v>
      </x:c>
      <x:c r="E465" t="n">
        <x:f>LN(D465)/LN(10)</x:f>
        <x:v>-3.5433642292662535</x:v>
      </x:c>
      <x:c r="F465" t="n">
        <x:v>0.0004019845680949</x:v>
      </x:c>
      <x:c r="G465" t="n">
        <x:f>D465/F465</x:f>
        <x:v>0.7119121247720126</x:v>
      </x:c>
      <x:c r="H465" t="str">
        <x:f>IF(G465&lt;=1%,"YES","NO")</x:f>
        <x:v>NO</x:v>
      </x:c>
      <x:c r="I465" t="str">
        <x:v>common_1v</x:v>
      </x:c>
      <x:c r="J465" t="str">
        <x:v>data/raw/ptm45_lp_vds_1v_raw.txt</x:v>
      </x:c>
    </x:row>
    <x:row r="466">
      <x:c r="A466" t="str">
        <x:v>LP</x:v>
      </x:c>
      <x:c r="B466" t="n">
        <x:v>1</x:v>
      </x:c>
      <x:c r="C466" t="n">
        <x:v>0.9000000000000008</x:v>
      </x:c>
      <x:c r="D466" t="n">
        <x:v>0.0002916092992865</x:v>
      </x:c>
      <x:c r="E466" t="n">
        <x:f>LN(D466)/LN(10)</x:f>
        <x:v>-3.535198630681851</x:v>
      </x:c>
      <x:c r="F466" t="n">
        <x:v>0.0004019845680949</x:v>
      </x:c>
      <x:c r="G466" t="n">
        <x:f>D466/F466</x:f>
        <x:v>0.7254241143348003</x:v>
      </x:c>
      <x:c r="H466" t="str">
        <x:f>IF(G466&lt;=1%,"YES","NO")</x:f>
        <x:v>NO</x:v>
      </x:c>
      <x:c r="I466" t="str">
        <x:v>common_1v</x:v>
      </x:c>
      <x:c r="J466" t="str">
        <x:v>data/raw/ptm45_lp_vds_1v_raw.txt</x:v>
      </x:c>
    </x:row>
    <x:row r="467">
      <x:c r="A467" t="str">
        <x:v>LP</x:v>
      </x:c>
      <x:c r="B467" t="n">
        <x:v>1</x:v>
      </x:c>
      <x:c r="C467" t="n">
        <x:v>0.9050000000000008</x:v>
      </x:c>
      <x:c r="D467" t="n">
        <x:v>0.0002970517407747</x:v>
      </x:c>
      <x:c r="E467" t="n">
        <x:f>LN(D467)/LN(10)</x:f>
        <x:v>-3.52716789823888</x:v>
      </x:c>
      <x:c r="F467" t="n">
        <x:v>0.0004019845680949</x:v>
      </x:c>
      <x:c r="G467" t="n">
        <x:f>D467/F467</x:f>
        <x:v>0.7389630457270997</x:v>
      </x:c>
      <x:c r="H467" t="str">
        <x:f>IF(G467&lt;=1%,"YES","NO")</x:f>
        <x:v>NO</x:v>
      </x:c>
      <x:c r="I467" t="str">
        <x:v>common_1v</x:v>
      </x:c>
      <x:c r="J467" t="str">
        <x:v>data/raw/ptm45_lp_vds_1v_raw.txt</x:v>
      </x:c>
    </x:row>
    <x:row r="468">
      <x:c r="A468" t="str">
        <x:v>LP</x:v>
      </x:c>
      <x:c r="B468" t="n">
        <x:v>1</x:v>
      </x:c>
      <x:c r="C468" t="n">
        <x:v>0.9100000000000008</x:v>
      </x:c>
      <x:c r="D468" t="n">
        <x:v>0.0003025045193092</x:v>
      </x:c>
      <x:c r="E468" t="n">
        <x:f>LN(D468)/LN(10)</x:f>
        <x:v>-3.519268132758995</x:v>
      </x:c>
      <x:c r="F468" t="n">
        <x:v>0.0004019845680949</x:v>
      </x:c>
      <x:c r="G468" t="n">
        <x:f>D468/F468</x:f>
        <x:v>0.7525276921520657</x:v>
      </x:c>
      <x:c r="H468" t="str">
        <x:f>IF(G468&lt;=1%,"YES","NO")</x:f>
        <x:v>NO</x:v>
      </x:c>
      <x:c r="I468" t="str">
        <x:v>common_1v</x:v>
      </x:c>
      <x:c r="J468" t="str">
        <x:v>data/raw/ptm45_lp_vds_1v_raw.txt</x:v>
      </x:c>
    </x:row>
    <x:row r="469">
      <x:c r="A469" t="str">
        <x:v>LP</x:v>
      </x:c>
      <x:c r="B469" t="n">
        <x:v>1</x:v>
      </x:c>
      <x:c r="C469" t="n">
        <x:v>0.9150000000000008</x:v>
      </x:c>
      <x:c r="D469" t="n">
        <x:v>0.0003079671669338</x:v>
      </x:c>
      <x:c r="E469" t="n">
        <x:f>LN(D469)/LN(10)</x:f>
        <x:v>-3.511495582134462</x:v>
      </x:c>
      <x:c r="F469" t="n">
        <x:v>0.0004019845680949</x:v>
      </x:c>
      <x:c r="G469" t="n">
        <x:f>D469/F469</x:f>
        <x:v>0.7661168894948611</x:v>
      </x:c>
      <x:c r="H469" t="str">
        <x:f>IF(G469&lt;=1%,"YES","NO")</x:f>
        <x:v>NO</x:v>
      </x:c>
      <x:c r="I469" t="str">
        <x:v>common_1v</x:v>
      </x:c>
      <x:c r="J469" t="str">
        <x:v>data/raw/ptm45_lp_vds_1v_raw.txt</x:v>
      </x:c>
    </x:row>
    <x:row r="470">
      <x:c r="A470" t="str">
        <x:v>LP</x:v>
      </x:c>
      <x:c r="B470" t="n">
        <x:v>1</x:v>
      </x:c>
      <x:c r="C470" t="n">
        <x:v>0.9200000000000008</x:v>
      </x:c>
      <x:c r="D470" t="n">
        <x:v>0.0003134392393995</x:v>
      </x:c>
      <x:c r="E470" t="n">
        <x:f>LN(D470)/LN(10)</x:f>
        <x:v>-3.5038466352193</x:v>
      </x:c>
      <x:c r="F470" t="n">
        <x:v>0.0004019845680949</x:v>
      </x:c>
      <x:c r="G470" t="n">
        <x:f>D470/F470</x:f>
        <x:v>0.7797295326160473</x:v>
      </x:c>
      <x:c r="H470" t="str">
        <x:f>IF(G470&lt;=1%,"YES","NO")</x:f>
        <x:v>NO</x:v>
      </x:c>
      <x:c r="I470" t="str">
        <x:v>common_1v</x:v>
      </x:c>
      <x:c r="J470" t="str">
        <x:v>data/raw/ptm45_lp_vds_1v_raw.txt</x:v>
      </x:c>
    </x:row>
    <x:row r="471">
      <x:c r="A471" t="str">
        <x:v>LP</x:v>
      </x:c>
      <x:c r="B471" t="n">
        <x:v>1</x:v>
      </x:c>
      <x:c r="C471" t="n">
        <x:v>0.9250000000000008</x:v>
      </x:c>
      <x:c r="D471" t="n">
        <x:v>0.000318920314757</x:v>
      </x:c>
      <x:c r="E471" t="n">
        <x:f>LN(D471)/LN(10)</x:f>
        <x:v>-3.4963178159534425</x:v>
      </x:c>
      <x:c r="F471" t="n">
        <x:v>0.0004019845680949</x:v>
      </x:c>
      <x:c r="G471" t="n">
        <x:f>D471/F471</x:f>
        <x:v>0.7933645718502053</x:v>
      </x:c>
      <x:c r="H471" t="str">
        <x:f>IF(G471&lt;=1%,"YES","NO")</x:f>
        <x:v>NO</x:v>
      </x:c>
      <x:c r="I471" t="str">
        <x:v>common_1v</x:v>
      </x:c>
      <x:c r="J471" t="str">
        <x:v>data/raw/ptm45_lp_vds_1v_raw.txt</x:v>
      </x:c>
    </x:row>
    <x:row r="472">
      <x:c r="A472" t="str">
        <x:v>LP</x:v>
      </x:c>
      <x:c r="B472" t="n">
        <x:v>1</x:v>
      </x:c>
      <x:c r="C472" t="n">
        <x:v>0.9300000000000008</x:v>
      </x:c>
      <x:c r="D472" t="n">
        <x:v>0.0003244099920296</x:v>
      </x:c>
      <x:c r="E472" t="n">
        <x:f>LN(D472)/LN(10)</x:f>
        <x:v>-3.488905777714616</x:v>
      </x:c>
      <x:c r="F472" t="n">
        <x:v>0.0004019845680949</x:v>
      </x:c>
      <x:c r="G472" t="n">
        <x:f>D472/F472</x:f>
        <x:v>0.8070210097045659</x:v>
      </x:c>
      <x:c r="H472" t="str">
        <x:f>IF(G472&lt;=1%,"YES","NO")</x:f>
        <x:v>NO</x:v>
      </x:c>
      <x:c r="I472" t="str">
        <x:v>common_1v</x:v>
      </x:c>
      <x:c r="J472" t="str">
        <x:v>data/raw/ptm45_lp_vds_1v_raw.txt</x:v>
      </x:c>
    </x:row>
    <x:row r="473">
      <x:c r="A473" t="str">
        <x:v>LP</x:v>
      </x:c>
      <x:c r="B473" t="n">
        <x:v>1</x:v>
      </x:c>
      <x:c r="C473" t="n">
        <x:v>0.9350000000000008</x:v>
      </x:c>
      <x:c r="D473" t="n">
        <x:v>0.0003299078899612</x:v>
      </x:c>
      <x:c r="E473" t="n">
        <x:f>LN(D473)/LN(10)</x:f>
        <x:v>-3.4816072978961925</x:v>
      </x:c>
      <x:c r="F473" t="n">
        <x:v>0.0004019845680949</x:v>
      </x:c>
      <x:c r="G473" t="n">
        <x:f>D473/F473</x:f>
        <x:v>0.8206978977444621</x:v>
      </x:c>
      <x:c r="H473" t="str">
        <x:f>IF(G473&lt;=1%,"YES","NO")</x:f>
        <x:v>NO</x:v>
      </x:c>
      <x:c r="I473" t="str">
        <x:v>common_1v</x:v>
      </x:c>
      <x:c r="J473" t="str">
        <x:v>data/raw/ptm45_lp_vds_1v_raw.txt</x:v>
      </x:c>
    </x:row>
    <x:row r="474">
      <x:c r="A474" t="str">
        <x:v>LP</x:v>
      </x:c>
      <x:c r="B474" t="n">
        <x:v>1</x:v>
      </x:c>
      <x:c r="C474" t="n">
        <x:v>0.9400000000000008</x:v>
      </x:c>
      <x:c r="D474" t="n">
        <x:v>0.0003354136458377</x:v>
      </x:c>
      <x:c r="E474" t="n">
        <x:f>LN(D474)/LN(10)</x:f>
        <x:v>-3.4744192727035146</x:v>
      </x:c>
      <x:c r="F474" t="n">
        <x:v>0.0004019845680949</x:v>
      </x:c>
      <x:c r="G474" t="n">
        <x:f>D474/F474</x:f>
        <x:v>0.8343943336613757</x:v>
      </x:c>
      <x:c r="H474" t="str">
        <x:f>IF(G474&lt;=1%,"YES","NO")</x:f>
        <x:v>NO</x:v>
      </x:c>
      <x:c r="I474" t="str">
        <x:v>common_1v</x:v>
      </x:c>
      <x:c r="J474" t="str">
        <x:v>data/raw/ptm45_lp_vds_1v_raw.txt</x:v>
      </x:c>
    </x:row>
    <x:row r="475">
      <x:c r="A475" t="str">
        <x:v>LP</x:v>
      </x:c>
      <x:c r="B475" t="n">
        <x:v>1</x:v>
      </x:c>
      <x:c r="C475" t="n">
        <x:v>0.9450000000000008</x:v>
      </x:c>
      <x:c r="D475" t="n">
        <x:v>0.0003409269143786</x:v>
      </x:c>
      <x:c r="E475" t="n">
        <x:f>LN(D475)/LN(10)</x:f>
        <x:v>-3.4673387121629697</x:v>
      </x:c>
      <x:c r="F475" t="n">
        <x:v>0.0004019845680949</x:v>
      </x:c>
      <x:c r="G475" t="n">
        <x:f>D475/F475</x:f>
        <x:v>0.8481094585156175</x:v>
      </x:c>
      <x:c r="H475" t="str">
        <x:f>IF(G475&lt;=1%,"YES","NO")</x:f>
        <x:v>NO</x:v>
      </x:c>
      <x:c r="I475" t="str">
        <x:v>common_1v</x:v>
      </x:c>
      <x:c r="J475" t="str">
        <x:v>data/raw/ptm45_lp_vds_1v_raw.txt</x:v>
      </x:c>
    </x:row>
    <x:row r="476">
      <x:c r="A476" t="str">
        <x:v>LP</x:v>
      </x:c>
      <x:c r="B476" t="n">
        <x:v>1</x:v>
      </x:c>
      <x:c r="C476" t="n">
        <x:v>0.9500000000000008</x:v>
      </x:c>
      <x:c r="D476" t="n">
        <x:v>0.0003464473666936</x:v>
      </x:c>
      <x:c r="E476" t="n">
        <x:f>LN(D476)/LN(10)</x:f>
        <x:v>-3.460362735340198</x:v>
      </x:c>
      <x:c r="F476" t="n">
        <x:v>0.0004019845680949</x:v>
      </x:c>
      <x:c r="G476" t="n">
        <x:f>D476/F476</x:f>
        <x:v>0.8618424541407051</x:v>
      </x:c>
      <x:c r="H476" t="str">
        <x:f>IF(G476&lt;=1%,"YES","NO")</x:f>
        <x:v>NO</x:v>
      </x:c>
      <x:c r="I476" t="str">
        <x:v>common_1v</x:v>
      </x:c>
      <x:c r="J476" t="str">
        <x:v>data/raw/ptm45_lp_vds_1v_raw.txt</x:v>
      </x:c>
    </x:row>
    <x:row r="477">
      <x:c r="A477" t="str">
        <x:v>LP</x:v>
      </x:c>
      <x:c r="B477" t="n">
        <x:v>1</x:v>
      </x:c>
      <x:c r="C477" t="n">
        <x:v>0.9550000000000008</x:v>
      </x:c>
      <x:c r="D477" t="n">
        <x:v>0.0003519746893032</x:v>
      </x:c>
      <x:c r="E477" t="n">
        <x:f>LN(D477)/LN(10)</x:f>
        <x:v>-3.4534885657581613</x:v>
      </x:c>
      <x:c r="F477" t="n">
        <x:v>0.0004019845680949</x:v>
      </x:c>
      <x:c r="G477" t="n">
        <x:f>D477/F477</x:f>
        <x:v>0.8755925407069514</x:v>
      </x:c>
      <x:c r="H477" t="str">
        <x:f>IF(G477&lt;=1%,"YES","NO")</x:f>
        <x:v>NO</x:v>
      </x:c>
      <x:c r="I477" t="str">
        <x:v>common_1v</x:v>
      </x:c>
      <x:c r="J477" t="str">
        <x:v>data/raw/ptm45_lp_vds_1v_raw.txt</x:v>
      </x:c>
    </x:row>
    <x:row r="478">
      <x:c r="A478" t="str">
        <x:v>LP</x:v>
      </x:c>
      <x:c r="B478" t="n">
        <x:v>1</x:v>
      </x:c>
      <x:c r="C478" t="n">
        <x:v>0.9600000000000009</x:v>
      </x:c>
      <x:c r="D478" t="n">
        <x:v>0.0003575085832185</x:v>
      </x:c>
      <x:c r="E478" t="n">
        <x:f>LN(D478)/LN(10)</x:f>
        <x:v>-3.446713527010638</x:v>
      </x:c>
      <x:c r="F478" t="n">
        <x:v>0.0004019845680949</x:v>
      </x:c>
      <x:c r="G478" t="n">
        <x:f>D478/F478</x:f>
        <x:v>0.8893589744323216</x:v>
      </x:c>
      <x:c r="H478" t="str">
        <x:f>IF(G478&lt;=1%,"YES","NO")</x:f>
        <x:v>NO</x:v>
      </x:c>
      <x:c r="I478" t="str">
        <x:v>common_1v</x:v>
      </x:c>
      <x:c r="J478" t="str">
        <x:v>data/raw/ptm45_lp_vds_1v_raw.txt</x:v>
      </x:c>
    </x:row>
    <x:row r="479">
      <x:c r="A479" t="str">
        <x:v>LP</x:v>
      </x:c>
      <x:c r="B479" t="n">
        <x:v>1</x:v>
      </x:c>
      <x:c r="C479" t="n">
        <x:v>0.9650000000000007</x:v>
      </x:c>
      <x:c r="D479" t="n">
        <x:v>0.0003630487630777</x:v>
      </x:c>
      <x:c r="E479" t="n">
        <x:f>LN(D479)/LN(10)</x:f>
        <x:v>-3.4400350385637046</x:v>
      </x:c>
      <x:c r="F479" t="n">
        <x:v>0.0004019845680949</x:v>
      </x:c>
      <x:c r="G479" t="n">
        <x:f>D479/F479</x:f>
        <x:v>0.903141045434341</x:v>
      </x:c>
      <x:c r="H479" t="str">
        <x:f>IF(G479&lt;=1%,"YES","NO")</x:f>
        <x:v>NO</x:v>
      </x:c>
      <x:c r="I479" t="str">
        <x:v>common_1v</x:v>
      </x:c>
      <x:c r="J479" t="str">
        <x:v>data/raw/ptm45_lp_vds_1v_raw.txt</x:v>
      </x:c>
    </x:row>
    <x:row r="480">
      <x:c r="A480" t="str">
        <x:v>LP</x:v>
      </x:c>
      <x:c r="B480" t="n">
        <x:v>1</x:v>
      </x:c>
      <x:c r="C480" t="n">
        <x:v>0.9700000000000008</x:v>
      </x:c>
      <x:c r="D480" t="n">
        <x:v>0.0003685949563367</x:v>
      </x:c>
      <x:c r="E480" t="n">
        <x:f>LN(D480)/LN(10)</x:f>
        <x:v>-3.4334506117380137</x:v>
      </x:c>
      <x:c r="F480" t="n">
        <x:v>0.0004019845680949</x:v>
      </x:c>
      <x:c r="G480" t="n">
        <x:f>D480/F480</x:f>
        <x:v>0.9169380757165847</x:v>
      </x:c>
      <x:c r="H480" t="str">
        <x:f>IF(G480&lt;=1%,"YES","NO")</x:f>
        <x:v>NO</x:v>
      </x:c>
      <x:c r="I480" t="str">
        <x:v>common_1v</x:v>
      </x:c>
      <x:c r="J480" t="str">
        <x:v>data/raw/ptm45_lp_vds_1v_raw.txt</x:v>
      </x:c>
    </x:row>
    <x:row r="481">
      <x:c r="A481" t="str">
        <x:v>LP</x:v>
      </x:c>
      <x:c r="B481" t="n">
        <x:v>1</x:v>
      </x:c>
      <x:c r="C481" t="n">
        <x:v>0.9750000000000008</x:v>
      </x:c>
      <x:c r="D481" t="n">
        <x:v>0.0003741469025088</x:v>
      </x:c>
      <x:c r="E481" t="n">
        <x:f>LN(D481)/LN(10)</x:f>
        <x:v>-3.426957845867658</x:v>
      </x:c>
      <x:c r="F481" t="n">
        <x:v>0.0004019845680949</x:v>
      </x:c>
      <x:c r="G481" t="n">
        <x:f>D481/F481</x:f>
        <x:v>0.9307494172773118</x:v>
      </x:c>
      <x:c r="H481" t="str">
        <x:f>IF(G481&lt;=1%,"YES","NO")</x:f>
        <x:v>NO</x:v>
      </x:c>
      <x:c r="I481" t="str">
        <x:v>common_1v</x:v>
      </x:c>
      <x:c r="J481" t="str">
        <x:v>data/raw/ptm45_lp_vds_1v_raw.txt</x:v>
      </x:c>
    </x:row>
    <x:row r="482">
      <x:c r="A482" t="str">
        <x:v>LP</x:v>
      </x:c>
      <x:c r="B482" t="n">
        <x:v>1</x:v>
      </x:c>
      <x:c r="C482" t="n">
        <x:v>0.9800000000000008</x:v>
      </x:c>
      <x:c r="D482" t="n">
        <x:v>0.0003797043524539</x:v>
      </x:c>
      <x:c r="E482" t="n">
        <x:f>LN(D482)/LN(10)</x:f>
        <x:v>-3.420554424625075</x:v>
      </x:c>
      <x:c r="F482" t="n">
        <x:v>0.0004019845680949</x:v>
      </x:c>
      <x:c r="G482" t="n">
        <x:f>D482/F482</x:f>
        <x:v>0.9445744503412378</x:v>
      </x:c>
      <x:c r="H482" t="str">
        <x:f>IF(G482&lt;=1%,"YES","NO")</x:f>
        <x:v>NO</x:v>
      </x:c>
      <x:c r="I482" t="str">
        <x:v>common_1v</x:v>
      </x:c>
      <x:c r="J482" t="str">
        <x:v>data/raw/ptm45_lp_vds_1v_raw.txt</x:v>
      </x:c>
    </x:row>
    <x:row r="483">
      <x:c r="A483" t="str">
        <x:v>LP</x:v>
      </x:c>
      <x:c r="B483" t="n">
        <x:v>1</x:v>
      </x:c>
      <x:c r="C483" t="n">
        <x:v>0.9850000000000008</x:v>
      </x:c>
      <x:c r="D483" t="n">
        <x:v>0.000385267067711</x:v>
      </x:c>
      <x:c r="E483" t="n">
        <x:f>LN(D483)/LN(10)</x:f>
        <x:v>-3.414238112509569</x:v>
      </x:c>
      <x:c r="F483" t="n">
        <x:v>0.0004019845680949</x:v>
      </x:c>
      <x:c r="G483" t="n">
        <x:f>D483/F483</x:f>
        <x:v>0.9584125816990235</x:v>
      </x:c>
      <x:c r="H483" t="str">
        <x:f>IF(G483&lt;=1%,"YES","NO")</x:f>
        <x:v>NO</x:v>
      </x:c>
      <x:c r="I483" t="str">
        <x:v>common_1v</x:v>
      </x:c>
      <x:c r="J483" t="str">
        <x:v>data/raw/ptm45_lp_vds_1v_raw.txt</x:v>
      </x:c>
    </x:row>
    <x:row r="484">
      <x:c r="A484" t="str">
        <x:v>LP</x:v>
      </x:c>
      <x:c r="B484" t="n">
        <x:v>1</x:v>
      </x:c>
      <x:c r="C484" t="n">
        <x:v>0.9900000000000008</x:v>
      </x:c>
      <x:c r="D484" t="n">
        <x:v>0.0003908348198739</x:v>
      </x:c>
      <x:c r="E484" t="n">
        <x:f>LN(D484)/LN(10)</x:f>
        <x:v>-3.4080067514899723</x:v>
      </x:c>
      <x:c r="F484" t="n">
        <x:v>0.0004019845680949</x:v>
      </x:c>
      <x:c r="G484" t="n">
        <x:f>D484/F484</x:f>
        <x:v>0.9722632431542303</x:v>
      </x:c>
      <x:c r="H484" t="str">
        <x:f>IF(G484&lt;=1%,"YES","NO")</x:f>
        <x:v>NO</x:v>
      </x:c>
      <x:c r="I484" t="str">
        <x:v>common_1v</x:v>
      </x:c>
      <x:c r="J484" t="str">
        <x:v>data/raw/ptm45_lp_vds_1v_raw.txt</x:v>
      </x:c>
    </x:row>
    <x:row r="485">
      <x:c r="A485" t="str">
        <x:v>LP</x:v>
      </x:c>
      <x:c r="B485" t="n">
        <x:v>1</x:v>
      </x:c>
      <x:c r="C485" t="n">
        <x:v>0.9950000000000008</x:v>
      </x:c>
      <x:c r="D485" t="n">
        <x:v>0.0003964073900064</x:v>
      </x:c>
      <x:c r="E485" t="n">
        <x:f>LN(D485)/LN(10)</x:f>
        <x:v>-3.401858257796538</x:v>
      </x:c>
      <x:c r="F485" t="n">
        <x:v>0.0004019845680949</x:v>
      </x:c>
      <x:c r="G485" t="n">
        <x:f>D485/F485</x:f>
        <x:v>0.9861258900685378</x:v>
      </x:c>
      <x:c r="H485" t="str">
        <x:f>IF(G485&lt;=1%,"YES","NO")</x:f>
        <x:v>NO</x:v>
      </x:c>
      <x:c r="I485" t="str">
        <x:v>common_1v</x:v>
      </x:c>
      <x:c r="J485" t="str">
        <x:v>data/raw/ptm45_lp_vds_1v_raw.txt</x:v>
      </x:c>
    </x:row>
    <x:row r="486">
      <x:c r="A486" t="str">
        <x:v>LP</x:v>
      </x:c>
      <x:c r="B486" t="n">
        <x:v>1</x:v>
      </x:c>
      <x:c r="C486" t="n">
        <x:v>1.000000000000001</x:v>
      </x:c>
      <x:c r="D486" t="n">
        <x:v>0.0004019845680949</x:v>
      </x:c>
      <x:c r="E486" t="n">
        <x:f>LN(D486)/LN(10)</x:f>
        <x:v>-3.395790618855507</x:v>
      </x:c>
      <x:c r="F486" t="n">
        <x:v>0.0004019845680949</x:v>
      </x:c>
      <x:c r="G486" t="n">
        <x:f>D486/F486</x:f>
        <x:v>1</x:v>
      </x:c>
      <x:c r="H486" t="str">
        <x:f>IF(G486&lt;=1%,"YES","NO")</x:f>
        <x:v>NO</x:v>
      </x:c>
      <x:c r="I486" t="str">
        <x:v>common_1v</x:v>
      </x:c>
      <x:c r="J486" t="str">
        <x:v>data/raw/ptm45_lp_vds_1v_raw.txt</x:v>
      </x:c>
    </x:row>
  </x:sheetData>
  <x:mergeCells>
    <x:mergeCell ref="A1:J1"/>
    <x:mergeCell ref="A2:J2"/>
  </x:mergeCells>
  <x:conditionalFormatting sqref="H5:H406">
    <x:cfRule type="containsText" dxfId="28" priority="1" operator="containsText" text="YES"/>
  </x:conditionalFormatting>
  <x:conditionalFormatting sqref="H5:H486">
    <x:cfRule type="expression" dxfId="36" priority="2">
      <x:formula>H5="YES"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b6630b7cf149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5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177" t="str">
        <x:v>PTM 45 nm HP-LP — Method, Provenance, and Limits</x:v>
      </x:c>
      <x:c r="B1" s="177"/>
      <x:c r="C1" s="177"/>
      <x:c r="D1" s="3"/>
      <x:c r="E1" s="3"/>
      <x:c r="F1" s="3"/>
      <x:c r="G1" s="3"/>
      <x:c r="H1" s="3"/>
    </x:row>
    <x:row r="2" ht="22" customHeight="1">
      <x:c r="A2" s="178" t="str">
        <x:v>Reproducibility record for the SS sensitivity analysis; this is a PTM nominal simulation study, not wafer measurement data.</x:v>
      </x:c>
      <x:c r="B2" s="178"/>
      <x:c r="C2" s="178"/>
      <x:c r="D2" s="5"/>
      <x:c r="E2" s="5"/>
      <x:c r="F2" s="5"/>
      <x:c r="G2" s="5"/>
      <x:c r="H2" s="5"/>
    </x:row>
    <x:row r="4" ht="22" customHeight="1">
      <x:c r="A4" s="194" t="str">
        <x:v>Simulation and comparison conditions</x:v>
      </x:c>
      <x:c r="B4" s="195"/>
      <x:c r="C4" s="195"/>
      <x:c r="D4" s="61"/>
      <x:c r="E4" s="61"/>
      <x:c r="F4" s="61"/>
      <x:c r="G4" s="61"/>
      <x:c r="H4" s="62"/>
    </x:row>
    <x:row r="5">
      <x:c r="A5" s="189" t="str">
        <x:v>Technology / device</x:v>
      </x:c>
      <x:c r="B5" s="24" t="str">
        <x:v>PTM 45 nm bulk NMOS — HP and LP</x:v>
      </x:c>
      <x:c r="C5" s="107"/>
    </x:row>
    <x:row r="6">
      <x:c r="A6" s="189" t="str">
        <x:v>Bias-aligned comparison</x:v>
      </x:c>
      <x:c r="B6" s="27" t="str">
        <x:v>VGS = VDS = 1.0 V</x:v>
      </x:c>
      <x:c r="C6" s="107"/>
    </x:row>
    <x:row r="7">
      <x:c r="A7" s="189" t="str">
        <x:v>Geometry</x:v>
      </x:c>
      <x:c r="B7" s="27" t="str">
        <x:v>W = 1 µm, L = 45 nm</x:v>
      </x:c>
      <x:c r="C7" s="107"/>
    </x:row>
    <x:row r="8">
      <x:c r="A8" s="189" t="str">
        <x:v>Temperature</x:v>
      </x:c>
      <x:c r="B8" s="27" t="str">
        <x:v>25 °C</x:v>
      </x:c>
      <x:c r="C8" s="107"/>
    </x:row>
    <x:row r="9">
      <x:c r="A9" s="189" t="str">
        <x:v>VGS sweep</x:v>
      </x:c>
      <x:c r="B9" s="27" t="str">
        <x:v>−0.200 to 1.000 V in 0.005 V steps</x:v>
      </x:c>
      <x:c r="C9" s="107"/>
    </x:row>
    <x:row r="10">
      <x:c r="A10" s="189" t="str">
        <x:v>Baseline SS settings</x:v>
      </x:c>
      <x:c r="B10" s="27" t="str">
        <x:v>21 points; R² ≥ 0.995; span ≥ 0.75 decade</x:v>
      </x:c>
      <x:c r="C10" s="107"/>
    </x:row>
    <x:row r="11">
      <x:c r="A11" s="189" t="str">
        <x:v>Current ceiling</x:v>
      </x:c>
      <x:c r="B11" s="27" t="str">
        <x:v>max(ID) ≤ 1% of Ion</x:v>
      </x:c>
      <x:c r="C11" s="107"/>
    </x:row>
    <x:row r="12">
      <x:c r="A12" s="189" t="str">
        <x:v>Reported metric</x:v>
      </x:c>
      <x:c r="B12" s="30" t="str">
        <x:v>Minimum local SS under the stated algorithm</x:v>
      </x:c>
      <x:c r="C12" s="107"/>
    </x:row>
    <x:row r="13">
      <x:c r="A13" s="107"/>
      <x:c r="B13" s="107"/>
      <x:c r="C13" s="107"/>
    </x:row>
    <x:row r="14">
      <x:c r="A14" s="107"/>
      <x:c r="B14" s="107"/>
      <x:c r="C14" s="107"/>
    </x:row>
    <x:row r="15" ht="22" customHeight="1">
      <x:c r="A15" s="194" t="str">
        <x:v>Algorithm and sensitivity grid</x:v>
      </x:c>
      <x:c r="B15" s="195"/>
      <x:c r="C15" s="195"/>
      <x:c r="D15" s="61"/>
      <x:c r="E15" s="61"/>
      <x:c r="F15" s="61"/>
      <x:c r="G15" s="61"/>
      <x:c r="H15" s="62"/>
    </x:row>
    <x:row r="16" ht="22" customHeight="1">
      <x:c r="A16" s="202" t="str">
        <x:v>1. Keep positive-current samples and retain samples below the chosen max(ID)/Ion ceiling.</x:v>
      </x:c>
      <x:c r="B16" s="202"/>
      <x:c r="C16" s="202"/>
    </x:row>
    <x:row r="17" ht="22" customHeight="1">
      <x:c r="A17" s="202" t="str">
        <x:v>2. For each contiguous window, regress LOG10(ID) on VGS and calculate slope, R², current span, and SS = 1000/slope.</x:v>
      </x:c>
      <x:c r="B17" s="202"/>
      <x:c r="C17" s="202"/>
    </x:row>
    <x:row r="18" ht="22" customHeight="1">
      <x:c r="A18" s="202" t="str">
        <x:v>3. Keep windows with positive slope, R² above threshold, and current span above threshold.</x:v>
      </x:c>
      <x:c r="B18" s="202"/>
      <x:c r="C18" s="202"/>
    </x:row>
    <x:row r="19" ht="22" customHeight="1">
      <x:c r="A19" s="202" t="str">
        <x:v>4. Select the highest slope (minimum SS), with R² as the tie-breaker.</x:v>
      </x:c>
      <x:c r="B19" s="202"/>
      <x:c r="C19" s="202"/>
    </x:row>
    <x:row r="20" ht="22" customHeight="1">
      <x:c r="A20" s="202" t="str">
        <x:v>5. Cross-grid: windows 11/21/31/41; R² 0.990/0.995/0.999; span 0.50/0.75/1.00 decade.</x:v>
      </x:c>
      <x:c r="B20" s="202"/>
      <x:c r="C20" s="202"/>
    </x:row>
    <x:row r="21" ht="22" customHeight="1">
      <x:c r="A21" s="202" t="str">
        <x:v>6. One-factor views prevent N/A 11-point/span combinations from being misclassified as instability.</x:v>
      </x:c>
      <x:c r="B21" s="202"/>
      <x:c r="C21" s="202"/>
    </x:row>
    <x:row r="22" ht="22" customHeight="1">
      <x:c r="A22" s="202" t="str">
        <x:v>7. Current ceiling check: 0.1%, 0.3%, 1%, 3%, and 10% of Ion at the baseline fit settings.</x:v>
      </x:c>
      <x:c r="B22" s="202"/>
      <x:c r="C22" s="202"/>
    </x:row>
    <x:row r="23">
      <x:c r="A23" s="202"/>
      <x:c r="B23" s="202"/>
      <x:c r="C23" s="202"/>
    </x:row>
    <x:row r="24">
      <x:c r="A24" s="202"/>
      <x:c r="B24" s="202"/>
      <x:c r="C24" s="202"/>
    </x:row>
    <x:row r="25" ht="22" customHeight="1">
      <x:c r="A25" s="203" t="str">
        <x:v>Interpretation limits</x:v>
      </x:c>
      <x:c r="B25" s="204"/>
      <x:c r="C25" s="204"/>
      <x:c r="D25" s="61"/>
      <x:c r="E25" s="61"/>
      <x:c r="F25" s="61"/>
      <x:c r="G25" s="61"/>
      <x:c r="H25" s="62"/>
    </x:row>
    <x:row r="26" ht="22" customHeight="1">
      <x:c r="A26" s="202" t="str">
        <x:v>• The minimum across overlapping windows is a best-case local statistic and should not be presented as a global device constant.</x:v>
      </x:c>
      <x:c r="B26" s="202"/>
      <x:c r="C26" s="202"/>
    </x:row>
    <x:row r="27" ht="22" customHeight="1">
      <x:c r="A27" s="202" t="str">
        <x:v>• Baseline candidate counts differ (HP 63, LP 99), so a small HP-LP SS gap is not evidence that LP is meaningfully superior.</x:v>
      </x:c>
      <x:c r="B27" s="202"/>
      <x:c r="C27" s="202"/>
    </x:row>
    <x:row r="28" ht="22" customHeight="1">
      <x:c r="A28" s="202" t="str">
        <x:v>• R² describes local straightness of the semilog curve; it does not validate PTM physical accuracy.</x:v>
      </x:c>
      <x:c r="B28" s="202"/>
      <x:c r="C28" s="202"/>
    </x:row>
    <x:row r="29" ht="22" customHeight="1">
      <x:c r="A29" s="202" t="str">
        <x:v>• No selected evaluable window touches the −0.2 V lower sweep edge; the prior HP boundary issue is removed within the tested grid.</x:v>
      </x:c>
      <x:c r="B29" s="202"/>
      <x:c r="C29" s="202"/>
    </x:row>
    <x:row r="30" ht="22" customHeight="1">
      <x:c r="A30" s="205" t="str">
        <x:v>• The required negative-VGS check has been completed while preserving the Ion and Ioff definitions.</x:v>
      </x:c>
      <x:c r="B30" s="202"/>
      <x:c r="C30" s="202"/>
    </x:row>
    <x:row r="31" ht="22" customHeight="1">
      <x:c r="A31" s="202" t="str">
        <x:v>• Under the project-defined ≤5% descriptive criterion, HP and LP have similar minimum local SS across the tested settings; this is not statistical equivalence.</x:v>
      </x:c>
      <x:c r="B31" s="202"/>
      <x:c r="C31" s="202"/>
    </x:row>
    <x:row r="32">
      <x:c r="A32" s="107"/>
      <x:c r="B32" s="107"/>
      <x:c r="C32" s="107"/>
    </x:row>
    <x:row r="33">
      <x:c r="A33" s="107" t="str">
        <x:v>Reproduction command</x:v>
      </x:c>
      <x:c r="B33" s="107" t="str">
        <x:v>python ss_sensitivity.py</x:v>
      </x:c>
      <x:c r="C33" s="107"/>
    </x:row>
    <x:row r="34" ht="22" customHeight="1">
      <x:c r="A34" s="194" t="str">
        <x:v>Source files and hashes</x:v>
      </x:c>
      <x:c r="B34" s="195"/>
      <x:c r="C34" s="195"/>
      <x:c r="D34" s="61"/>
      <x:c r="E34" s="61"/>
      <x:c r="F34" s="61"/>
      <x:c r="G34" s="61"/>
      <x:c r="H34" s="62"/>
    </x:row>
    <x:row r="35" ht="34" customHeight="1">
      <x:c r="A35" s="199" t="str">
        <x:v>File</x:v>
      </x:c>
      <x:c r="B35" s="199" t="str">
        <x:v>SHA-256</x:v>
      </x:c>
      <x:c r="C35" s="199" t="str">
        <x:v>Role</x:v>
      </x:c>
    </x:row>
    <x:row r="36">
      <x:c r="A36" s="22" t="str">
        <x:v>ptm45_combined.csv</x:v>
      </x:c>
      <x:c r="B36" s="23" t="str">
        <x:v>5cf83d0a989be5a1dad2d5a9a2dafbce11b57f1e6dd1dac7c5d109625a2dbf86</x:v>
      </x:c>
      <x:c r="C36" s="118" t="str">
        <x:v>1,245 processed simulation rows; common-1.0-V curves selected</x:v>
      </x:c>
    </x:row>
    <x:row r="37">
      <x:c r="A37" s="25" t="str">
        <x:v>data_manifest.csv</x:v>
      </x:c>
      <x:c r="B37" s="26" t="str">
        <x:v>1d6885c62adde4544e34d23eccad48c82e6a8fcba66d7b2488f4ffcbca326429</x:v>
      </x:c>
      <x:c r="C37" s="119" t="str">
        <x:v>Curve mapping, model hashes, and −0.2 V sweep limits</x:v>
      </x:c>
    </x:row>
    <x:row r="38">
      <x:c r="A38" s="25" t="str">
        <x:v>metrics.csv</x:v>
      </x:c>
      <x:c r="B38" s="26" t="str">
        <x:v>0fb6847b16b6e0106e411461ba4c025406741ffb25b464c5cda03256d25976d1</x:v>
      </x:c>
      <x:c r="C38" s="119" t="str">
        <x:v>21-point baseline regression check</x:v>
      </x:c>
    </x:row>
    <x:row r="39">
      <x:c r="A39" s="25" t="str">
        <x:v>sensitivity_results.csv</x:v>
      </x:c>
      <x:c r="B39" s="26" t="str">
        <x:v>36e0f808dcc05ce6d585972e20be559a52022c808814b99b665df7c991e951a3</x:v>
      </x:c>
      <x:c r="C39" s="119" t="str">
        <x:v>72 cross-grid results</x:v>
      </x:c>
    </x:row>
    <x:row r="40">
      <x:c r="A40" s="25" t="str">
        <x:v>all_window_statistics.csv</x:v>
      </x:c>
      <x:c r="B40" s="26" t="str">
        <x:v>9f43d6dd6a6e18d486646bbe4e340983898654b10585dc0aaa70c194818ef316</x:v>
      </x:c>
      <x:c r="C40" s="119" t="str">
        <x:v>728 sliding-window records</x:v>
      </x:c>
    </x:row>
    <x:row r="41">
      <x:c r="A41" s="28" t="str">
        <x:v>cutoff_sensitivity.csv</x:v>
      </x:c>
      <x:c r="B41" s="29" t="str">
        <x:v>011c30f42d262d0135b583d03a22be787f31c70f620827cf171881282cd5b66e</x:v>
      </x:c>
      <x:c r="C41" s="120" t="str">
        <x:v>10 current-ceiling checks</x:v>
      </x:c>
    </x:row>
    <x:row r="42">
      <x:c r="A42" s="107"/>
      <x:c r="B42" s="107"/>
      <x:c r="C42" s="107"/>
    </x:row>
    <x:row r="43">
      <x:c r="A43" s="107"/>
      <x:c r="B43" s="107"/>
      <x:c r="C43" s="107"/>
    </x:row>
    <x:row r="44" ht="22" customHeight="1">
      <x:c r="A44" s="194" t="str">
        <x:v>Official PTM model references from project_config.json</x:v>
      </x:c>
      <x:c r="B44" s="195"/>
      <x:c r="C44" s="195"/>
      <x:c r="D44" s="61"/>
      <x:c r="E44" s="61"/>
      <x:c r="F44" s="61"/>
      <x:c r="G44" s="61"/>
      <x:c r="H44" s="62"/>
    </x:row>
    <x:row r="45">
      <x:c r="A45" s="22" t="str">
        <x:v>HP model</x:v>
      </x:c>
      <x:c r="B45" s="24" t="str">
        <x:v>https://drive.google.com/file/d/1H5eUrlxDpi2Sdmf5W9rCsjBRjttYPFZs/view?usp=drive_link</x:v>
      </x:c>
      <x:c r="C45" s="107"/>
    </x:row>
    <x:row r="46">
      <x:c r="A46" s="28" t="str">
        <x:v>LP model</x:v>
      </x:c>
      <x:c r="B46" s="30" t="str">
        <x:v>https://drive.google.com/file/d/1l_4DKHzqwFFLugqTWzVWdWruB7eJL4mK/view?usp=drive_link</x:v>
      </x:c>
      <x:c r="C46" s="107"/>
    </x:row>
  </x:sheetData>
  <x:mergeCells>
    <x:mergeCell ref="A1:H1"/>
    <x:mergeCell ref="A2:H2"/>
    <x:mergeCell ref="A4:H4"/>
    <x:mergeCell ref="A15:H15"/>
    <x:mergeCell ref="A16:H16"/>
    <x:mergeCell ref="A17:H17"/>
    <x:mergeCell ref="A18:H18"/>
    <x:mergeCell ref="A19:H19"/>
    <x:mergeCell ref="A20:H20"/>
    <x:mergeCell ref="A21:H21"/>
    <x:mergeCell ref="A22:H22"/>
    <x:mergeCell ref="A25:H25"/>
    <x:mergeCell ref="A26:H26"/>
    <x:mergeCell ref="A27:H27"/>
    <x:mergeCell ref="A28:H28"/>
    <x:mergeCell ref="A29:H29"/>
    <x:mergeCell ref="A30:H30"/>
    <x:mergeCell ref="A31:H31"/>
    <x:mergeCell ref="A34:H34"/>
    <x:mergeCell ref="A44:H44"/>
  </x:mergeCells>
  <x:pageMargins left="0.7" right="0.7" top="0.75" bottom="0.75" header="0.3" footer="0.3"/>
</x:worksheet>
</file>